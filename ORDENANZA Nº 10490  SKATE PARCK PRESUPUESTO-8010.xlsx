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Usuarios\frodriguez\Mis Documentos\Ordenanzas\2017\"/>
    </mc:Choice>
  </mc:AlternateContent>
  <bookViews>
    <workbookView xWindow="0" yWindow="0" windowWidth="15360" windowHeight="7695"/>
  </bookViews>
  <sheets>
    <sheet name="17-02-2017" sheetId="7" r:id="rId1"/>
    <sheet name="Hoja2" sheetId="2" r:id="rId2"/>
  </sheets>
  <definedNames>
    <definedName name="_xlnm.Print_Area" localSheetId="0">'17-02-2017'!$A$6:$J$54</definedName>
  </definedNames>
  <calcPr calcId="152511"/>
</workbook>
</file>

<file path=xl/calcChain.xml><?xml version="1.0" encoding="utf-8"?>
<calcChain xmlns="http://schemas.openxmlformats.org/spreadsheetml/2006/main">
  <c r="I17" i="7" l="1"/>
  <c r="I10" i="7"/>
  <c r="I13" i="7"/>
  <c r="I12" i="7"/>
  <c r="I11" i="7"/>
  <c r="J15" i="7"/>
  <c r="H18" i="7"/>
  <c r="G18" i="7"/>
  <c r="I18" i="7" s="1"/>
  <c r="J18" i="7" s="1"/>
  <c r="H22" i="7"/>
  <c r="H31" i="7"/>
  <c r="G31" i="7"/>
  <c r="H32" i="7"/>
  <c r="G32" i="7"/>
  <c r="H29" i="7"/>
  <c r="G29" i="7"/>
  <c r="I29" i="7" s="1"/>
  <c r="J28" i="7" s="1"/>
  <c r="I16" i="7"/>
  <c r="J16" i="7" s="1"/>
  <c r="I14" i="7"/>
  <c r="J14" i="7" s="1"/>
  <c r="I31" i="7" l="1"/>
  <c r="I32" i="7"/>
  <c r="G20" i="7"/>
  <c r="J30" i="7" l="1"/>
  <c r="H27" i="7"/>
  <c r="G27" i="7"/>
  <c r="H26" i="7"/>
  <c r="G26" i="7"/>
  <c r="H25" i="7"/>
  <c r="G25" i="7"/>
  <c r="H23" i="7"/>
  <c r="G23" i="7"/>
  <c r="G22" i="7"/>
  <c r="H21" i="7"/>
  <c r="G21" i="7"/>
  <c r="H20" i="7"/>
  <c r="I22" i="7" l="1"/>
  <c r="I26" i="7"/>
  <c r="I23" i="7"/>
  <c r="I27" i="7"/>
  <c r="I20" i="7"/>
  <c r="I25" i="7"/>
  <c r="I21" i="7"/>
  <c r="J19" i="7" l="1"/>
  <c r="J24" i="7"/>
  <c r="J33" i="7" l="1"/>
</calcChain>
</file>

<file path=xl/sharedStrings.xml><?xml version="1.0" encoding="utf-8"?>
<sst xmlns="http://schemas.openxmlformats.org/spreadsheetml/2006/main" count="56" uniqueCount="43">
  <si>
    <t>Item</t>
  </si>
  <si>
    <t>Descripción</t>
  </si>
  <si>
    <t>Un</t>
  </si>
  <si>
    <t>Cant.</t>
  </si>
  <si>
    <t>M.O.</t>
  </si>
  <si>
    <t>Mat.</t>
  </si>
  <si>
    <t>Pr. Unit (M.O.)</t>
  </si>
  <si>
    <t>Pr. Unit. (Mat.)</t>
  </si>
  <si>
    <t>Pr. Total</t>
  </si>
  <si>
    <t>Pr. Por Rubro</t>
  </si>
  <si>
    <t>A</t>
  </si>
  <si>
    <t>Herrería</t>
  </si>
  <si>
    <t>Caño rolado galvanizado de 2 1/2" x 1/8" (se prevén insertos para fijación al hormigón)</t>
  </si>
  <si>
    <t>Caño galvanizado recto de 2 1/2" x 1/8" (se prevén insertos para fijación al hormigón)</t>
  </si>
  <si>
    <t>Baranda metálica conforada por columnas de 50x50x2,2 y marcos de 1,00mt de altura con tubo estructural de 40x40x2,2 con bastidor en malla electro soldada de 50x50x4</t>
  </si>
  <si>
    <t>m3</t>
  </si>
  <si>
    <t>m2</t>
  </si>
  <si>
    <t>ml</t>
  </si>
  <si>
    <t>PISTA PLAYON</t>
  </si>
  <si>
    <t>gl</t>
  </si>
  <si>
    <t>Varios</t>
  </si>
  <si>
    <t>Desagües pluviales (el presupuesto se ajustará según las definiciones finales del proyecto) Se considera desagüar todas las superficies de hormigón con cañerías enterradas de diámetro 160mm a la calle José Hernandez.</t>
  </si>
  <si>
    <t>Iluminación general de todo el predio (el presupuesto se ajustará según las definiciones finales del proyecto). Se consideran torres con rosetones de 5 reflectores con alimentación subterránea</t>
  </si>
  <si>
    <t>Cerco olímpico perimetral, Altura 2,00mts, con postes de hormigón con tres hilos de púas y murete bajo de Hormgión y dos oportones de acceso.</t>
  </si>
  <si>
    <t>ud</t>
  </si>
  <si>
    <t>Replanteo</t>
  </si>
  <si>
    <t>Limpieza y Preparacion general del terreno</t>
  </si>
  <si>
    <t>Estdudio de suelo</t>
  </si>
  <si>
    <t>Terraplenamiento</t>
  </si>
  <si>
    <t>Desmonte</t>
  </si>
  <si>
    <t>Tierra vegetal para taludes</t>
  </si>
  <si>
    <t>Base Granular</t>
  </si>
  <si>
    <t>Pavimento de Hormigon Armado</t>
  </si>
  <si>
    <t>Film de polietilino de 200 micrones</t>
  </si>
  <si>
    <t>Hormigon  H-25  (incluye todas las superficies de piso alisado)</t>
  </si>
  <si>
    <t>Armaduras</t>
  </si>
  <si>
    <t>Hormigon H-21, (incluye todos los tabiques)</t>
  </si>
  <si>
    <t>Gl</t>
  </si>
  <si>
    <t>Pluviales</t>
  </si>
  <si>
    <t>PRESPUESTO TOTAL</t>
  </si>
  <si>
    <t>Demolicion y traslado de elementos existentes</t>
  </si>
  <si>
    <t>Ejecucion del obrador</t>
  </si>
  <si>
    <t>CÓMPUTO Y PRESUPUESTO PARK (primera etapa)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</si>
</sst>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&quot;$&quot;\ * #,##0.00_ ;_ &quot;$&quot;\ * \-#,##0.00_ ;_ &quot;$&quot;\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4" borderId="3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64" fontId="2" fillId="0" borderId="1" xfId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64" fontId="4" fillId="0" borderId="1" xfId="1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3" xfId="0" applyFont="1" applyFill="1" applyBorder="1" applyAlignment="1">
      <alignment vertical="center"/>
    </xf>
    <xf numFmtId="164" fontId="3" fillId="5" borderId="6" xfId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2" fontId="2" fillId="0" borderId="1" xfId="0" applyNumberFormat="1" applyFont="1" applyFill="1" applyBorder="1" applyAlignment="1">
      <alignment vertical="center"/>
    </xf>
    <xf numFmtId="164" fontId="2" fillId="0" borderId="1" xfId="1" applyFont="1" applyFill="1" applyBorder="1" applyAlignment="1">
      <alignment vertical="center"/>
    </xf>
    <xf numFmtId="164" fontId="4" fillId="0" borderId="1" xfId="1" applyFont="1" applyFill="1" applyBorder="1" applyAlignment="1">
      <alignment vertical="center"/>
    </xf>
    <xf numFmtId="0" fontId="0" fillId="0" borderId="0" xfId="0" applyBorder="1"/>
    <xf numFmtId="164" fontId="0" fillId="0" borderId="0" xfId="0" applyNumberFormat="1" applyBorder="1"/>
    <xf numFmtId="0" fontId="2" fillId="0" borderId="0" xfId="0" applyFont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2" fontId="2" fillId="0" borderId="19" xfId="0" applyNumberFormat="1" applyFont="1" applyBorder="1" applyAlignment="1">
      <alignment vertical="center"/>
    </xf>
    <xf numFmtId="164" fontId="4" fillId="0" borderId="19" xfId="1" applyFont="1" applyBorder="1" applyAlignment="1">
      <alignment vertical="center"/>
    </xf>
    <xf numFmtId="164" fontId="2" fillId="0" borderId="19" xfId="1" applyFont="1" applyBorder="1" applyAlignment="1">
      <alignment vertical="center"/>
    </xf>
    <xf numFmtId="0" fontId="0" fillId="0" borderId="20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4" fontId="2" fillId="0" borderId="13" xfId="1" applyFont="1" applyBorder="1" applyAlignment="1">
      <alignment horizontal="center" vertical="center" wrapText="1"/>
    </xf>
    <xf numFmtId="164" fontId="2" fillId="0" borderId="14" xfId="1" applyFont="1" applyBorder="1" applyAlignment="1">
      <alignment horizontal="center" vertical="center" wrapText="1"/>
    </xf>
    <xf numFmtId="164" fontId="2" fillId="0" borderId="15" xfId="1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EC04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041A"/>
  </sheetPr>
  <dimension ref="A6:L54"/>
  <sheetViews>
    <sheetView tabSelected="1" topLeftCell="A25" workbookViewId="0">
      <selection activeCell="E2" sqref="E2"/>
    </sheetView>
  </sheetViews>
  <sheetFormatPr baseColWidth="10" defaultRowHeight="15" x14ac:dyDescent="0.25"/>
  <cols>
    <col min="1" max="1" width="4.42578125" style="2" customWidth="1"/>
    <col min="2" max="2" width="47" style="1" customWidth="1"/>
    <col min="3" max="3" width="4.140625" style="1" customWidth="1"/>
    <col min="4" max="4" width="6.140625" style="1" customWidth="1"/>
    <col min="5" max="5" width="10.85546875" style="1" customWidth="1"/>
    <col min="6" max="6" width="10.7109375" style="1" customWidth="1"/>
    <col min="7" max="7" width="14" style="1" customWidth="1"/>
    <col min="8" max="8" width="12.7109375" style="1" customWidth="1"/>
    <col min="9" max="9" width="12.28515625" style="1" customWidth="1"/>
    <col min="10" max="10" width="17.140625" style="1" customWidth="1"/>
    <col min="11" max="11" width="28" bestFit="1" customWidth="1"/>
    <col min="12" max="12" width="13.140625" bestFit="1" customWidth="1"/>
  </cols>
  <sheetData>
    <row r="6" spans="1:10" ht="18.75" x14ac:dyDescent="0.25">
      <c r="A6" s="40" t="s">
        <v>42</v>
      </c>
      <c r="B6" s="40"/>
      <c r="C6" s="40"/>
      <c r="D6" s="40"/>
      <c r="E6" s="40"/>
      <c r="F6" s="40"/>
      <c r="G6" s="40"/>
      <c r="H6" s="40"/>
      <c r="I6" s="40"/>
      <c r="J6" s="40"/>
    </row>
    <row r="7" spans="1:10" ht="15.75" thickBot="1" x14ac:dyDescent="0.3"/>
    <row r="8" spans="1:10" x14ac:dyDescent="0.25">
      <c r="A8" s="23" t="s">
        <v>0</v>
      </c>
      <c r="B8" s="24" t="s">
        <v>1</v>
      </c>
      <c r="C8" s="24" t="s">
        <v>2</v>
      </c>
      <c r="D8" s="24" t="s">
        <v>3</v>
      </c>
      <c r="E8" s="24" t="s">
        <v>4</v>
      </c>
      <c r="F8" s="24" t="s">
        <v>5</v>
      </c>
      <c r="G8" s="24" t="s">
        <v>6</v>
      </c>
      <c r="H8" s="24" t="s">
        <v>7</v>
      </c>
      <c r="I8" s="24" t="s">
        <v>8</v>
      </c>
      <c r="J8" s="25" t="s">
        <v>9</v>
      </c>
    </row>
    <row r="9" spans="1:10" x14ac:dyDescent="0.25">
      <c r="A9" s="26" t="s">
        <v>10</v>
      </c>
      <c r="B9" s="41" t="s">
        <v>18</v>
      </c>
      <c r="C9" s="42"/>
      <c r="D9" s="42"/>
      <c r="E9" s="42"/>
      <c r="F9" s="42"/>
      <c r="G9" s="42"/>
      <c r="H9" s="42"/>
      <c r="I9" s="42"/>
      <c r="J9" s="43"/>
    </row>
    <row r="10" spans="1:10" x14ac:dyDescent="0.25">
      <c r="A10" s="27">
        <v>1</v>
      </c>
      <c r="B10" s="5" t="s">
        <v>40</v>
      </c>
      <c r="C10" s="7" t="s">
        <v>37</v>
      </c>
      <c r="D10" s="11">
        <v>1</v>
      </c>
      <c r="E10" s="8"/>
      <c r="F10" s="8"/>
      <c r="G10" s="12"/>
      <c r="H10" s="12"/>
      <c r="I10" s="8">
        <f>J10</f>
        <v>9500</v>
      </c>
      <c r="J10" s="28">
        <v>9500</v>
      </c>
    </row>
    <row r="11" spans="1:10" x14ac:dyDescent="0.25">
      <c r="A11" s="27">
        <v>2</v>
      </c>
      <c r="B11" s="5" t="s">
        <v>26</v>
      </c>
      <c r="C11" s="7" t="s">
        <v>37</v>
      </c>
      <c r="D11" s="11">
        <v>1</v>
      </c>
      <c r="E11" s="8"/>
      <c r="F11" s="8"/>
      <c r="G11" s="12"/>
      <c r="H11" s="12"/>
      <c r="I11" s="8">
        <f>J11</f>
        <v>12500</v>
      </c>
      <c r="J11" s="28">
        <v>12500</v>
      </c>
    </row>
    <row r="12" spans="1:10" x14ac:dyDescent="0.25">
      <c r="A12" s="27">
        <v>3</v>
      </c>
      <c r="B12" s="5" t="s">
        <v>41</v>
      </c>
      <c r="C12" s="7" t="s">
        <v>37</v>
      </c>
      <c r="D12" s="11">
        <v>1</v>
      </c>
      <c r="E12" s="8"/>
      <c r="F12" s="8"/>
      <c r="G12" s="12"/>
      <c r="H12" s="12"/>
      <c r="I12" s="8">
        <f>J12</f>
        <v>14000</v>
      </c>
      <c r="J12" s="28">
        <v>14000</v>
      </c>
    </row>
    <row r="13" spans="1:10" x14ac:dyDescent="0.25">
      <c r="A13" s="27">
        <v>4</v>
      </c>
      <c r="B13" s="5" t="s">
        <v>27</v>
      </c>
      <c r="C13" s="7" t="s">
        <v>37</v>
      </c>
      <c r="D13" s="11">
        <v>1</v>
      </c>
      <c r="E13" s="8"/>
      <c r="F13" s="8"/>
      <c r="G13" s="12"/>
      <c r="H13" s="12"/>
      <c r="I13" s="8">
        <f>J13</f>
        <v>8500</v>
      </c>
      <c r="J13" s="28">
        <v>8500</v>
      </c>
    </row>
    <row r="14" spans="1:10" x14ac:dyDescent="0.25">
      <c r="A14" s="27">
        <v>5</v>
      </c>
      <c r="B14" s="5" t="s">
        <v>28</v>
      </c>
      <c r="C14" s="7" t="s">
        <v>15</v>
      </c>
      <c r="D14" s="11">
        <v>32</v>
      </c>
      <c r="E14" s="8">
        <v>750</v>
      </c>
      <c r="F14" s="8"/>
      <c r="G14" s="12"/>
      <c r="H14" s="12"/>
      <c r="I14" s="8">
        <f>E14*D14</f>
        <v>24000</v>
      </c>
      <c r="J14" s="28">
        <f>I14</f>
        <v>24000</v>
      </c>
    </row>
    <row r="15" spans="1:10" x14ac:dyDescent="0.25">
      <c r="A15" s="27">
        <v>6</v>
      </c>
      <c r="B15" s="5" t="s">
        <v>29</v>
      </c>
      <c r="C15" s="7" t="s">
        <v>37</v>
      </c>
      <c r="D15" s="11">
        <v>1</v>
      </c>
      <c r="E15" s="8"/>
      <c r="F15" s="8"/>
      <c r="G15" s="12"/>
      <c r="H15" s="12"/>
      <c r="I15" s="8">
        <v>13500</v>
      </c>
      <c r="J15" s="28">
        <f>I15</f>
        <v>13500</v>
      </c>
    </row>
    <row r="16" spans="1:10" x14ac:dyDescent="0.25">
      <c r="A16" s="27">
        <v>7</v>
      </c>
      <c r="B16" s="5" t="s">
        <v>30</v>
      </c>
      <c r="C16" s="7" t="s">
        <v>15</v>
      </c>
      <c r="D16" s="11">
        <v>95</v>
      </c>
      <c r="E16" s="8"/>
      <c r="F16" s="8">
        <v>350</v>
      </c>
      <c r="G16" s="12"/>
      <c r="H16" s="12"/>
      <c r="I16" s="8">
        <f>D16*F16</f>
        <v>33250</v>
      </c>
      <c r="J16" s="28">
        <f>I16</f>
        <v>33250</v>
      </c>
    </row>
    <row r="17" spans="1:12" x14ac:dyDescent="0.25">
      <c r="A17" s="27">
        <v>8</v>
      </c>
      <c r="B17" s="5" t="s">
        <v>25</v>
      </c>
      <c r="C17" s="7" t="s">
        <v>37</v>
      </c>
      <c r="D17" s="11">
        <v>1</v>
      </c>
      <c r="E17" s="8"/>
      <c r="F17" s="8"/>
      <c r="G17" s="12"/>
      <c r="H17" s="12"/>
      <c r="I17" s="8">
        <f>J17</f>
        <v>12000</v>
      </c>
      <c r="J17" s="28">
        <v>12000</v>
      </c>
    </row>
    <row r="18" spans="1:12" x14ac:dyDescent="0.25">
      <c r="A18" s="27">
        <v>9</v>
      </c>
      <c r="B18" s="5" t="s">
        <v>31</v>
      </c>
      <c r="C18" s="7" t="s">
        <v>15</v>
      </c>
      <c r="D18" s="11">
        <v>64</v>
      </c>
      <c r="E18" s="8">
        <v>500</v>
      </c>
      <c r="F18" s="8">
        <v>410</v>
      </c>
      <c r="G18" s="8">
        <f>D18*E18</f>
        <v>32000</v>
      </c>
      <c r="H18" s="8">
        <f>D18*F18</f>
        <v>26240</v>
      </c>
      <c r="I18" s="8">
        <f>G18+H18</f>
        <v>58240</v>
      </c>
      <c r="J18" s="28">
        <f>I18</f>
        <v>58240</v>
      </c>
    </row>
    <row r="19" spans="1:12" x14ac:dyDescent="0.25">
      <c r="A19" s="27">
        <v>10</v>
      </c>
      <c r="B19" s="5" t="s">
        <v>32</v>
      </c>
      <c r="C19" s="13"/>
      <c r="D19" s="13"/>
      <c r="E19" s="13"/>
      <c r="F19" s="13"/>
      <c r="G19" s="13"/>
      <c r="H19" s="13"/>
      <c r="I19" s="13"/>
      <c r="J19" s="28">
        <f>+I20+I21+I22+I23</f>
        <v>318306.5</v>
      </c>
      <c r="K19" s="20"/>
      <c r="L19" s="20"/>
    </row>
    <row r="20" spans="1:12" x14ac:dyDescent="0.25">
      <c r="A20" s="29">
        <v>10.1</v>
      </c>
      <c r="B20" s="6" t="s">
        <v>33</v>
      </c>
      <c r="C20" s="7" t="s">
        <v>16</v>
      </c>
      <c r="D20" s="9">
        <v>232</v>
      </c>
      <c r="E20" s="8">
        <v>20</v>
      </c>
      <c r="F20" s="8">
        <v>25</v>
      </c>
      <c r="G20" s="8">
        <f>+D20*E20</f>
        <v>4640</v>
      </c>
      <c r="H20" s="10">
        <f>+D20*F20</f>
        <v>5800</v>
      </c>
      <c r="I20" s="8">
        <f>+G20+H20</f>
        <v>10440</v>
      </c>
      <c r="J20" s="44"/>
      <c r="K20" s="20"/>
      <c r="L20" s="20"/>
    </row>
    <row r="21" spans="1:12" ht="24.75" customHeight="1" x14ac:dyDescent="0.25">
      <c r="A21" s="30">
        <v>10.199999999999999</v>
      </c>
      <c r="B21" s="15" t="s">
        <v>35</v>
      </c>
      <c r="C21" s="16" t="s">
        <v>24</v>
      </c>
      <c r="D21" s="17">
        <v>50</v>
      </c>
      <c r="E21" s="18">
        <v>580</v>
      </c>
      <c r="F21" s="18">
        <v>612.92999999999995</v>
      </c>
      <c r="G21" s="18">
        <f>+D21*E21</f>
        <v>29000</v>
      </c>
      <c r="H21" s="19">
        <f>+D21*F21</f>
        <v>30646.499999999996</v>
      </c>
      <c r="I21" s="18">
        <f>+G21+H21</f>
        <v>59646.5</v>
      </c>
      <c r="J21" s="45"/>
      <c r="K21" s="22"/>
      <c r="L21" s="20"/>
    </row>
    <row r="22" spans="1:12" ht="24" x14ac:dyDescent="0.25">
      <c r="A22" s="29">
        <v>10.3</v>
      </c>
      <c r="B22" s="6" t="s">
        <v>34</v>
      </c>
      <c r="C22" s="7" t="s">
        <v>15</v>
      </c>
      <c r="D22" s="9">
        <v>47</v>
      </c>
      <c r="E22" s="8">
        <v>960</v>
      </c>
      <c r="F22" s="8">
        <v>2500</v>
      </c>
      <c r="G22" s="8">
        <f>+D22*E22</f>
        <v>45120</v>
      </c>
      <c r="H22" s="8">
        <f>+D22*F22</f>
        <v>117500</v>
      </c>
      <c r="I22" s="8">
        <f>+G22+H22</f>
        <v>162620</v>
      </c>
      <c r="J22" s="45"/>
      <c r="K22" s="22"/>
      <c r="L22" s="20"/>
    </row>
    <row r="23" spans="1:12" x14ac:dyDescent="0.25">
      <c r="A23" s="29">
        <v>10.4</v>
      </c>
      <c r="B23" s="6" t="s">
        <v>36</v>
      </c>
      <c r="C23" s="7" t="s">
        <v>15</v>
      </c>
      <c r="D23" s="9">
        <v>32</v>
      </c>
      <c r="E23" s="8">
        <v>825</v>
      </c>
      <c r="F23" s="8">
        <v>1850</v>
      </c>
      <c r="G23" s="8">
        <f>+D23*E23</f>
        <v>26400</v>
      </c>
      <c r="H23" s="8">
        <f>+D23*F23</f>
        <v>59200</v>
      </c>
      <c r="I23" s="8">
        <f>+G23+H23</f>
        <v>85600</v>
      </c>
      <c r="J23" s="46"/>
      <c r="K23" s="22"/>
      <c r="L23" s="20"/>
    </row>
    <row r="24" spans="1:12" x14ac:dyDescent="0.25">
      <c r="A24" s="27">
        <v>11</v>
      </c>
      <c r="B24" s="5" t="s">
        <v>11</v>
      </c>
      <c r="C24" s="5"/>
      <c r="D24" s="5"/>
      <c r="E24" s="5"/>
      <c r="F24" s="5"/>
      <c r="G24" s="5"/>
      <c r="H24" s="5"/>
      <c r="I24" s="5"/>
      <c r="J24" s="28">
        <f>+I25+I26+I27</f>
        <v>262883.15101000003</v>
      </c>
      <c r="K24" s="20"/>
      <c r="L24" s="21"/>
    </row>
    <row r="25" spans="1:12" ht="24" x14ac:dyDescent="0.25">
      <c r="A25" s="29">
        <v>11.1</v>
      </c>
      <c r="B25" s="6" t="s">
        <v>12</v>
      </c>
      <c r="C25" s="7" t="s">
        <v>17</v>
      </c>
      <c r="D25" s="9">
        <v>3.387</v>
      </c>
      <c r="E25" s="8">
        <v>630</v>
      </c>
      <c r="F25" s="8">
        <v>3920</v>
      </c>
      <c r="G25" s="10">
        <f>+D25*E25</f>
        <v>2133.81</v>
      </c>
      <c r="H25" s="8">
        <f>+D25*F25</f>
        <v>13277.04</v>
      </c>
      <c r="I25" s="8">
        <f>+G25+H25</f>
        <v>15410.85</v>
      </c>
      <c r="J25" s="44"/>
    </row>
    <row r="26" spans="1:12" ht="24" x14ac:dyDescent="0.25">
      <c r="A26" s="29">
        <v>11.2</v>
      </c>
      <c r="B26" s="6" t="s">
        <v>13</v>
      </c>
      <c r="C26" s="7" t="s">
        <v>17</v>
      </c>
      <c r="D26" s="9">
        <v>39.700000000000003</v>
      </c>
      <c r="E26" s="8">
        <v>532</v>
      </c>
      <c r="F26" s="8">
        <v>374.10329999999999</v>
      </c>
      <c r="G26" s="10">
        <f>+D26*E26</f>
        <v>21120.400000000001</v>
      </c>
      <c r="H26" s="8">
        <f>+D26*F26</f>
        <v>14851.901010000001</v>
      </c>
      <c r="I26" s="8">
        <f>+G26+H26</f>
        <v>35972.301010000003</v>
      </c>
      <c r="J26" s="45"/>
    </row>
    <row r="27" spans="1:12" ht="48" x14ac:dyDescent="0.25">
      <c r="A27" s="29">
        <v>11.3</v>
      </c>
      <c r="B27" s="6" t="s">
        <v>14</v>
      </c>
      <c r="C27" s="7" t="s">
        <v>16</v>
      </c>
      <c r="D27" s="9">
        <v>50</v>
      </c>
      <c r="E27" s="8">
        <v>380</v>
      </c>
      <c r="F27" s="8">
        <v>3850</v>
      </c>
      <c r="G27" s="10">
        <f>+D27*E27</f>
        <v>19000</v>
      </c>
      <c r="H27" s="8">
        <f>+D27*F27</f>
        <v>192500</v>
      </c>
      <c r="I27" s="8">
        <f>+G27+H27</f>
        <v>211500</v>
      </c>
      <c r="J27" s="46"/>
    </row>
    <row r="28" spans="1:12" x14ac:dyDescent="0.25">
      <c r="A28" s="27">
        <v>12</v>
      </c>
      <c r="B28" s="5" t="s">
        <v>38</v>
      </c>
      <c r="C28" s="5"/>
      <c r="D28" s="5"/>
      <c r="E28" s="5"/>
      <c r="F28" s="5"/>
      <c r="G28" s="5"/>
      <c r="H28" s="5"/>
      <c r="I28" s="5"/>
      <c r="J28" s="28">
        <f>I29</f>
        <v>85000</v>
      </c>
    </row>
    <row r="29" spans="1:12" ht="60" x14ac:dyDescent="0.25">
      <c r="A29" s="31"/>
      <c r="B29" s="6" t="s">
        <v>21</v>
      </c>
      <c r="C29" s="7" t="s">
        <v>19</v>
      </c>
      <c r="D29" s="9">
        <v>1</v>
      </c>
      <c r="E29" s="10">
        <v>50000</v>
      </c>
      <c r="F29" s="10">
        <v>35000</v>
      </c>
      <c r="G29" s="8">
        <f>+D29*E29</f>
        <v>50000</v>
      </c>
      <c r="H29" s="8">
        <f>+D29*F29</f>
        <v>35000</v>
      </c>
      <c r="I29" s="8">
        <f>+G29+H29</f>
        <v>85000</v>
      </c>
      <c r="J29" s="32"/>
    </row>
    <row r="30" spans="1:12" x14ac:dyDescent="0.25">
      <c r="A30" s="27">
        <v>13</v>
      </c>
      <c r="B30" s="5" t="s">
        <v>20</v>
      </c>
      <c r="C30" s="5"/>
      <c r="D30" s="5"/>
      <c r="E30" s="5"/>
      <c r="F30" s="5"/>
      <c r="G30" s="5"/>
      <c r="H30" s="5"/>
      <c r="I30" s="5"/>
      <c r="J30" s="28">
        <f>I31+I32</f>
        <v>265759.81400000001</v>
      </c>
    </row>
    <row r="31" spans="1:12" ht="36" x14ac:dyDescent="0.25">
      <c r="A31" s="29">
        <v>13.1</v>
      </c>
      <c r="B31" s="6" t="s">
        <v>23</v>
      </c>
      <c r="C31" s="7" t="s">
        <v>17</v>
      </c>
      <c r="D31" s="9">
        <v>131.80000000000001</v>
      </c>
      <c r="E31" s="8">
        <v>338.8</v>
      </c>
      <c r="F31" s="8">
        <v>311.88</v>
      </c>
      <c r="G31" s="8">
        <f>+D31*E31</f>
        <v>44653.840000000004</v>
      </c>
      <c r="H31" s="8">
        <f>+D31*F31</f>
        <v>41105.784</v>
      </c>
      <c r="I31" s="8">
        <f>+G31+H31+0.19</f>
        <v>85759.814000000013</v>
      </c>
      <c r="J31" s="32"/>
    </row>
    <row r="32" spans="1:12" ht="48.75" thickBot="1" x14ac:dyDescent="0.3">
      <c r="A32" s="33">
        <v>13.2</v>
      </c>
      <c r="B32" s="34" t="s">
        <v>22</v>
      </c>
      <c r="C32" s="35" t="s">
        <v>24</v>
      </c>
      <c r="D32" s="36">
        <v>6</v>
      </c>
      <c r="E32" s="37">
        <v>15000</v>
      </c>
      <c r="F32" s="37">
        <v>15000</v>
      </c>
      <c r="G32" s="38">
        <f>+D32*E32</f>
        <v>90000</v>
      </c>
      <c r="H32" s="38">
        <f>+D32*F32</f>
        <v>90000</v>
      </c>
      <c r="I32" s="38">
        <f>+G32+H32</f>
        <v>180000</v>
      </c>
      <c r="J32" s="39"/>
    </row>
    <row r="33" spans="1:10" ht="15.75" thickBot="1" x14ac:dyDescent="0.3">
      <c r="A33" s="47" t="s">
        <v>39</v>
      </c>
      <c r="B33" s="48"/>
      <c r="C33" s="48"/>
      <c r="D33" s="48"/>
      <c r="E33" s="48"/>
      <c r="F33" s="48"/>
      <c r="G33" s="48"/>
      <c r="H33" s="48"/>
      <c r="I33" s="48"/>
      <c r="J33" s="14">
        <f>J30+J28+J24+J19+J18+J17+J16+J15+J14+J13+J12+J11+J10</f>
        <v>1117439.4650099999</v>
      </c>
    </row>
    <row r="34" spans="1:10" x14ac:dyDescent="0.25">
      <c r="H34" s="2"/>
    </row>
    <row r="35" spans="1:10" x14ac:dyDescent="0.25">
      <c r="H35" s="2"/>
    </row>
    <row r="36" spans="1:10" x14ac:dyDescent="0.25">
      <c r="H36" s="2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11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11.25" customHeight="1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</row>
    <row r="50" spans="1:10" ht="11.25" customHeight="1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</row>
    <row r="51" spans="1:10" ht="11.25" customHeight="1" x14ac:dyDescent="0.25">
      <c r="A51" s="3"/>
      <c r="B51" s="4"/>
      <c r="C51" s="4"/>
      <c r="D51" s="4"/>
      <c r="E51" s="4"/>
      <c r="F51" s="4"/>
      <c r="G51" s="4"/>
      <c r="H51" s="4"/>
      <c r="I51" s="4"/>
      <c r="J51" s="4"/>
    </row>
    <row r="52" spans="1:10" ht="11.25" customHeight="1" x14ac:dyDescent="0.25">
      <c r="A52" s="3"/>
      <c r="C52" s="4"/>
      <c r="D52" s="4"/>
      <c r="E52" s="4"/>
      <c r="F52" s="4"/>
      <c r="G52" s="4"/>
      <c r="H52" s="4"/>
      <c r="I52" s="4"/>
      <c r="J52" s="4"/>
    </row>
    <row r="53" spans="1:10" ht="11.25" customHeight="1" x14ac:dyDescent="0.25">
      <c r="A53" s="3"/>
      <c r="C53" s="4"/>
      <c r="D53" s="4"/>
      <c r="E53" s="4"/>
      <c r="F53" s="4"/>
      <c r="G53" s="4"/>
      <c r="H53" s="4"/>
      <c r="I53" s="4"/>
      <c r="J53" s="4"/>
    </row>
    <row r="54" spans="1:10" ht="11.25" customHeight="1" x14ac:dyDescent="0.25">
      <c r="A54" s="3"/>
      <c r="C54" s="4"/>
      <c r="D54" s="4"/>
      <c r="E54" s="4"/>
      <c r="F54" s="4"/>
      <c r="G54" s="4"/>
      <c r="H54" s="4"/>
      <c r="I54" s="4"/>
      <c r="J54" s="4"/>
    </row>
  </sheetData>
  <mergeCells count="5">
    <mergeCell ref="A6:J6"/>
    <mergeCell ref="B9:J9"/>
    <mergeCell ref="J20:J23"/>
    <mergeCell ref="J25:J27"/>
    <mergeCell ref="A33:I33"/>
  </mergeCells>
  <pageMargins left="0.23622047244094491" right="0.23622047244094491" top="1.3385826771653544" bottom="0.74803149606299213" header="0.31496062992125984" footer="0.31496062992125984"/>
  <pageSetup paperSize="9" orientation="landscape" r:id="rId1"/>
  <headerFooter>
    <oddHeader>&amp;L&amp;G&amp;R&amp;G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17-02-2017</vt:lpstr>
      <vt:lpstr>Hoja2</vt:lpstr>
      <vt:lpstr>'17-02-2017'!Área_de_impresión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frodriguez</cp:lastModifiedBy>
  <cp:lastPrinted>2017-05-11T12:49:40Z</cp:lastPrinted>
  <dcterms:created xsi:type="dcterms:W3CDTF">2016-09-21T16:37:30Z</dcterms:created>
  <dcterms:modified xsi:type="dcterms:W3CDTF">2017-05-11T12:56:08Z</dcterms:modified>
</cp:coreProperties>
</file>