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os Usuarios\frodriguez\Mis Documentos\Ordenanzas\2016\"/>
    </mc:Choice>
  </mc:AlternateContent>
  <bookViews>
    <workbookView xWindow="0" yWindow="0" windowWidth="15000" windowHeight="7545"/>
  </bookViews>
  <sheets>
    <sheet name="tabla const PROYECTO 2017" sheetId="1" r:id="rId1"/>
  </sheets>
  <definedNames>
    <definedName name="_xlnm.Print_Area" localSheetId="0">'tabla const PROYECTO 2017'!$B$13:$G$99</definedName>
    <definedName name="_xlnm.Print_Titles" localSheetId="0">'tabla const PROYECTO 2017'!$13:$16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G22" i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B21" i="1"/>
  <c r="B22" i="1" s="1"/>
  <c r="B23" i="1" s="1"/>
  <c r="B19" i="1"/>
  <c r="B20" i="1" s="1"/>
  <c r="G18" i="1"/>
  <c r="G19" i="1" s="1"/>
  <c r="G20" i="1" s="1"/>
  <c r="G21" i="1" s="1"/>
  <c r="F18" i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D17" i="1"/>
  <c r="C17" i="1"/>
  <c r="G11" i="1"/>
  <c r="F11" i="1"/>
  <c r="F5" i="1"/>
  <c r="G17" i="1" s="1"/>
  <c r="E5" i="1"/>
  <c r="F17" i="1" s="1"/>
  <c r="D5" i="1"/>
  <c r="E17" i="1" s="1"/>
  <c r="C5" i="1"/>
  <c r="B5" i="1"/>
  <c r="F4" i="1"/>
  <c r="E4" i="1"/>
  <c r="D4" i="1"/>
  <c r="C4" i="1"/>
  <c r="B4" i="1"/>
  <c r="C18" i="1" l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1" i="1"/>
  <c r="D11" i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E11" i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</calcChain>
</file>

<file path=xl/sharedStrings.xml><?xml version="1.0" encoding="utf-8"?>
<sst xmlns="http://schemas.openxmlformats.org/spreadsheetml/2006/main" count="17" uniqueCount="12">
  <si>
    <t>PROYECTO TARIFARIA 2017</t>
  </si>
  <si>
    <t>VALOR M2 CONSTRUCCION DIR. ESTADISTICAS Y CENSOS. A AGOSTO  2017: $10.009,20-</t>
  </si>
  <si>
    <t>INCREMENTO CATEGORIAS</t>
  </si>
  <si>
    <t>Categoria 1</t>
  </si>
  <si>
    <t>Categoria 2</t>
  </si>
  <si>
    <t>Categoria 3</t>
  </si>
  <si>
    <t>Categoria 4</t>
  </si>
  <si>
    <t>Categoria 5</t>
  </si>
  <si>
    <t>ANEXO II</t>
  </si>
  <si>
    <t>TABLA DE VALORES SEGÚN CATEGORÍA DE LA CONSTRUCCIÓN A PARTIR DEL AÑO 2017</t>
  </si>
  <si>
    <t>Años</t>
  </si>
  <si>
    <t>1935 y 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</si>
</sst>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.0000_ ;_ * \-#,##0.0000_ ;_ * &quot;-&quot;??_ ;_ @_ 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000000"/>
      <name val="Courier New"/>
      <family val="3"/>
    </font>
    <font>
      <b/>
      <sz val="12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164" fontId="0" fillId="0" borderId="1" xfId="1" applyNumberFormat="1" applyFont="1" applyBorder="1"/>
    <xf numFmtId="165" fontId="0" fillId="0" borderId="1" xfId="0" applyNumberFormat="1" applyBorder="1"/>
    <xf numFmtId="0" fontId="2" fillId="0" borderId="0" xfId="0" applyFont="1"/>
    <xf numFmtId="165" fontId="2" fillId="0" borderId="1" xfId="0" applyNumberFormat="1" applyFon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1" fillId="0" borderId="1" xfId="1" applyFont="1" applyBorder="1"/>
    <xf numFmtId="165" fontId="0" fillId="0" borderId="6" xfId="0" applyNumberFormat="1" applyFill="1" applyBorder="1"/>
    <xf numFmtId="165" fontId="0" fillId="0" borderId="6" xfId="1" applyNumberFormat="1" applyFont="1" applyFill="1" applyBorder="1"/>
    <xf numFmtId="165" fontId="0" fillId="0" borderId="0" xfId="0" applyNumberFormat="1" applyBorder="1"/>
    <xf numFmtId="43" fontId="0" fillId="0" borderId="0" xfId="1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04"/>
  <sheetViews>
    <sheetView tabSelected="1" topLeftCell="A39" zoomScaleNormal="100" workbookViewId="0">
      <selection activeCell="E12" sqref="D12:E12"/>
    </sheetView>
  </sheetViews>
  <sheetFormatPr baseColWidth="10" defaultRowHeight="15" x14ac:dyDescent="0.25"/>
  <cols>
    <col min="1" max="1" width="5" bestFit="1" customWidth="1"/>
    <col min="2" max="2" width="10.42578125" customWidth="1"/>
    <col min="3" max="3" width="11.42578125" customWidth="1"/>
    <col min="4" max="4" width="13.140625" customWidth="1"/>
    <col min="5" max="5" width="12.28515625" customWidth="1"/>
    <col min="6" max="6" width="14.42578125" customWidth="1"/>
    <col min="7" max="7" width="18" customWidth="1"/>
  </cols>
  <sheetData>
    <row r="1" spans="1:8" hidden="1" x14ac:dyDescent="0.25">
      <c r="C1" s="1" t="s">
        <v>0</v>
      </c>
    </row>
    <row r="2" spans="1:8" hidden="1" x14ac:dyDescent="0.25"/>
    <row r="3" spans="1:8" hidden="1" x14ac:dyDescent="0.25">
      <c r="A3">
        <v>2015</v>
      </c>
      <c r="B3" s="2">
        <v>6757.5019499999999</v>
      </c>
      <c r="C3" s="2">
        <v>5068.1264600000004</v>
      </c>
      <c r="D3" s="2">
        <v>3128.4731299999999</v>
      </c>
      <c r="E3" s="2">
        <v>1251.3892499999999</v>
      </c>
      <c r="F3" s="2">
        <v>625.69462499999997</v>
      </c>
    </row>
    <row r="4" spans="1:8" hidden="1" x14ac:dyDescent="0.25">
      <c r="A4">
        <v>2016</v>
      </c>
      <c r="B4" s="3">
        <f>+B3*1.36</f>
        <v>9190.2026519999999</v>
      </c>
      <c r="C4" s="3">
        <f t="shared" ref="C4:F4" si="0">+C3*1.36</f>
        <v>6892.6519856000014</v>
      </c>
      <c r="D4" s="3">
        <f t="shared" si="0"/>
        <v>4254.7234568000003</v>
      </c>
      <c r="E4" s="3">
        <f t="shared" si="0"/>
        <v>1701.8893800000001</v>
      </c>
      <c r="F4" s="3">
        <f t="shared" si="0"/>
        <v>850.94469000000004</v>
      </c>
    </row>
    <row r="5" spans="1:8" hidden="1" x14ac:dyDescent="0.25">
      <c r="A5" s="4">
        <v>2017</v>
      </c>
      <c r="B5" s="5">
        <f>+B4*1.39</f>
        <v>12774.381686279999</v>
      </c>
      <c r="C5" s="5">
        <f t="shared" ref="C5:F5" si="1">+C4*1.39</f>
        <v>9580.7862599840009</v>
      </c>
      <c r="D5" s="5">
        <f t="shared" si="1"/>
        <v>5914.0656049520003</v>
      </c>
      <c r="E5" s="5">
        <f t="shared" si="1"/>
        <v>2365.6262382</v>
      </c>
      <c r="F5" s="5">
        <f t="shared" si="1"/>
        <v>1182.8131191</v>
      </c>
    </row>
    <row r="6" spans="1:8" hidden="1" x14ac:dyDescent="0.25"/>
    <row r="7" spans="1:8" hidden="1" x14ac:dyDescent="0.25">
      <c r="B7" t="s">
        <v>1</v>
      </c>
      <c r="H7" s="6"/>
    </row>
    <row r="8" spans="1:8" hidden="1" x14ac:dyDescent="0.25"/>
    <row r="9" spans="1:8" hidden="1" x14ac:dyDescent="0.25">
      <c r="D9" t="s">
        <v>2</v>
      </c>
    </row>
    <row r="10" spans="1:8" hidden="1" x14ac:dyDescent="0.25"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</row>
    <row r="11" spans="1:8" hidden="1" x14ac:dyDescent="0.25">
      <c r="C11" s="8">
        <f>+C17/B4</f>
        <v>1.39</v>
      </c>
      <c r="D11" s="8">
        <f>+D17/C4</f>
        <v>1.39</v>
      </c>
      <c r="E11" s="8">
        <f>+E17/D4</f>
        <v>1.39</v>
      </c>
      <c r="F11" s="8">
        <f>+F17/E4</f>
        <v>1.39</v>
      </c>
      <c r="G11" s="8">
        <f>+G17/F4</f>
        <v>1.39</v>
      </c>
    </row>
    <row r="12" spans="1:8" ht="15.75" thickBot="1" x14ac:dyDescent="0.3"/>
    <row r="13" spans="1:8" ht="15" customHeight="1" thickBot="1" x14ac:dyDescent="0.4">
      <c r="B13" s="18" t="s">
        <v>8</v>
      </c>
      <c r="C13" s="19"/>
      <c r="D13" s="19"/>
      <c r="E13" s="19"/>
      <c r="F13" s="19"/>
      <c r="G13" s="20"/>
    </row>
    <row r="14" spans="1:8" ht="16.5" customHeight="1" x14ac:dyDescent="0.25">
      <c r="B14" s="21" t="s">
        <v>9</v>
      </c>
      <c r="C14" s="21"/>
      <c r="D14" s="21"/>
      <c r="E14" s="21"/>
      <c r="F14" s="21"/>
      <c r="G14" s="21"/>
    </row>
    <row r="15" spans="1:8" ht="16.5" customHeight="1" x14ac:dyDescent="0.25">
      <c r="B15" s="22"/>
      <c r="C15" s="22"/>
      <c r="D15" s="22"/>
      <c r="E15" s="22"/>
      <c r="F15" s="22"/>
      <c r="G15" s="22"/>
    </row>
    <row r="16" spans="1:8" x14ac:dyDescent="0.25">
      <c r="B16" s="9" t="s">
        <v>10</v>
      </c>
      <c r="C16" s="9" t="s">
        <v>3</v>
      </c>
      <c r="D16" s="9" t="s">
        <v>4</v>
      </c>
      <c r="E16" s="9" t="s">
        <v>5</v>
      </c>
      <c r="F16" s="9" t="s">
        <v>6</v>
      </c>
      <c r="G16" s="9" t="s">
        <v>7</v>
      </c>
      <c r="H16" s="10"/>
    </row>
    <row r="17" spans="2:14" x14ac:dyDescent="0.25">
      <c r="B17" s="11">
        <v>2017</v>
      </c>
      <c r="C17" s="12">
        <f>+B5</f>
        <v>12774.381686279999</v>
      </c>
      <c r="D17" s="12">
        <f t="shared" ref="D17:G17" si="2">+C5</f>
        <v>9580.7862599840009</v>
      </c>
      <c r="E17" s="13">
        <f t="shared" si="2"/>
        <v>5914.0656049520003</v>
      </c>
      <c r="F17" s="12">
        <f t="shared" si="2"/>
        <v>2365.6262382</v>
      </c>
      <c r="G17" s="12">
        <f t="shared" si="2"/>
        <v>1182.8131191</v>
      </c>
      <c r="H17" s="14"/>
      <c r="I17" s="10"/>
    </row>
    <row r="18" spans="2:14" x14ac:dyDescent="0.25">
      <c r="B18" s="11">
        <v>2016</v>
      </c>
      <c r="C18" s="12">
        <f>+C17</f>
        <v>12774.381686279999</v>
      </c>
      <c r="D18" s="12">
        <f t="shared" ref="D18:G18" si="3">+D17</f>
        <v>9580.7862599840009</v>
      </c>
      <c r="E18" s="12">
        <f t="shared" si="3"/>
        <v>5914.0656049520003</v>
      </c>
      <c r="F18" s="12">
        <f t="shared" si="3"/>
        <v>2365.6262382</v>
      </c>
      <c r="G18" s="12">
        <f t="shared" si="3"/>
        <v>1182.8131191</v>
      </c>
      <c r="H18" s="15"/>
      <c r="I18" s="10"/>
    </row>
    <row r="19" spans="2:14" x14ac:dyDescent="0.25">
      <c r="B19" s="11">
        <f>B18-1</f>
        <v>2015</v>
      </c>
      <c r="C19" s="12">
        <f>C18-(C18*0.01)</f>
        <v>12646.6378694172</v>
      </c>
      <c r="D19" s="12">
        <f>D18-(D18*0.01)</f>
        <v>9484.9783973841604</v>
      </c>
      <c r="E19" s="12">
        <f>E18-(E18*0.01)</f>
        <v>5854.9249489024805</v>
      </c>
      <c r="F19" s="12">
        <f>F18-(F18*0.01)</f>
        <v>2341.969975818</v>
      </c>
      <c r="G19" s="12">
        <f>G18-(G18*0.01)</f>
        <v>1170.984987909</v>
      </c>
      <c r="H19" s="16"/>
    </row>
    <row r="20" spans="2:14" x14ac:dyDescent="0.25">
      <c r="B20" s="11">
        <f>B19-1</f>
        <v>2014</v>
      </c>
      <c r="C20" s="12">
        <f>C19-(C19*0.01)</f>
        <v>12520.171490723027</v>
      </c>
      <c r="D20" s="12">
        <f t="shared" ref="C20:G35" si="4">D19-(D19*0.01)</f>
        <v>9390.1286134103193</v>
      </c>
      <c r="E20" s="12">
        <f t="shared" si="4"/>
        <v>5796.3756994134555</v>
      </c>
      <c r="F20" s="12">
        <f t="shared" si="4"/>
        <v>2318.5502760598201</v>
      </c>
      <c r="G20" s="12">
        <f>G19-(G19*0.01)</f>
        <v>1159.2751380299101</v>
      </c>
      <c r="H20" s="16"/>
    </row>
    <row r="21" spans="2:14" x14ac:dyDescent="0.25">
      <c r="B21" s="11">
        <f t="shared" ref="B21:B84" si="5">B20-1</f>
        <v>2013</v>
      </c>
      <c r="C21" s="12">
        <f t="shared" si="4"/>
        <v>12394.969775815796</v>
      </c>
      <c r="D21" s="12">
        <f t="shared" si="4"/>
        <v>9296.2273272762159</v>
      </c>
      <c r="E21" s="12">
        <f t="shared" si="4"/>
        <v>5738.4119424193213</v>
      </c>
      <c r="F21" s="12">
        <f t="shared" si="4"/>
        <v>2295.3647732992217</v>
      </c>
      <c r="G21" s="12">
        <f t="shared" si="4"/>
        <v>1147.6823866496109</v>
      </c>
      <c r="H21" s="16"/>
    </row>
    <row r="22" spans="2:14" x14ac:dyDescent="0.25">
      <c r="B22" s="11">
        <f t="shared" si="5"/>
        <v>2012</v>
      </c>
      <c r="C22" s="12">
        <f t="shared" si="4"/>
        <v>12271.020078057638</v>
      </c>
      <c r="D22" s="12">
        <f t="shared" si="4"/>
        <v>9203.2650540034538</v>
      </c>
      <c r="E22" s="12">
        <f t="shared" si="4"/>
        <v>5681.0278229951282</v>
      </c>
      <c r="F22" s="12">
        <f t="shared" si="4"/>
        <v>2272.4111255662297</v>
      </c>
      <c r="G22" s="12">
        <f t="shared" si="4"/>
        <v>1136.2055627831148</v>
      </c>
      <c r="H22" s="16"/>
    </row>
    <row r="23" spans="2:14" x14ac:dyDescent="0.25">
      <c r="B23" s="11">
        <f t="shared" si="5"/>
        <v>2011</v>
      </c>
      <c r="C23" s="12">
        <f t="shared" si="4"/>
        <v>12148.309877277061</v>
      </c>
      <c r="D23" s="12">
        <f t="shared" si="4"/>
        <v>9111.2324034634184</v>
      </c>
      <c r="E23" s="12">
        <f t="shared" si="4"/>
        <v>5624.2175447651771</v>
      </c>
      <c r="F23" s="12">
        <f t="shared" si="4"/>
        <v>2249.6870143105675</v>
      </c>
      <c r="G23" s="12">
        <f t="shared" si="4"/>
        <v>1124.8435071552838</v>
      </c>
      <c r="H23" s="16"/>
      <c r="J23" s="17"/>
      <c r="K23" s="17"/>
      <c r="L23" s="17"/>
      <c r="M23" s="17"/>
      <c r="N23" s="17"/>
    </row>
    <row r="24" spans="2:14" x14ac:dyDescent="0.25">
      <c r="B24" s="11">
        <f t="shared" si="5"/>
        <v>2010</v>
      </c>
      <c r="C24" s="12">
        <f t="shared" si="4"/>
        <v>12026.82677850429</v>
      </c>
      <c r="D24" s="12">
        <f t="shared" si="4"/>
        <v>9020.1200794287834</v>
      </c>
      <c r="E24" s="12">
        <f t="shared" si="4"/>
        <v>5567.9753693175253</v>
      </c>
      <c r="F24" s="12">
        <f t="shared" si="4"/>
        <v>2227.1901441674618</v>
      </c>
      <c r="G24" s="12">
        <f t="shared" si="4"/>
        <v>1113.5950720837309</v>
      </c>
      <c r="H24" s="16"/>
      <c r="J24" s="17"/>
      <c r="K24" s="17"/>
      <c r="L24" s="17"/>
      <c r="M24" s="17"/>
      <c r="N24" s="17"/>
    </row>
    <row r="25" spans="2:14" x14ac:dyDescent="0.25">
      <c r="B25" s="11">
        <f t="shared" si="5"/>
        <v>2009</v>
      </c>
      <c r="C25" s="12">
        <f t="shared" si="4"/>
        <v>11906.558510719247</v>
      </c>
      <c r="D25" s="12">
        <f t="shared" si="4"/>
        <v>8929.9188786344948</v>
      </c>
      <c r="E25" s="12">
        <f t="shared" si="4"/>
        <v>5512.2956156243499</v>
      </c>
      <c r="F25" s="12">
        <f t="shared" si="4"/>
        <v>2204.918242725787</v>
      </c>
      <c r="G25" s="12">
        <f t="shared" si="4"/>
        <v>1102.4591213628935</v>
      </c>
      <c r="H25" s="16"/>
      <c r="J25" s="17"/>
      <c r="K25" s="17"/>
      <c r="L25" s="17"/>
      <c r="M25" s="17"/>
      <c r="N25" s="17"/>
    </row>
    <row r="26" spans="2:14" x14ac:dyDescent="0.25">
      <c r="B26" s="11">
        <f t="shared" si="5"/>
        <v>2008</v>
      </c>
      <c r="C26" s="12">
        <f t="shared" si="4"/>
        <v>11787.492925612054</v>
      </c>
      <c r="D26" s="12">
        <f t="shared" si="4"/>
        <v>8840.6196898481503</v>
      </c>
      <c r="E26" s="12">
        <f t="shared" si="4"/>
        <v>5457.1726594681068</v>
      </c>
      <c r="F26" s="12">
        <f t="shared" si="4"/>
        <v>2182.8690602985289</v>
      </c>
      <c r="G26" s="12">
        <f t="shared" si="4"/>
        <v>1091.4345301492644</v>
      </c>
      <c r="H26" s="16"/>
      <c r="J26" s="17"/>
      <c r="K26" s="17"/>
      <c r="L26" s="17"/>
      <c r="M26" s="17"/>
      <c r="N26" s="17"/>
    </row>
    <row r="27" spans="2:14" x14ac:dyDescent="0.25">
      <c r="B27" s="11">
        <f t="shared" si="5"/>
        <v>2007</v>
      </c>
      <c r="C27" s="12">
        <f t="shared" si="4"/>
        <v>11669.617996355933</v>
      </c>
      <c r="D27" s="12">
        <f t="shared" si="4"/>
        <v>8752.2134929496697</v>
      </c>
      <c r="E27" s="12">
        <f t="shared" si="4"/>
        <v>5402.6009328734253</v>
      </c>
      <c r="F27" s="12">
        <f t="shared" si="4"/>
        <v>2161.0403696955436</v>
      </c>
      <c r="G27" s="12">
        <f t="shared" si="4"/>
        <v>1080.5201848477718</v>
      </c>
      <c r="H27" s="16"/>
      <c r="J27" s="17"/>
      <c r="K27" s="17"/>
      <c r="L27" s="17"/>
      <c r="M27" s="17"/>
      <c r="N27" s="17"/>
    </row>
    <row r="28" spans="2:14" x14ac:dyDescent="0.25">
      <c r="B28" s="11">
        <f t="shared" si="5"/>
        <v>2006</v>
      </c>
      <c r="C28" s="12">
        <f t="shared" si="4"/>
        <v>11552.921816392374</v>
      </c>
      <c r="D28" s="12">
        <f t="shared" si="4"/>
        <v>8664.6913580201726</v>
      </c>
      <c r="E28" s="12">
        <f t="shared" si="4"/>
        <v>5348.574923544691</v>
      </c>
      <c r="F28" s="12">
        <f t="shared" si="4"/>
        <v>2139.4299659985882</v>
      </c>
      <c r="G28" s="12">
        <f t="shared" si="4"/>
        <v>1069.7149829992941</v>
      </c>
      <c r="H28" s="16"/>
      <c r="J28" s="17"/>
      <c r="K28" s="17"/>
      <c r="L28" s="17"/>
      <c r="M28" s="17"/>
      <c r="N28" s="17"/>
    </row>
    <row r="29" spans="2:14" x14ac:dyDescent="0.25">
      <c r="B29" s="11">
        <f t="shared" si="5"/>
        <v>2005</v>
      </c>
      <c r="C29" s="12">
        <f t="shared" si="4"/>
        <v>11437.392598228451</v>
      </c>
      <c r="D29" s="12">
        <f t="shared" si="4"/>
        <v>8578.0444444399709</v>
      </c>
      <c r="E29" s="12">
        <f t="shared" si="4"/>
        <v>5295.0891743092443</v>
      </c>
      <c r="F29" s="12">
        <f t="shared" si="4"/>
        <v>2118.0356663386024</v>
      </c>
      <c r="G29" s="12">
        <f t="shared" si="4"/>
        <v>1059.0178331693012</v>
      </c>
      <c r="H29" s="16"/>
      <c r="J29" s="17"/>
      <c r="K29" s="17"/>
      <c r="L29" s="17"/>
      <c r="M29" s="17"/>
      <c r="N29" s="17"/>
    </row>
    <row r="30" spans="2:14" x14ac:dyDescent="0.25">
      <c r="B30" s="11">
        <f t="shared" si="5"/>
        <v>2004</v>
      </c>
      <c r="C30" s="12">
        <f t="shared" si="4"/>
        <v>11323.018672246166</v>
      </c>
      <c r="D30" s="12">
        <f t="shared" si="4"/>
        <v>8492.2639999955718</v>
      </c>
      <c r="E30" s="12">
        <f t="shared" si="4"/>
        <v>5242.1382825661522</v>
      </c>
      <c r="F30" s="12">
        <f t="shared" si="4"/>
        <v>2096.8553096752162</v>
      </c>
      <c r="G30" s="12">
        <f t="shared" si="4"/>
        <v>1048.4276548376081</v>
      </c>
      <c r="H30" s="16"/>
      <c r="J30" s="17"/>
      <c r="K30" s="17"/>
      <c r="L30" s="17"/>
      <c r="M30" s="17"/>
      <c r="N30" s="17"/>
    </row>
    <row r="31" spans="2:14" x14ac:dyDescent="0.25">
      <c r="B31" s="11">
        <f t="shared" si="5"/>
        <v>2003</v>
      </c>
      <c r="C31" s="12">
        <f t="shared" si="4"/>
        <v>11209.788485523704</v>
      </c>
      <c r="D31" s="12">
        <f t="shared" si="4"/>
        <v>8407.3413599956166</v>
      </c>
      <c r="E31" s="12">
        <f t="shared" si="4"/>
        <v>5189.7168997404906</v>
      </c>
      <c r="F31" s="12">
        <f t="shared" si="4"/>
        <v>2075.886756578464</v>
      </c>
      <c r="G31" s="12">
        <f t="shared" si="4"/>
        <v>1037.943378289232</v>
      </c>
      <c r="H31" s="16"/>
      <c r="J31" s="17"/>
      <c r="K31" s="17"/>
      <c r="L31" s="17"/>
      <c r="M31" s="17"/>
      <c r="N31" s="17"/>
    </row>
    <row r="32" spans="2:14" x14ac:dyDescent="0.25">
      <c r="B32" s="11">
        <f t="shared" si="5"/>
        <v>2002</v>
      </c>
      <c r="C32" s="12">
        <f t="shared" si="4"/>
        <v>11097.690600668468</v>
      </c>
      <c r="D32" s="12">
        <f t="shared" si="4"/>
        <v>8323.2679463956611</v>
      </c>
      <c r="E32" s="12">
        <f t="shared" si="4"/>
        <v>5137.8197307430855</v>
      </c>
      <c r="F32" s="12">
        <f t="shared" si="4"/>
        <v>2055.1278890126791</v>
      </c>
      <c r="G32" s="12">
        <f t="shared" si="4"/>
        <v>1027.5639445063396</v>
      </c>
      <c r="H32" s="16"/>
      <c r="J32" s="17"/>
      <c r="K32" s="17"/>
      <c r="L32" s="17"/>
      <c r="M32" s="17"/>
      <c r="N32" s="17"/>
    </row>
    <row r="33" spans="2:14" x14ac:dyDescent="0.25">
      <c r="B33" s="11">
        <f>B32-1</f>
        <v>2001</v>
      </c>
      <c r="C33" s="12">
        <f t="shared" si="4"/>
        <v>10986.713694661783</v>
      </c>
      <c r="D33" s="12">
        <f t="shared" si="4"/>
        <v>8240.0352669317053</v>
      </c>
      <c r="E33" s="12">
        <f t="shared" si="4"/>
        <v>5086.4415334356545</v>
      </c>
      <c r="F33" s="12">
        <f t="shared" si="4"/>
        <v>2034.5766101225524</v>
      </c>
      <c r="G33" s="12">
        <f t="shared" si="4"/>
        <v>1017.2883050612762</v>
      </c>
      <c r="H33" s="16"/>
      <c r="J33" s="17"/>
      <c r="K33" s="17"/>
      <c r="L33" s="17"/>
      <c r="M33" s="17"/>
      <c r="N33" s="17"/>
    </row>
    <row r="34" spans="2:14" x14ac:dyDescent="0.25">
      <c r="B34" s="11">
        <f t="shared" si="5"/>
        <v>2000</v>
      </c>
      <c r="C34" s="12">
        <f t="shared" si="4"/>
        <v>10876.846557715166</v>
      </c>
      <c r="D34" s="12">
        <f t="shared" si="4"/>
        <v>8157.6349142623885</v>
      </c>
      <c r="E34" s="12">
        <f t="shared" si="4"/>
        <v>5035.5771181012979</v>
      </c>
      <c r="F34" s="12">
        <f t="shared" si="4"/>
        <v>2014.2308440213269</v>
      </c>
      <c r="G34" s="12">
        <f t="shared" si="4"/>
        <v>1007.1154220106635</v>
      </c>
      <c r="H34" s="16"/>
      <c r="I34" s="16"/>
      <c r="J34" s="16"/>
      <c r="K34" s="16"/>
      <c r="L34" s="16"/>
      <c r="M34" s="17"/>
      <c r="N34" s="17"/>
    </row>
    <row r="35" spans="2:14" x14ac:dyDescent="0.25">
      <c r="B35" s="11">
        <f t="shared" si="5"/>
        <v>1999</v>
      </c>
      <c r="C35" s="12">
        <f t="shared" si="4"/>
        <v>10768.078092138014</v>
      </c>
      <c r="D35" s="12">
        <f t="shared" si="4"/>
        <v>8076.0585651197644</v>
      </c>
      <c r="E35" s="12">
        <f t="shared" si="4"/>
        <v>4985.2213469202852</v>
      </c>
      <c r="F35" s="12">
        <f t="shared" si="4"/>
        <v>1994.0885355811135</v>
      </c>
      <c r="G35" s="12">
        <f t="shared" si="4"/>
        <v>997.04426779055677</v>
      </c>
      <c r="H35" s="16"/>
      <c r="J35" s="17"/>
      <c r="K35" s="17"/>
      <c r="L35" s="17"/>
      <c r="M35" s="17"/>
      <c r="N35" s="17"/>
    </row>
    <row r="36" spans="2:14" x14ac:dyDescent="0.25">
      <c r="B36" s="11">
        <f t="shared" si="5"/>
        <v>1998</v>
      </c>
      <c r="C36" s="12">
        <f t="shared" ref="C36:G51" si="6">C35-(C35*0.01)</f>
        <v>10660.397311216633</v>
      </c>
      <c r="D36" s="12">
        <f t="shared" si="6"/>
        <v>7995.2979794685671</v>
      </c>
      <c r="E36" s="12">
        <f t="shared" si="6"/>
        <v>4935.3691334510822</v>
      </c>
      <c r="F36" s="12">
        <f t="shared" si="6"/>
        <v>1974.1476502253024</v>
      </c>
      <c r="G36" s="12">
        <f t="shared" si="6"/>
        <v>987.07382511265121</v>
      </c>
      <c r="H36" s="16"/>
      <c r="J36" s="17"/>
      <c r="K36" s="17"/>
      <c r="L36" s="17"/>
      <c r="M36" s="17"/>
      <c r="N36" s="17"/>
    </row>
    <row r="37" spans="2:14" x14ac:dyDescent="0.25">
      <c r="B37" s="11">
        <f t="shared" si="5"/>
        <v>1997</v>
      </c>
      <c r="C37" s="12">
        <f t="shared" si="6"/>
        <v>10553.793338104468</v>
      </c>
      <c r="D37" s="12">
        <f t="shared" si="6"/>
        <v>7915.3449996738818</v>
      </c>
      <c r="E37" s="12">
        <f t="shared" si="6"/>
        <v>4886.0154421165716</v>
      </c>
      <c r="F37" s="12">
        <f t="shared" si="6"/>
        <v>1954.4061737230493</v>
      </c>
      <c r="G37" s="12">
        <f t="shared" si="6"/>
        <v>977.20308686152464</v>
      </c>
      <c r="H37" s="16"/>
      <c r="J37" s="17"/>
      <c r="K37" s="17"/>
      <c r="L37" s="17"/>
      <c r="M37" s="17"/>
      <c r="N37" s="17"/>
    </row>
    <row r="38" spans="2:14" x14ac:dyDescent="0.25">
      <c r="B38" s="11">
        <f t="shared" si="5"/>
        <v>1996</v>
      </c>
      <c r="C38" s="12">
        <f t="shared" si="6"/>
        <v>10448.255404723423</v>
      </c>
      <c r="D38" s="12">
        <f t="shared" si="6"/>
        <v>7836.1915496771426</v>
      </c>
      <c r="E38" s="12">
        <f t="shared" si="6"/>
        <v>4837.1552876954056</v>
      </c>
      <c r="F38" s="12">
        <f t="shared" si="6"/>
        <v>1934.8621119858187</v>
      </c>
      <c r="G38" s="12">
        <f t="shared" si="6"/>
        <v>967.43105599290936</v>
      </c>
      <c r="H38" s="16"/>
      <c r="J38" s="17"/>
      <c r="K38" s="17"/>
      <c r="L38" s="17"/>
      <c r="M38" s="17"/>
      <c r="N38" s="17"/>
    </row>
    <row r="39" spans="2:14" x14ac:dyDescent="0.25">
      <c r="B39" s="11">
        <f t="shared" si="5"/>
        <v>1995</v>
      </c>
      <c r="C39" s="12">
        <f t="shared" si="6"/>
        <v>10343.772850676189</v>
      </c>
      <c r="D39" s="12">
        <f t="shared" si="6"/>
        <v>7757.8296341803707</v>
      </c>
      <c r="E39" s="12">
        <f t="shared" si="6"/>
        <v>4788.7837348184512</v>
      </c>
      <c r="F39" s="12">
        <f t="shared" si="6"/>
        <v>1915.5134908659606</v>
      </c>
      <c r="G39" s="12">
        <f t="shared" si="6"/>
        <v>957.75674543298032</v>
      </c>
      <c r="H39" s="16"/>
      <c r="J39" s="17"/>
      <c r="K39" s="17"/>
      <c r="L39" s="17"/>
      <c r="M39" s="17"/>
      <c r="N39" s="17"/>
    </row>
    <row r="40" spans="2:14" x14ac:dyDescent="0.25">
      <c r="B40" s="11">
        <f t="shared" si="5"/>
        <v>1994</v>
      </c>
      <c r="C40" s="12">
        <f t="shared" si="6"/>
        <v>10240.335122169427</v>
      </c>
      <c r="D40" s="12">
        <f t="shared" si="6"/>
        <v>7680.2513378385665</v>
      </c>
      <c r="E40" s="12">
        <f t="shared" si="6"/>
        <v>4740.8958974702664</v>
      </c>
      <c r="F40" s="12">
        <f t="shared" si="6"/>
        <v>1896.358355957301</v>
      </c>
      <c r="G40" s="12">
        <f t="shared" si="6"/>
        <v>948.1791779786505</v>
      </c>
      <c r="H40" s="16"/>
      <c r="J40" s="17"/>
      <c r="K40" s="17"/>
      <c r="L40" s="17"/>
      <c r="M40" s="17"/>
      <c r="N40" s="17"/>
    </row>
    <row r="41" spans="2:14" x14ac:dyDescent="0.25">
      <c r="B41" s="11">
        <f t="shared" si="5"/>
        <v>1993</v>
      </c>
      <c r="C41" s="12">
        <f t="shared" si="6"/>
        <v>10137.931770947733</v>
      </c>
      <c r="D41" s="12">
        <f t="shared" si="6"/>
        <v>7603.4488244601807</v>
      </c>
      <c r="E41" s="12">
        <f t="shared" si="6"/>
        <v>4693.4869384955637</v>
      </c>
      <c r="F41" s="12">
        <f t="shared" si="6"/>
        <v>1877.394772397728</v>
      </c>
      <c r="G41" s="12">
        <f t="shared" si="6"/>
        <v>938.69738619886402</v>
      </c>
      <c r="H41" s="16"/>
      <c r="J41" s="17"/>
      <c r="K41" s="17"/>
      <c r="L41" s="17"/>
      <c r="M41" s="17"/>
      <c r="N41" s="17"/>
    </row>
    <row r="42" spans="2:14" x14ac:dyDescent="0.25">
      <c r="B42" s="11">
        <f t="shared" si="5"/>
        <v>1992</v>
      </c>
      <c r="C42" s="12">
        <f t="shared" si="6"/>
        <v>10036.552453238255</v>
      </c>
      <c r="D42" s="12">
        <f t="shared" si="6"/>
        <v>7527.4143362155792</v>
      </c>
      <c r="E42" s="12">
        <f t="shared" si="6"/>
        <v>4646.5520691106076</v>
      </c>
      <c r="F42" s="12">
        <f t="shared" si="6"/>
        <v>1858.6208246737508</v>
      </c>
      <c r="G42" s="12">
        <f t="shared" si="6"/>
        <v>929.3104123368754</v>
      </c>
      <c r="H42" s="16"/>
      <c r="J42" s="17"/>
      <c r="K42" s="17"/>
      <c r="L42" s="17"/>
      <c r="M42" s="17"/>
      <c r="N42" s="17"/>
    </row>
    <row r="43" spans="2:14" x14ac:dyDescent="0.25">
      <c r="B43" s="11">
        <f t="shared" si="5"/>
        <v>1991</v>
      </c>
      <c r="C43" s="12">
        <f t="shared" si="6"/>
        <v>9936.1869287058726</v>
      </c>
      <c r="D43" s="12">
        <f t="shared" si="6"/>
        <v>7452.1401928534233</v>
      </c>
      <c r="E43" s="12">
        <f t="shared" si="6"/>
        <v>4600.0865484195019</v>
      </c>
      <c r="F43" s="12">
        <f t="shared" si="6"/>
        <v>1840.0346164270134</v>
      </c>
      <c r="G43" s="12">
        <f t="shared" si="6"/>
        <v>920.01730821350668</v>
      </c>
      <c r="H43" s="16"/>
      <c r="J43" s="17"/>
      <c r="K43" s="17"/>
      <c r="L43" s="17"/>
      <c r="M43" s="17"/>
      <c r="N43" s="17"/>
    </row>
    <row r="44" spans="2:14" x14ac:dyDescent="0.25">
      <c r="B44" s="11">
        <f t="shared" si="5"/>
        <v>1990</v>
      </c>
      <c r="C44" s="12">
        <f t="shared" si="6"/>
        <v>9836.8250594188139</v>
      </c>
      <c r="D44" s="12">
        <f t="shared" si="6"/>
        <v>7377.6187909248893</v>
      </c>
      <c r="E44" s="12">
        <f t="shared" si="6"/>
        <v>4554.085682935307</v>
      </c>
      <c r="F44" s="12">
        <f t="shared" si="6"/>
        <v>1821.6342702627433</v>
      </c>
      <c r="G44" s="12">
        <f t="shared" si="6"/>
        <v>910.81713513137163</v>
      </c>
      <c r="H44" s="16"/>
      <c r="J44" s="17"/>
      <c r="K44" s="17"/>
      <c r="L44" s="17"/>
      <c r="M44" s="17"/>
      <c r="N44" s="17"/>
    </row>
    <row r="45" spans="2:14" x14ac:dyDescent="0.25">
      <c r="B45" s="11">
        <f t="shared" si="5"/>
        <v>1989</v>
      </c>
      <c r="C45" s="12">
        <f t="shared" si="6"/>
        <v>9738.4568088246251</v>
      </c>
      <c r="D45" s="12">
        <f t="shared" si="6"/>
        <v>7303.8426030156406</v>
      </c>
      <c r="E45" s="12">
        <f t="shared" si="6"/>
        <v>4508.5448261059537</v>
      </c>
      <c r="F45" s="12">
        <f t="shared" si="6"/>
        <v>1803.4179275601159</v>
      </c>
      <c r="G45" s="12">
        <f t="shared" si="6"/>
        <v>901.70896378005796</v>
      </c>
      <c r="H45" s="16"/>
      <c r="J45" s="17"/>
      <c r="K45" s="17"/>
      <c r="L45" s="17"/>
      <c r="M45" s="17"/>
      <c r="N45" s="17"/>
    </row>
    <row r="46" spans="2:14" x14ac:dyDescent="0.25">
      <c r="B46" s="11">
        <f t="shared" si="5"/>
        <v>1988</v>
      </c>
      <c r="C46" s="12">
        <f t="shared" si="6"/>
        <v>9641.0722407363792</v>
      </c>
      <c r="D46" s="12">
        <f t="shared" si="6"/>
        <v>7230.8041769854844</v>
      </c>
      <c r="E46" s="12">
        <f t="shared" si="6"/>
        <v>4463.4593778448943</v>
      </c>
      <c r="F46" s="12">
        <f t="shared" si="6"/>
        <v>1785.3837482845147</v>
      </c>
      <c r="G46" s="12">
        <f t="shared" si="6"/>
        <v>892.69187414225735</v>
      </c>
      <c r="H46" s="16"/>
      <c r="J46" s="17"/>
      <c r="K46" s="17"/>
      <c r="L46" s="17"/>
      <c r="M46" s="17"/>
      <c r="N46" s="17"/>
    </row>
    <row r="47" spans="2:14" x14ac:dyDescent="0.25">
      <c r="B47" s="11">
        <f t="shared" si="5"/>
        <v>1987</v>
      </c>
      <c r="C47" s="12">
        <f t="shared" si="6"/>
        <v>9544.661518329016</v>
      </c>
      <c r="D47" s="12">
        <f t="shared" si="6"/>
        <v>7158.4961352156297</v>
      </c>
      <c r="E47" s="12">
        <f t="shared" si="6"/>
        <v>4418.8247840664453</v>
      </c>
      <c r="F47" s="12">
        <f t="shared" si="6"/>
        <v>1767.5299108016695</v>
      </c>
      <c r="G47" s="12">
        <f t="shared" si="6"/>
        <v>883.76495540083476</v>
      </c>
      <c r="H47" s="16"/>
      <c r="J47" s="17"/>
      <c r="K47" s="17"/>
      <c r="L47" s="17"/>
      <c r="M47" s="17"/>
      <c r="N47" s="17"/>
    </row>
    <row r="48" spans="2:14" x14ac:dyDescent="0.25">
      <c r="B48" s="11">
        <f t="shared" si="5"/>
        <v>1986</v>
      </c>
      <c r="C48" s="12">
        <f t="shared" si="6"/>
        <v>9449.2149031457266</v>
      </c>
      <c r="D48" s="12">
        <f t="shared" si="6"/>
        <v>7086.9111738634738</v>
      </c>
      <c r="E48" s="12">
        <f t="shared" si="6"/>
        <v>4374.6365362257811</v>
      </c>
      <c r="F48" s="12">
        <f t="shared" si="6"/>
        <v>1749.8546116936529</v>
      </c>
      <c r="G48" s="12">
        <f t="shared" si="6"/>
        <v>874.92730584682647</v>
      </c>
      <c r="H48" s="16"/>
      <c r="J48" s="17"/>
      <c r="K48" s="17"/>
      <c r="L48" s="17"/>
      <c r="M48" s="17"/>
      <c r="N48" s="17"/>
    </row>
    <row r="49" spans="2:14" x14ac:dyDescent="0.25">
      <c r="B49" s="11">
        <f t="shared" si="5"/>
        <v>1985</v>
      </c>
      <c r="C49" s="12">
        <f t="shared" si="6"/>
        <v>9354.7227541142693</v>
      </c>
      <c r="D49" s="12">
        <f t="shared" si="6"/>
        <v>7016.0420621248386</v>
      </c>
      <c r="E49" s="12">
        <f t="shared" si="6"/>
        <v>4330.8901708635231</v>
      </c>
      <c r="F49" s="12">
        <f t="shared" si="6"/>
        <v>1732.3560655767164</v>
      </c>
      <c r="G49" s="12">
        <f t="shared" si="6"/>
        <v>866.17803278835822</v>
      </c>
      <c r="H49" s="16"/>
      <c r="J49" s="17"/>
      <c r="K49" s="17"/>
      <c r="L49" s="17"/>
      <c r="M49" s="17"/>
      <c r="N49" s="17"/>
    </row>
    <row r="50" spans="2:14" x14ac:dyDescent="0.25">
      <c r="B50" s="11">
        <f t="shared" si="5"/>
        <v>1984</v>
      </c>
      <c r="C50" s="12">
        <f t="shared" si="6"/>
        <v>9261.1755265731263</v>
      </c>
      <c r="D50" s="12">
        <f t="shared" si="6"/>
        <v>6945.8816415035899</v>
      </c>
      <c r="E50" s="12">
        <f t="shared" si="6"/>
        <v>4287.5812691548881</v>
      </c>
      <c r="F50" s="12">
        <f t="shared" si="6"/>
        <v>1715.0325049209493</v>
      </c>
      <c r="G50" s="12">
        <f t="shared" si="6"/>
        <v>857.51625246047467</v>
      </c>
      <c r="H50" s="16"/>
      <c r="J50" s="17"/>
      <c r="K50" s="17"/>
      <c r="L50" s="17"/>
      <c r="M50" s="17"/>
      <c r="N50" s="17"/>
    </row>
    <row r="51" spans="2:14" x14ac:dyDescent="0.25">
      <c r="B51" s="11">
        <f t="shared" si="5"/>
        <v>1983</v>
      </c>
      <c r="C51" s="12">
        <f t="shared" si="6"/>
        <v>9168.5637713073957</v>
      </c>
      <c r="D51" s="12">
        <f t="shared" si="6"/>
        <v>6876.4228250885544</v>
      </c>
      <c r="E51" s="12">
        <f t="shared" si="6"/>
        <v>4244.705456463339</v>
      </c>
      <c r="F51" s="12">
        <f t="shared" si="6"/>
        <v>1697.8821798717399</v>
      </c>
      <c r="G51" s="12">
        <f t="shared" si="6"/>
        <v>848.94108993586997</v>
      </c>
      <c r="H51" s="16"/>
      <c r="J51" s="17"/>
      <c r="K51" s="17"/>
      <c r="L51" s="17"/>
      <c r="M51" s="17"/>
      <c r="N51" s="17"/>
    </row>
    <row r="52" spans="2:14" x14ac:dyDescent="0.25">
      <c r="B52" s="11">
        <f t="shared" si="5"/>
        <v>1982</v>
      </c>
      <c r="C52" s="12">
        <f t="shared" ref="C52:G67" si="7">C51-(C51*0.01)</f>
        <v>9076.8781335943222</v>
      </c>
      <c r="D52" s="12">
        <f t="shared" si="7"/>
        <v>6807.6585968376685</v>
      </c>
      <c r="E52" s="12">
        <f t="shared" si="7"/>
        <v>4202.2584018987054</v>
      </c>
      <c r="F52" s="12">
        <f t="shared" si="7"/>
        <v>1680.9033580730224</v>
      </c>
      <c r="G52" s="12">
        <f t="shared" si="7"/>
        <v>840.45167903651122</v>
      </c>
      <c r="H52" s="16"/>
      <c r="J52" s="17"/>
      <c r="K52" s="17"/>
      <c r="L52" s="17"/>
      <c r="M52" s="17"/>
      <c r="N52" s="17"/>
    </row>
    <row r="53" spans="2:14" x14ac:dyDescent="0.25">
      <c r="B53" s="11">
        <f t="shared" si="5"/>
        <v>1981</v>
      </c>
      <c r="C53" s="12">
        <f t="shared" si="7"/>
        <v>8986.1093522583797</v>
      </c>
      <c r="D53" s="12">
        <f t="shared" si="7"/>
        <v>6739.5820108692915</v>
      </c>
      <c r="E53" s="12">
        <f t="shared" si="7"/>
        <v>4160.2358178797185</v>
      </c>
      <c r="F53" s="12">
        <f t="shared" si="7"/>
        <v>1664.0943244922921</v>
      </c>
      <c r="G53" s="12">
        <f t="shared" si="7"/>
        <v>832.04716224614606</v>
      </c>
      <c r="H53" s="16"/>
      <c r="J53" s="17"/>
      <c r="K53" s="17"/>
      <c r="L53" s="17"/>
      <c r="M53" s="17"/>
      <c r="N53" s="17"/>
    </row>
    <row r="54" spans="2:14" x14ac:dyDescent="0.25">
      <c r="B54" s="11">
        <f t="shared" si="5"/>
        <v>1980</v>
      </c>
      <c r="C54" s="12">
        <f t="shared" si="7"/>
        <v>8896.2482587357954</v>
      </c>
      <c r="D54" s="12">
        <f t="shared" si="7"/>
        <v>6672.1861907605989</v>
      </c>
      <c r="E54" s="12">
        <f t="shared" si="7"/>
        <v>4118.6334597009218</v>
      </c>
      <c r="F54" s="12">
        <f t="shared" si="7"/>
        <v>1647.4533812473692</v>
      </c>
      <c r="G54" s="12">
        <f t="shared" si="7"/>
        <v>823.72669062368459</v>
      </c>
      <c r="H54" s="16"/>
      <c r="J54" s="17"/>
      <c r="K54" s="17"/>
      <c r="L54" s="17"/>
      <c r="M54" s="17"/>
      <c r="N54" s="17"/>
    </row>
    <row r="55" spans="2:14" x14ac:dyDescent="0.25">
      <c r="B55" s="11">
        <f t="shared" si="5"/>
        <v>1979</v>
      </c>
      <c r="C55" s="12">
        <f t="shared" si="7"/>
        <v>8807.2857761484374</v>
      </c>
      <c r="D55" s="12">
        <f t="shared" si="7"/>
        <v>6605.4643288529933</v>
      </c>
      <c r="E55" s="12">
        <f t="shared" si="7"/>
        <v>4077.4471251039126</v>
      </c>
      <c r="F55" s="12">
        <f t="shared" si="7"/>
        <v>1630.9788474348954</v>
      </c>
      <c r="G55" s="12">
        <f t="shared" si="7"/>
        <v>815.48942371744772</v>
      </c>
      <c r="H55" s="16"/>
      <c r="J55" s="17"/>
      <c r="K55" s="17"/>
      <c r="L55" s="17"/>
      <c r="M55" s="17"/>
      <c r="N55" s="17"/>
    </row>
    <row r="56" spans="2:14" x14ac:dyDescent="0.25">
      <c r="B56" s="11">
        <f t="shared" si="5"/>
        <v>1978</v>
      </c>
      <c r="C56" s="12">
        <f t="shared" si="7"/>
        <v>8719.2129183869529</v>
      </c>
      <c r="D56" s="12">
        <f t="shared" si="7"/>
        <v>6539.409685564463</v>
      </c>
      <c r="E56" s="12">
        <f t="shared" si="7"/>
        <v>4036.6726538528737</v>
      </c>
      <c r="F56" s="12">
        <f t="shared" si="7"/>
        <v>1614.6690589605464</v>
      </c>
      <c r="G56" s="12">
        <f t="shared" si="7"/>
        <v>807.3345294802732</v>
      </c>
      <c r="H56" s="16"/>
      <c r="J56" s="17"/>
      <c r="K56" s="17"/>
      <c r="L56" s="17"/>
      <c r="M56" s="17"/>
      <c r="N56" s="17"/>
    </row>
    <row r="57" spans="2:14" x14ac:dyDescent="0.25">
      <c r="B57" s="11">
        <f t="shared" si="5"/>
        <v>1977</v>
      </c>
      <c r="C57" s="12">
        <f t="shared" si="7"/>
        <v>8632.020789203083</v>
      </c>
      <c r="D57" s="12">
        <f t="shared" si="7"/>
        <v>6474.0155887088185</v>
      </c>
      <c r="E57" s="12">
        <f t="shared" si="7"/>
        <v>3996.3059273143449</v>
      </c>
      <c r="F57" s="12">
        <f t="shared" si="7"/>
        <v>1598.522368370941</v>
      </c>
      <c r="G57" s="12">
        <f t="shared" si="7"/>
        <v>799.26118418547048</v>
      </c>
      <c r="H57" s="16"/>
      <c r="J57" s="17"/>
      <c r="K57" s="17"/>
      <c r="L57" s="17"/>
      <c r="M57" s="17"/>
      <c r="N57" s="17"/>
    </row>
    <row r="58" spans="2:14" x14ac:dyDescent="0.25">
      <c r="B58" s="11">
        <f t="shared" si="5"/>
        <v>1976</v>
      </c>
      <c r="C58" s="12">
        <f t="shared" si="7"/>
        <v>8545.7005813110518</v>
      </c>
      <c r="D58" s="12">
        <f t="shared" si="7"/>
        <v>6409.2754328217306</v>
      </c>
      <c r="E58" s="12">
        <f t="shared" si="7"/>
        <v>3956.3428680412017</v>
      </c>
      <c r="F58" s="12">
        <f t="shared" si="7"/>
        <v>1582.5371446872316</v>
      </c>
      <c r="G58" s="12">
        <f t="shared" si="7"/>
        <v>791.2685723436158</v>
      </c>
      <c r="H58" s="16"/>
      <c r="J58" s="17"/>
      <c r="K58" s="17"/>
      <c r="L58" s="17"/>
      <c r="M58" s="17"/>
      <c r="N58" s="17"/>
    </row>
    <row r="59" spans="2:14" x14ac:dyDescent="0.25">
      <c r="B59" s="11">
        <f t="shared" si="5"/>
        <v>1975</v>
      </c>
      <c r="C59" s="12">
        <f t="shared" si="7"/>
        <v>8460.2435754979415</v>
      </c>
      <c r="D59" s="12">
        <f t="shared" si="7"/>
        <v>6345.1826784935138</v>
      </c>
      <c r="E59" s="12">
        <f t="shared" si="7"/>
        <v>3916.7794393607896</v>
      </c>
      <c r="F59" s="12">
        <f t="shared" si="7"/>
        <v>1566.7117732403592</v>
      </c>
      <c r="G59" s="12">
        <f t="shared" si="7"/>
        <v>783.3558866201796</v>
      </c>
      <c r="H59" s="16"/>
      <c r="J59" s="17"/>
      <c r="K59" s="17"/>
      <c r="L59" s="17"/>
      <c r="M59" s="17"/>
      <c r="N59" s="17"/>
    </row>
    <row r="60" spans="2:14" x14ac:dyDescent="0.25">
      <c r="B60" s="11">
        <f t="shared" si="5"/>
        <v>1974</v>
      </c>
      <c r="C60" s="12">
        <f t="shared" si="7"/>
        <v>8375.641139742962</v>
      </c>
      <c r="D60" s="12">
        <f t="shared" si="7"/>
        <v>6281.7308517085785</v>
      </c>
      <c r="E60" s="12">
        <f t="shared" si="7"/>
        <v>3877.6116449671817</v>
      </c>
      <c r="F60" s="12">
        <f t="shared" si="7"/>
        <v>1551.0446555079557</v>
      </c>
      <c r="G60" s="12">
        <f t="shared" si="7"/>
        <v>775.52232775397783</v>
      </c>
      <c r="H60" s="16"/>
      <c r="J60" s="17"/>
      <c r="K60" s="17"/>
      <c r="L60" s="17"/>
      <c r="M60" s="17"/>
      <c r="N60" s="17"/>
    </row>
    <row r="61" spans="2:14" x14ac:dyDescent="0.25">
      <c r="B61" s="11">
        <f t="shared" si="5"/>
        <v>1973</v>
      </c>
      <c r="C61" s="12">
        <f t="shared" si="7"/>
        <v>8291.8847283455325</v>
      </c>
      <c r="D61" s="12">
        <f t="shared" si="7"/>
        <v>6218.9135431914929</v>
      </c>
      <c r="E61" s="12">
        <f t="shared" si="7"/>
        <v>3838.8355285175098</v>
      </c>
      <c r="F61" s="12">
        <f t="shared" si="7"/>
        <v>1535.534208952876</v>
      </c>
      <c r="G61" s="12">
        <f t="shared" si="7"/>
        <v>767.76710447643802</v>
      </c>
      <c r="H61" s="16"/>
      <c r="J61" s="17"/>
      <c r="K61" s="17"/>
      <c r="L61" s="17"/>
      <c r="M61" s="17"/>
      <c r="N61" s="17"/>
    </row>
    <row r="62" spans="2:14" x14ac:dyDescent="0.25">
      <c r="B62" s="11">
        <f t="shared" si="5"/>
        <v>1972</v>
      </c>
      <c r="C62" s="12">
        <f t="shared" si="7"/>
        <v>8208.9658810620767</v>
      </c>
      <c r="D62" s="12">
        <f t="shared" si="7"/>
        <v>6156.7244077595778</v>
      </c>
      <c r="E62" s="12">
        <f t="shared" si="7"/>
        <v>3800.4471732323345</v>
      </c>
      <c r="F62" s="12">
        <f t="shared" si="7"/>
        <v>1520.1788668633474</v>
      </c>
      <c r="G62" s="12">
        <f t="shared" si="7"/>
        <v>760.08943343167368</v>
      </c>
      <c r="H62" s="16"/>
      <c r="J62" s="17"/>
      <c r="K62" s="17"/>
      <c r="L62" s="17"/>
      <c r="M62" s="17"/>
      <c r="N62" s="17"/>
    </row>
    <row r="63" spans="2:14" x14ac:dyDescent="0.25">
      <c r="B63" s="11">
        <f t="shared" si="5"/>
        <v>1971</v>
      </c>
      <c r="C63" s="12">
        <f t="shared" si="7"/>
        <v>8126.8762222514561</v>
      </c>
      <c r="D63" s="12">
        <f t="shared" si="7"/>
        <v>6095.1571636819817</v>
      </c>
      <c r="E63" s="12">
        <f t="shared" si="7"/>
        <v>3762.442701500011</v>
      </c>
      <c r="F63" s="12">
        <f t="shared" si="7"/>
        <v>1504.9770781947138</v>
      </c>
      <c r="G63" s="12">
        <f t="shared" si="7"/>
        <v>752.48853909735692</v>
      </c>
      <c r="H63" s="16"/>
      <c r="J63" s="17"/>
      <c r="K63" s="17"/>
      <c r="L63" s="17"/>
      <c r="M63" s="17"/>
      <c r="N63" s="17"/>
    </row>
    <row r="64" spans="2:14" x14ac:dyDescent="0.25">
      <c r="B64" s="11">
        <f t="shared" si="5"/>
        <v>1970</v>
      </c>
      <c r="C64" s="12">
        <f t="shared" si="7"/>
        <v>8045.6074600289412</v>
      </c>
      <c r="D64" s="12">
        <f t="shared" si="7"/>
        <v>6034.2055920451621</v>
      </c>
      <c r="E64" s="12">
        <f t="shared" si="7"/>
        <v>3724.818274485011</v>
      </c>
      <c r="F64" s="12">
        <f t="shared" si="7"/>
        <v>1489.9273074127666</v>
      </c>
      <c r="G64" s="12">
        <f t="shared" si="7"/>
        <v>744.9636537063833</v>
      </c>
      <c r="H64" s="16"/>
      <c r="J64" s="17"/>
      <c r="K64" s="17"/>
      <c r="L64" s="17"/>
      <c r="M64" s="17"/>
      <c r="N64" s="17"/>
    </row>
    <row r="65" spans="2:14" x14ac:dyDescent="0.25">
      <c r="B65" s="11">
        <f t="shared" si="5"/>
        <v>1969</v>
      </c>
      <c r="C65" s="12">
        <f t="shared" si="7"/>
        <v>7965.1513854286513</v>
      </c>
      <c r="D65" s="12">
        <f t="shared" si="7"/>
        <v>5973.8635361247107</v>
      </c>
      <c r="E65" s="12">
        <f t="shared" si="7"/>
        <v>3687.5700917401609</v>
      </c>
      <c r="F65" s="12">
        <f t="shared" si="7"/>
        <v>1475.0280343386389</v>
      </c>
      <c r="G65" s="12">
        <f t="shared" si="7"/>
        <v>737.51401716931946</v>
      </c>
      <c r="H65" s="16"/>
      <c r="J65" s="17"/>
      <c r="K65" s="17"/>
      <c r="L65" s="17"/>
      <c r="M65" s="17"/>
      <c r="N65" s="17"/>
    </row>
    <row r="66" spans="2:14" x14ac:dyDescent="0.25">
      <c r="B66" s="11">
        <f t="shared" si="5"/>
        <v>1968</v>
      </c>
      <c r="C66" s="12">
        <f t="shared" si="7"/>
        <v>7885.499871574365</v>
      </c>
      <c r="D66" s="12">
        <f t="shared" si="7"/>
        <v>5914.1249007634633</v>
      </c>
      <c r="E66" s="12">
        <f t="shared" si="7"/>
        <v>3650.6943908227595</v>
      </c>
      <c r="F66" s="12">
        <f t="shared" si="7"/>
        <v>1460.2777539952526</v>
      </c>
      <c r="G66" s="12">
        <f t="shared" si="7"/>
        <v>730.13887699762631</v>
      </c>
      <c r="H66" s="16"/>
      <c r="J66" s="17"/>
      <c r="K66" s="17"/>
      <c r="L66" s="17"/>
      <c r="M66" s="17"/>
      <c r="N66" s="17"/>
    </row>
    <row r="67" spans="2:14" x14ac:dyDescent="0.25">
      <c r="B67" s="11">
        <f t="shared" si="5"/>
        <v>1967</v>
      </c>
      <c r="C67" s="12">
        <f t="shared" si="7"/>
        <v>7806.6448728586211</v>
      </c>
      <c r="D67" s="12">
        <f t="shared" si="7"/>
        <v>5854.9836517558288</v>
      </c>
      <c r="E67" s="12">
        <f t="shared" si="7"/>
        <v>3614.1874469145318</v>
      </c>
      <c r="F67" s="12">
        <f t="shared" si="7"/>
        <v>1445.6749764553001</v>
      </c>
      <c r="G67" s="12">
        <f t="shared" si="7"/>
        <v>722.83748822765006</v>
      </c>
      <c r="H67" s="16"/>
      <c r="J67" s="17"/>
      <c r="K67" s="17"/>
      <c r="L67" s="17"/>
      <c r="M67" s="17"/>
      <c r="N67" s="17"/>
    </row>
    <row r="68" spans="2:14" x14ac:dyDescent="0.25">
      <c r="B68" s="11">
        <f t="shared" si="5"/>
        <v>1966</v>
      </c>
      <c r="C68" s="12">
        <f t="shared" ref="C68:G83" si="8">C67-(C67*0.01)</f>
        <v>7728.5784241300353</v>
      </c>
      <c r="D68" s="12">
        <f t="shared" si="8"/>
        <v>5796.4338152382707</v>
      </c>
      <c r="E68" s="12">
        <f t="shared" si="8"/>
        <v>3578.0455724453864</v>
      </c>
      <c r="F68" s="12">
        <f t="shared" si="8"/>
        <v>1431.2182266907471</v>
      </c>
      <c r="G68" s="12">
        <f t="shared" si="8"/>
        <v>715.60911334537354</v>
      </c>
      <c r="H68" s="16"/>
      <c r="J68" s="17"/>
      <c r="K68" s="17"/>
      <c r="L68" s="17"/>
      <c r="M68" s="17"/>
      <c r="N68" s="17"/>
    </row>
    <row r="69" spans="2:14" x14ac:dyDescent="0.25">
      <c r="B69" s="11">
        <f t="shared" si="5"/>
        <v>1965</v>
      </c>
      <c r="C69" s="12">
        <f t="shared" si="8"/>
        <v>7651.2926398887348</v>
      </c>
      <c r="D69" s="12">
        <f t="shared" si="8"/>
        <v>5738.4694770858878</v>
      </c>
      <c r="E69" s="12">
        <f t="shared" si="8"/>
        <v>3542.2651167209324</v>
      </c>
      <c r="F69" s="12">
        <f t="shared" si="8"/>
        <v>1416.9060444238396</v>
      </c>
      <c r="G69" s="12">
        <f t="shared" si="8"/>
        <v>708.4530222119198</v>
      </c>
      <c r="H69" s="16"/>
      <c r="J69" s="17"/>
      <c r="K69" s="17"/>
      <c r="L69" s="17"/>
      <c r="M69" s="17"/>
      <c r="N69" s="17"/>
    </row>
    <row r="70" spans="2:14" x14ac:dyDescent="0.25">
      <c r="B70" s="11">
        <f t="shared" si="5"/>
        <v>1964</v>
      </c>
      <c r="C70" s="12">
        <f t="shared" si="8"/>
        <v>7574.7797134898474</v>
      </c>
      <c r="D70" s="12">
        <f>D69-(D69*0.01)</f>
        <v>5681.0847823150289</v>
      </c>
      <c r="E70" s="12">
        <f>E69-(E69*0.01)</f>
        <v>3506.8424655537228</v>
      </c>
      <c r="F70" s="12">
        <f t="shared" si="8"/>
        <v>1402.7369839796013</v>
      </c>
      <c r="G70" s="12">
        <f t="shared" si="8"/>
        <v>701.36849198980065</v>
      </c>
      <c r="H70" s="16"/>
      <c r="J70" s="17"/>
      <c r="K70" s="17"/>
      <c r="L70" s="17"/>
      <c r="M70" s="17"/>
      <c r="N70" s="17"/>
    </row>
    <row r="71" spans="2:14" x14ac:dyDescent="0.25">
      <c r="B71" s="11">
        <f t="shared" si="5"/>
        <v>1963</v>
      </c>
      <c r="C71" s="12">
        <f t="shared" si="8"/>
        <v>7499.0319163549493</v>
      </c>
      <c r="D71" s="12">
        <f t="shared" si="8"/>
        <v>5624.2739344918782</v>
      </c>
      <c r="E71" s="12">
        <f t="shared" si="8"/>
        <v>3471.7740408981854</v>
      </c>
      <c r="F71" s="12">
        <f t="shared" si="8"/>
        <v>1388.7096141398054</v>
      </c>
      <c r="G71" s="12">
        <f t="shared" si="8"/>
        <v>694.35480706990268</v>
      </c>
      <c r="H71" s="16"/>
      <c r="J71" s="17"/>
      <c r="K71" s="17"/>
      <c r="L71" s="17"/>
      <c r="M71" s="17"/>
      <c r="N71" s="17"/>
    </row>
    <row r="72" spans="2:14" x14ac:dyDescent="0.25">
      <c r="B72" s="11">
        <f t="shared" si="5"/>
        <v>1962</v>
      </c>
      <c r="C72" s="12">
        <f t="shared" si="8"/>
        <v>7424.0415971913999</v>
      </c>
      <c r="D72" s="12">
        <f t="shared" si="8"/>
        <v>5568.0311951469594</v>
      </c>
      <c r="E72" s="12">
        <f t="shared" si="8"/>
        <v>3437.0563004892037</v>
      </c>
      <c r="F72" s="12">
        <f t="shared" si="8"/>
        <v>1374.8225179984072</v>
      </c>
      <c r="G72" s="12">
        <f t="shared" si="8"/>
        <v>687.4112589992036</v>
      </c>
      <c r="H72" s="16"/>
      <c r="J72" s="17"/>
      <c r="K72" s="17"/>
      <c r="L72" s="17"/>
      <c r="M72" s="17"/>
      <c r="N72" s="17"/>
    </row>
    <row r="73" spans="2:14" x14ac:dyDescent="0.25">
      <c r="B73" s="11">
        <f t="shared" si="5"/>
        <v>1961</v>
      </c>
      <c r="C73" s="12">
        <f t="shared" si="8"/>
        <v>7349.8011812194854</v>
      </c>
      <c r="D73" s="12">
        <f t="shared" si="8"/>
        <v>5512.3508831954896</v>
      </c>
      <c r="E73" s="12">
        <f t="shared" si="8"/>
        <v>3402.6857374843116</v>
      </c>
      <c r="F73" s="12">
        <f t="shared" si="8"/>
        <v>1361.0742928184231</v>
      </c>
      <c r="G73" s="12">
        <f t="shared" si="8"/>
        <v>680.53714640921157</v>
      </c>
      <c r="H73" s="16"/>
      <c r="J73" s="17"/>
      <c r="K73" s="17"/>
      <c r="L73" s="17"/>
      <c r="M73" s="17"/>
      <c r="N73" s="17"/>
    </row>
    <row r="74" spans="2:14" x14ac:dyDescent="0.25">
      <c r="B74" s="11">
        <f t="shared" si="5"/>
        <v>1960</v>
      </c>
      <c r="C74" s="12">
        <f t="shared" si="8"/>
        <v>7276.3031694072906</v>
      </c>
      <c r="D74" s="12">
        <f t="shared" si="8"/>
        <v>5457.2273743635351</v>
      </c>
      <c r="E74" s="12">
        <f t="shared" si="8"/>
        <v>3368.6588801094686</v>
      </c>
      <c r="F74" s="12">
        <f t="shared" si="8"/>
        <v>1347.4635498902389</v>
      </c>
      <c r="G74" s="12">
        <f t="shared" si="8"/>
        <v>673.73177494511947</v>
      </c>
      <c r="H74" s="16"/>
      <c r="J74" s="17"/>
      <c r="K74" s="17"/>
      <c r="L74" s="17"/>
      <c r="M74" s="17"/>
      <c r="N74" s="17"/>
    </row>
    <row r="75" spans="2:14" x14ac:dyDescent="0.25">
      <c r="B75" s="11">
        <f t="shared" si="5"/>
        <v>1959</v>
      </c>
      <c r="C75" s="12">
        <f t="shared" si="8"/>
        <v>7203.5401377132175</v>
      </c>
      <c r="D75" s="12">
        <f t="shared" si="8"/>
        <v>5402.6551006198997</v>
      </c>
      <c r="E75" s="12">
        <f t="shared" si="8"/>
        <v>3334.9722913083738</v>
      </c>
      <c r="F75" s="12">
        <f t="shared" si="8"/>
        <v>1333.9889143913365</v>
      </c>
      <c r="G75" s="12">
        <f t="shared" si="8"/>
        <v>666.99445719566825</v>
      </c>
      <c r="H75" s="16"/>
      <c r="J75" s="17"/>
      <c r="K75" s="17"/>
      <c r="L75" s="17"/>
      <c r="M75" s="17"/>
      <c r="N75" s="17"/>
    </row>
    <row r="76" spans="2:14" x14ac:dyDescent="0.25">
      <c r="B76" s="11">
        <f t="shared" si="5"/>
        <v>1958</v>
      </c>
      <c r="C76" s="12">
        <f t="shared" si="8"/>
        <v>7131.5047363360854</v>
      </c>
      <c r="D76" s="12">
        <f t="shared" si="8"/>
        <v>5348.6285496137007</v>
      </c>
      <c r="E76" s="12">
        <f t="shared" si="8"/>
        <v>3301.6225683952898</v>
      </c>
      <c r="F76" s="12">
        <f t="shared" si="8"/>
        <v>1320.6490252474232</v>
      </c>
      <c r="G76" s="12">
        <f t="shared" si="8"/>
        <v>660.3245126237116</v>
      </c>
      <c r="H76" s="16"/>
      <c r="J76" s="17"/>
      <c r="K76" s="17"/>
      <c r="L76" s="17"/>
      <c r="M76" s="17"/>
      <c r="N76" s="17"/>
    </row>
    <row r="77" spans="2:14" x14ac:dyDescent="0.25">
      <c r="B77" s="11">
        <f t="shared" si="5"/>
        <v>1957</v>
      </c>
      <c r="C77" s="12">
        <f t="shared" si="8"/>
        <v>7060.189688972725</v>
      </c>
      <c r="D77" s="12">
        <f t="shared" si="8"/>
        <v>5295.1422641175641</v>
      </c>
      <c r="E77" s="12">
        <f t="shared" si="8"/>
        <v>3268.6063427113368</v>
      </c>
      <c r="F77" s="12">
        <f t="shared" si="8"/>
        <v>1307.442534994949</v>
      </c>
      <c r="G77" s="12">
        <f t="shared" si="8"/>
        <v>653.72126749747451</v>
      </c>
      <c r="H77" s="16"/>
      <c r="J77" s="17"/>
      <c r="K77" s="17"/>
      <c r="L77" s="17"/>
      <c r="M77" s="17"/>
      <c r="N77" s="17"/>
    </row>
    <row r="78" spans="2:14" x14ac:dyDescent="0.25">
      <c r="B78" s="11">
        <f t="shared" si="5"/>
        <v>1956</v>
      </c>
      <c r="C78" s="12">
        <f t="shared" si="8"/>
        <v>6989.587792082998</v>
      </c>
      <c r="D78" s="12">
        <f t="shared" si="8"/>
        <v>5242.1908414763884</v>
      </c>
      <c r="E78" s="12">
        <f t="shared" si="8"/>
        <v>3235.9202792842234</v>
      </c>
      <c r="F78" s="12">
        <f t="shared" si="8"/>
        <v>1294.3681096449995</v>
      </c>
      <c r="G78" s="12">
        <f t="shared" si="8"/>
        <v>647.18405482249977</v>
      </c>
      <c r="H78" s="16"/>
      <c r="J78" s="17"/>
      <c r="K78" s="17"/>
      <c r="L78" s="17"/>
      <c r="M78" s="17"/>
      <c r="N78" s="17"/>
    </row>
    <row r="79" spans="2:14" x14ac:dyDescent="0.25">
      <c r="B79" s="11">
        <f t="shared" si="5"/>
        <v>1955</v>
      </c>
      <c r="C79" s="12">
        <f t="shared" si="8"/>
        <v>6919.6919141621684</v>
      </c>
      <c r="D79" s="12">
        <f t="shared" si="8"/>
        <v>5189.7689330616249</v>
      </c>
      <c r="E79" s="12">
        <f t="shared" si="8"/>
        <v>3203.5610764913813</v>
      </c>
      <c r="F79" s="12">
        <f t="shared" si="8"/>
        <v>1281.4244285485495</v>
      </c>
      <c r="G79" s="12">
        <f t="shared" si="8"/>
        <v>640.71221427427474</v>
      </c>
      <c r="H79" s="16"/>
      <c r="J79" s="17"/>
      <c r="K79" s="17"/>
      <c r="L79" s="17"/>
      <c r="M79" s="17"/>
      <c r="N79" s="17"/>
    </row>
    <row r="80" spans="2:14" x14ac:dyDescent="0.25">
      <c r="B80" s="11">
        <f t="shared" si="5"/>
        <v>1954</v>
      </c>
      <c r="C80" s="12">
        <f t="shared" si="8"/>
        <v>6850.4949950205464</v>
      </c>
      <c r="D80" s="12">
        <f t="shared" si="8"/>
        <v>5137.8712437310087</v>
      </c>
      <c r="E80" s="12">
        <f t="shared" si="8"/>
        <v>3171.5254657264677</v>
      </c>
      <c r="F80" s="12">
        <f t="shared" si="8"/>
        <v>1268.610184263064</v>
      </c>
      <c r="G80" s="12">
        <f t="shared" si="8"/>
        <v>634.30509213153198</v>
      </c>
      <c r="H80" s="16"/>
      <c r="J80" s="17"/>
      <c r="K80" s="17"/>
      <c r="L80" s="17"/>
      <c r="M80" s="17"/>
      <c r="N80" s="17"/>
    </row>
    <row r="81" spans="2:14" x14ac:dyDescent="0.25">
      <c r="B81" s="11">
        <f t="shared" si="5"/>
        <v>1953</v>
      </c>
      <c r="C81" s="12">
        <f t="shared" si="8"/>
        <v>6781.9900450703408</v>
      </c>
      <c r="D81" s="12">
        <f t="shared" si="8"/>
        <v>5086.4925312936984</v>
      </c>
      <c r="E81" s="12">
        <f t="shared" si="8"/>
        <v>3139.810211069203</v>
      </c>
      <c r="F81" s="12">
        <f t="shared" si="8"/>
        <v>1255.9240824204333</v>
      </c>
      <c r="G81" s="12">
        <f t="shared" si="8"/>
        <v>627.96204121021663</v>
      </c>
      <c r="H81" s="16"/>
      <c r="J81" s="17"/>
      <c r="K81" s="17"/>
      <c r="L81" s="17"/>
      <c r="M81" s="17"/>
      <c r="N81" s="17"/>
    </row>
    <row r="82" spans="2:14" x14ac:dyDescent="0.25">
      <c r="B82" s="11">
        <f t="shared" si="5"/>
        <v>1952</v>
      </c>
      <c r="C82" s="12">
        <f t="shared" si="8"/>
        <v>6714.1701446196375</v>
      </c>
      <c r="D82" s="12">
        <f t="shared" si="8"/>
        <v>5035.6276059807615</v>
      </c>
      <c r="E82" s="12">
        <f t="shared" si="8"/>
        <v>3108.412108958511</v>
      </c>
      <c r="F82" s="12">
        <f t="shared" si="8"/>
        <v>1243.3648415962289</v>
      </c>
      <c r="G82" s="12">
        <f t="shared" si="8"/>
        <v>621.68242079811444</v>
      </c>
      <c r="H82" s="16"/>
      <c r="J82" s="17"/>
      <c r="K82" s="17"/>
      <c r="L82" s="17"/>
      <c r="M82" s="17"/>
      <c r="N82" s="17"/>
    </row>
    <row r="83" spans="2:14" x14ac:dyDescent="0.25">
      <c r="B83" s="11">
        <f t="shared" si="5"/>
        <v>1951</v>
      </c>
      <c r="C83" s="12">
        <f t="shared" si="8"/>
        <v>6647.0284431734408</v>
      </c>
      <c r="D83" s="12">
        <f t="shared" si="8"/>
        <v>4985.2713299209536</v>
      </c>
      <c r="E83" s="12">
        <f t="shared" si="8"/>
        <v>3077.3279878689259</v>
      </c>
      <c r="F83" s="12">
        <f t="shared" si="8"/>
        <v>1230.9311931802665</v>
      </c>
      <c r="G83" s="12">
        <f t="shared" si="8"/>
        <v>615.46559659013326</v>
      </c>
      <c r="H83" s="16"/>
      <c r="J83" s="17"/>
      <c r="K83" s="17"/>
      <c r="L83" s="17"/>
      <c r="M83" s="17"/>
      <c r="N83" s="17"/>
    </row>
    <row r="84" spans="2:14" x14ac:dyDescent="0.25">
      <c r="B84" s="11">
        <f t="shared" si="5"/>
        <v>1950</v>
      </c>
      <c r="C84" s="12">
        <f t="shared" ref="C84:G99" si="9">C83-(C83*0.01)</f>
        <v>6580.5581587417064</v>
      </c>
      <c r="D84" s="12">
        <f t="shared" si="9"/>
        <v>4935.4186166217441</v>
      </c>
      <c r="E84" s="12">
        <f t="shared" si="9"/>
        <v>3046.5547079902367</v>
      </c>
      <c r="F84" s="12">
        <f t="shared" si="9"/>
        <v>1218.6218812484638</v>
      </c>
      <c r="G84" s="12">
        <f t="shared" si="9"/>
        <v>609.31094062423188</v>
      </c>
      <c r="H84" s="16"/>
      <c r="J84" s="17"/>
      <c r="K84" s="17"/>
      <c r="L84" s="17"/>
      <c r="M84" s="17"/>
      <c r="N84" s="17"/>
    </row>
    <row r="85" spans="2:14" x14ac:dyDescent="0.25">
      <c r="B85" s="11">
        <f t="shared" ref="B85:B98" si="10">B84-1</f>
        <v>1949</v>
      </c>
      <c r="C85" s="12">
        <f t="shared" si="9"/>
        <v>6514.7525771542896</v>
      </c>
      <c r="D85" s="12">
        <f t="shared" si="9"/>
        <v>4886.0644304555271</v>
      </c>
      <c r="E85" s="12">
        <f t="shared" si="9"/>
        <v>3016.0891609103342</v>
      </c>
      <c r="F85" s="12">
        <f t="shared" si="9"/>
        <v>1206.4356624359791</v>
      </c>
      <c r="G85" s="12">
        <f t="shared" si="9"/>
        <v>603.21783121798956</v>
      </c>
      <c r="H85" s="16"/>
      <c r="J85" s="17"/>
      <c r="K85" s="17"/>
      <c r="L85" s="17"/>
      <c r="M85" s="17"/>
      <c r="N85" s="17"/>
    </row>
    <row r="86" spans="2:14" x14ac:dyDescent="0.25">
      <c r="B86" s="11">
        <f t="shared" si="10"/>
        <v>1948</v>
      </c>
      <c r="C86" s="12">
        <f t="shared" si="9"/>
        <v>6449.6050513827468</v>
      </c>
      <c r="D86" s="12">
        <f t="shared" si="9"/>
        <v>4837.2037861509716</v>
      </c>
      <c r="E86" s="12">
        <f t="shared" si="9"/>
        <v>2985.928269301231</v>
      </c>
      <c r="F86" s="12">
        <f t="shared" si="9"/>
        <v>1194.3713058116193</v>
      </c>
      <c r="G86" s="12">
        <f t="shared" si="9"/>
        <v>597.18565290580966</v>
      </c>
      <c r="H86" s="16"/>
      <c r="J86" s="17"/>
      <c r="K86" s="17"/>
      <c r="L86" s="17"/>
      <c r="M86" s="17"/>
      <c r="N86" s="17"/>
    </row>
    <row r="87" spans="2:14" x14ac:dyDescent="0.25">
      <c r="B87" s="11">
        <f t="shared" si="10"/>
        <v>1947</v>
      </c>
      <c r="C87" s="12">
        <f t="shared" si="9"/>
        <v>6385.1090008689189</v>
      </c>
      <c r="D87" s="12">
        <f t="shared" si="9"/>
        <v>4788.8317482894618</v>
      </c>
      <c r="E87" s="12">
        <f t="shared" si="9"/>
        <v>2956.0689866082189</v>
      </c>
      <c r="F87" s="12">
        <f t="shared" si="9"/>
        <v>1182.4275927535032</v>
      </c>
      <c r="G87" s="12">
        <f t="shared" si="9"/>
        <v>591.21379637675159</v>
      </c>
      <c r="H87" s="16"/>
      <c r="J87" s="17"/>
      <c r="K87" s="17"/>
      <c r="L87" s="17"/>
      <c r="M87" s="17"/>
      <c r="N87" s="17"/>
    </row>
    <row r="88" spans="2:14" x14ac:dyDescent="0.25">
      <c r="B88" s="11">
        <f t="shared" si="10"/>
        <v>1946</v>
      </c>
      <c r="C88" s="12">
        <f t="shared" si="9"/>
        <v>6321.2579108602295</v>
      </c>
      <c r="D88" s="12">
        <f t="shared" si="9"/>
        <v>4740.9434308065674</v>
      </c>
      <c r="E88" s="12">
        <f t="shared" si="9"/>
        <v>2926.5082967421367</v>
      </c>
      <c r="F88" s="12">
        <f t="shared" si="9"/>
        <v>1170.6033168259682</v>
      </c>
      <c r="G88" s="12">
        <f t="shared" si="9"/>
        <v>585.30165841298412</v>
      </c>
      <c r="H88" s="16"/>
      <c r="J88" s="17"/>
      <c r="K88" s="17"/>
      <c r="L88" s="17"/>
      <c r="M88" s="17"/>
      <c r="N88" s="17"/>
    </row>
    <row r="89" spans="2:14" x14ac:dyDescent="0.25">
      <c r="B89" s="11">
        <f t="shared" si="10"/>
        <v>1945</v>
      </c>
      <c r="C89" s="12">
        <f t="shared" si="9"/>
        <v>6258.0453317516276</v>
      </c>
      <c r="D89" s="12">
        <f t="shared" si="9"/>
        <v>4693.5339964985014</v>
      </c>
      <c r="E89" s="12">
        <f t="shared" si="9"/>
        <v>2897.2432137747155</v>
      </c>
      <c r="F89" s="12">
        <f t="shared" si="9"/>
        <v>1158.8972836577086</v>
      </c>
      <c r="G89" s="12">
        <f t="shared" si="9"/>
        <v>579.44864182885431</v>
      </c>
      <c r="H89" s="16"/>
      <c r="J89" s="17"/>
      <c r="K89" s="17"/>
      <c r="L89" s="17"/>
      <c r="M89" s="17"/>
      <c r="N89" s="17"/>
    </row>
    <row r="90" spans="2:14" x14ac:dyDescent="0.25">
      <c r="B90" s="11">
        <f t="shared" si="10"/>
        <v>1944</v>
      </c>
      <c r="C90" s="12">
        <f t="shared" si="9"/>
        <v>6195.4648784341116</v>
      </c>
      <c r="D90" s="12">
        <f t="shared" si="9"/>
        <v>4646.5986565335161</v>
      </c>
      <c r="E90" s="12">
        <f t="shared" si="9"/>
        <v>2868.2707816369684</v>
      </c>
      <c r="F90" s="12">
        <f t="shared" si="9"/>
        <v>1147.3083108211315</v>
      </c>
      <c r="G90" s="12">
        <f t="shared" si="9"/>
        <v>573.65415541056575</v>
      </c>
      <c r="H90" s="16"/>
      <c r="J90" s="17"/>
      <c r="K90" s="17"/>
      <c r="L90" s="17"/>
      <c r="M90" s="17"/>
      <c r="N90" s="17"/>
    </row>
    <row r="91" spans="2:14" x14ac:dyDescent="0.25">
      <c r="B91" s="11">
        <f t="shared" si="10"/>
        <v>1943</v>
      </c>
      <c r="C91" s="12">
        <f t="shared" si="9"/>
        <v>6133.5102296497707</v>
      </c>
      <c r="D91" s="12">
        <f t="shared" si="9"/>
        <v>4600.1326699681813</v>
      </c>
      <c r="E91" s="12">
        <f t="shared" si="9"/>
        <v>2839.5880738205988</v>
      </c>
      <c r="F91" s="12">
        <f t="shared" si="9"/>
        <v>1135.8352277129202</v>
      </c>
      <c r="G91" s="12">
        <f t="shared" si="9"/>
        <v>567.91761385646009</v>
      </c>
      <c r="H91" s="16"/>
      <c r="J91" s="17"/>
      <c r="K91" s="17"/>
      <c r="L91" s="17"/>
      <c r="M91" s="17"/>
      <c r="N91" s="17"/>
    </row>
    <row r="92" spans="2:14" x14ac:dyDescent="0.25">
      <c r="B92" s="11">
        <f t="shared" si="10"/>
        <v>1942</v>
      </c>
      <c r="C92" s="12">
        <f t="shared" si="9"/>
        <v>6072.1751273532727</v>
      </c>
      <c r="D92" s="12">
        <f t="shared" si="9"/>
        <v>4554.1313432684992</v>
      </c>
      <c r="E92" s="12">
        <f t="shared" si="9"/>
        <v>2811.1921930823928</v>
      </c>
      <c r="F92" s="12">
        <f t="shared" si="9"/>
        <v>1124.476875435791</v>
      </c>
      <c r="G92" s="12">
        <f t="shared" si="9"/>
        <v>562.23843771789552</v>
      </c>
      <c r="H92" s="16"/>
      <c r="J92" s="17"/>
      <c r="K92" s="17"/>
      <c r="L92" s="17"/>
      <c r="M92" s="17"/>
      <c r="N92" s="17"/>
    </row>
    <row r="93" spans="2:14" x14ac:dyDescent="0.25">
      <c r="B93" s="11">
        <f t="shared" si="10"/>
        <v>1941</v>
      </c>
      <c r="C93" s="12">
        <f t="shared" si="9"/>
        <v>6011.4533760797403</v>
      </c>
      <c r="D93" s="12">
        <f t="shared" si="9"/>
        <v>4508.5900298358147</v>
      </c>
      <c r="E93" s="12">
        <f t="shared" si="9"/>
        <v>2783.0802711515689</v>
      </c>
      <c r="F93" s="12">
        <f t="shared" si="9"/>
        <v>1113.2321066814332</v>
      </c>
      <c r="G93" s="12">
        <f t="shared" si="9"/>
        <v>556.61605334071658</v>
      </c>
      <c r="H93" s="16"/>
      <c r="J93" s="17"/>
      <c r="K93" s="17"/>
      <c r="L93" s="17"/>
      <c r="M93" s="17"/>
      <c r="N93" s="17"/>
    </row>
    <row r="94" spans="2:14" x14ac:dyDescent="0.25">
      <c r="B94" s="11">
        <f t="shared" si="10"/>
        <v>1940</v>
      </c>
      <c r="C94" s="12">
        <f t="shared" si="9"/>
        <v>5951.3388423189426</v>
      </c>
      <c r="D94" s="12">
        <f t="shared" si="9"/>
        <v>4463.5041295374567</v>
      </c>
      <c r="E94" s="12">
        <f t="shared" si="9"/>
        <v>2755.2494684400531</v>
      </c>
      <c r="F94" s="12">
        <f t="shared" si="9"/>
        <v>1102.0997856146189</v>
      </c>
      <c r="G94" s="12">
        <f t="shared" si="9"/>
        <v>551.04989280730945</v>
      </c>
      <c r="H94" s="16"/>
      <c r="J94" s="17"/>
      <c r="K94" s="17"/>
      <c r="L94" s="17"/>
      <c r="M94" s="17"/>
      <c r="N94" s="17"/>
    </row>
    <row r="95" spans="2:14" x14ac:dyDescent="0.25">
      <c r="B95" s="11">
        <f t="shared" si="10"/>
        <v>1939</v>
      </c>
      <c r="C95" s="12">
        <f t="shared" si="9"/>
        <v>5891.8254538957535</v>
      </c>
      <c r="D95" s="12">
        <f t="shared" si="9"/>
        <v>4418.8690882420824</v>
      </c>
      <c r="E95" s="12">
        <f t="shared" si="9"/>
        <v>2727.6969737556524</v>
      </c>
      <c r="F95" s="12">
        <f t="shared" si="9"/>
        <v>1091.0787877584728</v>
      </c>
      <c r="G95" s="12">
        <f t="shared" si="9"/>
        <v>545.5393938792364</v>
      </c>
      <c r="H95" s="16"/>
      <c r="J95" s="17"/>
      <c r="K95" s="17"/>
      <c r="L95" s="17"/>
      <c r="M95" s="17"/>
      <c r="N95" s="17"/>
    </row>
    <row r="96" spans="2:14" x14ac:dyDescent="0.25">
      <c r="B96" s="11">
        <f t="shared" si="10"/>
        <v>1938</v>
      </c>
      <c r="C96" s="12">
        <f t="shared" si="9"/>
        <v>5832.9071993567959</v>
      </c>
      <c r="D96" s="12">
        <f t="shared" si="9"/>
        <v>4374.6803973596616</v>
      </c>
      <c r="E96" s="12">
        <f t="shared" si="9"/>
        <v>2700.4200040180958</v>
      </c>
      <c r="F96" s="12">
        <f t="shared" si="9"/>
        <v>1080.1679998808881</v>
      </c>
      <c r="G96" s="12">
        <f t="shared" si="9"/>
        <v>540.08399994044407</v>
      </c>
      <c r="H96" s="16"/>
      <c r="J96" s="17"/>
      <c r="K96" s="17"/>
      <c r="L96" s="17"/>
      <c r="M96" s="17"/>
      <c r="N96" s="17"/>
    </row>
    <row r="97" spans="2:14" x14ac:dyDescent="0.25">
      <c r="B97" s="11">
        <f t="shared" si="10"/>
        <v>1937</v>
      </c>
      <c r="C97" s="12">
        <f t="shared" si="9"/>
        <v>5774.5781273632283</v>
      </c>
      <c r="D97" s="12">
        <f t="shared" si="9"/>
        <v>4330.9335933860648</v>
      </c>
      <c r="E97" s="12">
        <f t="shared" si="9"/>
        <v>2673.4158039779149</v>
      </c>
      <c r="F97" s="12">
        <f t="shared" si="9"/>
        <v>1069.3663198820793</v>
      </c>
      <c r="G97" s="12">
        <f t="shared" si="9"/>
        <v>534.68315994103966</v>
      </c>
      <c r="H97" s="16"/>
      <c r="J97" s="17"/>
      <c r="K97" s="17"/>
      <c r="L97" s="17"/>
      <c r="M97" s="17"/>
      <c r="N97" s="17"/>
    </row>
    <row r="98" spans="2:14" x14ac:dyDescent="0.25">
      <c r="B98" s="11">
        <f t="shared" si="10"/>
        <v>1936</v>
      </c>
      <c r="C98" s="12">
        <f t="shared" si="9"/>
        <v>5716.8323460895963</v>
      </c>
      <c r="D98" s="12">
        <f t="shared" si="9"/>
        <v>4287.6242574522039</v>
      </c>
      <c r="E98" s="12">
        <f t="shared" si="9"/>
        <v>2646.6816459381357</v>
      </c>
      <c r="F98" s="12">
        <f t="shared" si="9"/>
        <v>1058.6726566832585</v>
      </c>
      <c r="G98" s="12">
        <f t="shared" si="9"/>
        <v>529.33632834162927</v>
      </c>
      <c r="H98" s="16"/>
      <c r="J98" s="17"/>
      <c r="K98" s="17"/>
      <c r="L98" s="17"/>
      <c r="M98" s="17"/>
      <c r="N98" s="17"/>
    </row>
    <row r="99" spans="2:14" x14ac:dyDescent="0.25">
      <c r="B99" s="11" t="s">
        <v>11</v>
      </c>
      <c r="C99" s="12">
        <f t="shared" si="9"/>
        <v>5659.6640226287</v>
      </c>
      <c r="D99" s="12">
        <f t="shared" si="9"/>
        <v>4244.7480148776822</v>
      </c>
      <c r="E99" s="12">
        <f t="shared" si="9"/>
        <v>2620.2148294787544</v>
      </c>
      <c r="F99" s="12">
        <f t="shared" si="9"/>
        <v>1048.085930116426</v>
      </c>
      <c r="G99" s="12">
        <f t="shared" si="9"/>
        <v>524.04296505821299</v>
      </c>
      <c r="H99" s="16"/>
      <c r="J99" s="17"/>
      <c r="K99" s="17"/>
      <c r="L99" s="17"/>
      <c r="M99" s="17"/>
      <c r="N99" s="17"/>
    </row>
    <row r="100" spans="2:14" x14ac:dyDescent="0.25">
      <c r="J100" s="17"/>
      <c r="K100" s="17"/>
      <c r="L100" s="17"/>
      <c r="M100" s="17"/>
      <c r="N100" s="17"/>
    </row>
    <row r="101" spans="2:14" x14ac:dyDescent="0.25">
      <c r="J101" s="17"/>
      <c r="K101" s="17"/>
      <c r="L101" s="17"/>
      <c r="M101" s="17"/>
      <c r="N101" s="17"/>
    </row>
    <row r="102" spans="2:14" x14ac:dyDescent="0.25">
      <c r="J102" s="17"/>
      <c r="K102" s="17"/>
      <c r="L102" s="17"/>
      <c r="M102" s="17"/>
      <c r="N102" s="17"/>
    </row>
    <row r="103" spans="2:14" x14ac:dyDescent="0.25">
      <c r="J103" s="17"/>
      <c r="K103" s="17"/>
      <c r="L103" s="17"/>
      <c r="M103" s="17"/>
      <c r="N103" s="17"/>
    </row>
    <row r="104" spans="2:14" x14ac:dyDescent="0.25">
      <c r="J104" s="17"/>
      <c r="K104" s="17"/>
      <c r="L104" s="17"/>
      <c r="M104" s="17"/>
      <c r="N104" s="17"/>
    </row>
  </sheetData>
  <mergeCells count="2">
    <mergeCell ref="B13:G13"/>
    <mergeCell ref="B14:G15"/>
  </mergeCells>
  <pageMargins left="1" right="1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tabla const PROYECTO 2017</vt:lpstr>
      <vt:lpstr>'tabla const PROYECTO 2017'!Área_de_impresión</vt:lpstr>
      <vt:lpstr>'tabla const PROYECTO 2017'!Títulos_a_imprimir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carlosdileo</dc:creator>
  <cp:lastModifiedBy>frodriguez</cp:lastModifiedBy>
  <cp:lastPrinted>2017-01-04T22:01:02Z</cp:lastPrinted>
  <dcterms:created xsi:type="dcterms:W3CDTF">2017-01-04T15:09:47Z</dcterms:created>
  <dcterms:modified xsi:type="dcterms:W3CDTF">2017-01-04T22:03:59Z</dcterms:modified>
</cp:coreProperties>
</file>