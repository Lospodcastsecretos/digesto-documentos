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 Usuarios\frodriguez\Mis Documentos\Ordenanzas\2018\"/>
    </mc:Choice>
  </mc:AlternateContent>
  <bookViews>
    <workbookView xWindow="0" yWindow="0" windowWidth="15360" windowHeight="7695" firstSheet="3" activeTab="5"/>
  </bookViews>
  <sheets>
    <sheet name="2013" sheetId="1" r:id="rId1"/>
    <sheet name="2014" sheetId="2" r:id="rId2"/>
    <sheet name="2015" sheetId="3" r:id="rId3"/>
    <sheet name="2016" sheetId="4" r:id="rId4"/>
    <sheet name="tabla construccion 2016" sheetId="5" r:id="rId5"/>
    <sheet name="tabla const PROYECTO 2018" sheetId="6" r:id="rId6"/>
  </sheets>
  <definedNames>
    <definedName name="_xlnm.Print_Area" localSheetId="5">'tabla const PROYECTO 2018'!$B$17:$G$104</definedName>
    <definedName name="_xlnm.Print_Titles" localSheetId="5">'tabla const PROYECTO 2018'!$17:$20</definedName>
  </definedNames>
  <calcPr calcId="152511"/>
</workbook>
</file>

<file path=xl/calcChain.xml><?xml version="1.0" encoding="utf-8"?>
<calcChain xmlns="http://schemas.openxmlformats.org/spreadsheetml/2006/main">
  <c r="E40" i="6" l="1"/>
  <c r="C104" i="6" l="1"/>
  <c r="D104" i="6"/>
  <c r="E104" i="6"/>
  <c r="F104" i="6"/>
  <c r="G104" i="6"/>
  <c r="C12" i="5" l="1"/>
  <c r="B25" i="6" l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F4" i="6"/>
  <c r="E4" i="6"/>
  <c r="D4" i="6"/>
  <c r="C4" i="6"/>
  <c r="B4" i="6"/>
  <c r="B5" i="6" s="1"/>
  <c r="B6" i="6" s="1"/>
  <c r="B7" i="6" s="1"/>
  <c r="C22" i="6" l="1"/>
  <c r="C23" i="6" s="1"/>
  <c r="C21" i="6"/>
  <c r="C15" i="6"/>
  <c r="C24" i="6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H59" i="6" s="1"/>
  <c r="E5" i="6"/>
  <c r="E6" i="6" s="1"/>
  <c r="E7" i="6" s="1"/>
  <c r="C5" i="6"/>
  <c r="C6" i="6" s="1"/>
  <c r="C7" i="6" s="1"/>
  <c r="D5" i="6"/>
  <c r="D6" i="6" s="1"/>
  <c r="D7" i="6" s="1"/>
  <c r="F5" i="6"/>
  <c r="F6" i="6" s="1"/>
  <c r="F7" i="6" s="1"/>
  <c r="C4" i="5"/>
  <c r="D4" i="5"/>
  <c r="E4" i="5"/>
  <c r="F4" i="5"/>
  <c r="B4" i="5"/>
  <c r="G12" i="5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G78" i="5" s="1"/>
  <c r="G79" i="5" s="1"/>
  <c r="G80" i="5" s="1"/>
  <c r="G81" i="5" s="1"/>
  <c r="G82" i="5" s="1"/>
  <c r="G83" i="5" s="1"/>
  <c r="G84" i="5" s="1"/>
  <c r="G85" i="5" s="1"/>
  <c r="G86" i="5" s="1"/>
  <c r="G87" i="5" s="1"/>
  <c r="G88" i="5" s="1"/>
  <c r="G89" i="5" s="1"/>
  <c r="G90" i="5" s="1"/>
  <c r="G91" i="5" s="1"/>
  <c r="G92" i="5" s="1"/>
  <c r="F12" i="5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E12" i="5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D12" i="5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C13" i="5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M11" i="5"/>
  <c r="L11" i="5"/>
  <c r="K11" i="5"/>
  <c r="J11" i="5"/>
  <c r="I11" i="5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J16" i="4"/>
  <c r="I20" i="4"/>
  <c r="J20" i="4" s="1"/>
  <c r="M20" i="4" s="1"/>
  <c r="I19" i="4"/>
  <c r="J19" i="4" s="1"/>
  <c r="M19" i="4" s="1"/>
  <c r="I18" i="4"/>
  <c r="J18" i="4" s="1"/>
  <c r="M18" i="4" s="1"/>
  <c r="I16" i="4"/>
  <c r="I17" i="4"/>
  <c r="J17" i="4" s="1"/>
  <c r="M17" i="4" s="1"/>
  <c r="I15" i="4"/>
  <c r="J15" i="4" s="1"/>
  <c r="M15" i="4" s="1"/>
  <c r="I14" i="4"/>
  <c r="J14" i="4" s="1"/>
  <c r="M14" i="4" s="1"/>
  <c r="I13" i="4"/>
  <c r="J13" i="4" s="1"/>
  <c r="M13" i="4" s="1"/>
  <c r="I12" i="4"/>
  <c r="J12" i="4" s="1"/>
  <c r="M12" i="4" s="1"/>
  <c r="I11" i="4"/>
  <c r="J11" i="4" s="1"/>
  <c r="M11" i="4" s="1"/>
  <c r="I10" i="4"/>
  <c r="J10" i="4" s="1"/>
  <c r="M10" i="4" s="1"/>
  <c r="I9" i="4"/>
  <c r="J9" i="4" s="1"/>
  <c r="M9" i="4" s="1"/>
  <c r="F10" i="4"/>
  <c r="H10" i="4" s="1"/>
  <c r="F11" i="4"/>
  <c r="H11" i="4" s="1"/>
  <c r="F12" i="4"/>
  <c r="H12" i="4" s="1"/>
  <c r="F13" i="4"/>
  <c r="F14" i="4"/>
  <c r="F15" i="4"/>
  <c r="H15" i="4" s="1"/>
  <c r="F16" i="4"/>
  <c r="H16" i="4" s="1"/>
  <c r="F17" i="4"/>
  <c r="H17" i="4" s="1"/>
  <c r="F18" i="4"/>
  <c r="H18" i="4" s="1"/>
  <c r="F19" i="4"/>
  <c r="H19" i="4" s="1"/>
  <c r="F20" i="4"/>
  <c r="H20" i="4" s="1"/>
  <c r="F9" i="4"/>
  <c r="M16" i="4"/>
  <c r="H13" i="4"/>
  <c r="H9" i="4"/>
  <c r="D22" i="6" l="1"/>
  <c r="D23" i="6" s="1"/>
  <c r="D21" i="6"/>
  <c r="F22" i="6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21" i="6"/>
  <c r="G22" i="6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21" i="6"/>
  <c r="E22" i="6"/>
  <c r="E23" i="6" s="1"/>
  <c r="E21" i="6"/>
  <c r="D15" i="6"/>
  <c r="D24" i="6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D69" i="6" s="1"/>
  <c r="D70" i="6" s="1"/>
  <c r="D71" i="6" s="1"/>
  <c r="D72" i="6" s="1"/>
  <c r="D73" i="6" s="1"/>
  <c r="D74" i="6" s="1"/>
  <c r="D75" i="6" s="1"/>
  <c r="D76" i="6" s="1"/>
  <c r="D77" i="6" s="1"/>
  <c r="D78" i="6" s="1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D94" i="6" s="1"/>
  <c r="D95" i="6" s="1"/>
  <c r="D8" i="6"/>
  <c r="F15" i="6"/>
  <c r="C60" i="6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H14" i="4"/>
  <c r="G14" i="4"/>
  <c r="G10" i="4"/>
  <c r="G18" i="4"/>
  <c r="G12" i="4"/>
  <c r="G16" i="4"/>
  <c r="G20" i="4"/>
  <c r="G9" i="4"/>
  <c r="G11" i="4"/>
  <c r="G13" i="4"/>
  <c r="G15" i="4"/>
  <c r="G17" i="4"/>
  <c r="G19" i="4"/>
  <c r="K9" i="4"/>
  <c r="L9" i="4" s="1"/>
  <c r="K10" i="4"/>
  <c r="L10" i="4" s="1"/>
  <c r="K11" i="4"/>
  <c r="L11" i="4" s="1"/>
  <c r="K12" i="4"/>
  <c r="L12" i="4" s="1"/>
  <c r="K13" i="4"/>
  <c r="L13" i="4" s="1"/>
  <c r="K14" i="4"/>
  <c r="L14" i="4" s="1"/>
  <c r="K15" i="4"/>
  <c r="L15" i="4" s="1"/>
  <c r="K16" i="4"/>
  <c r="L16" i="4" s="1"/>
  <c r="K17" i="4"/>
  <c r="L17" i="4" s="1"/>
  <c r="K18" i="4"/>
  <c r="L18" i="4" s="1"/>
  <c r="K19" i="4"/>
  <c r="L19" i="4" s="1"/>
  <c r="K20" i="4"/>
  <c r="L20" i="4" s="1"/>
  <c r="G15" i="6" l="1"/>
  <c r="E15" i="6"/>
  <c r="E24" i="6"/>
  <c r="E25" i="6" s="1"/>
  <c r="E26" i="6" s="1"/>
  <c r="E27" i="6" s="1"/>
  <c r="E28" i="6" s="1"/>
  <c r="F86" i="6"/>
  <c r="F87" i="6" s="1"/>
  <c r="F88" i="6" s="1"/>
  <c r="F89" i="6" s="1"/>
  <c r="F90" i="6" s="1"/>
  <c r="F91" i="6" s="1"/>
  <c r="F92" i="6" s="1"/>
  <c r="F93" i="6" s="1"/>
  <c r="F94" i="6" s="1"/>
  <c r="F95" i="6" s="1"/>
  <c r="F96" i="6" s="1"/>
  <c r="F97" i="6" s="1"/>
  <c r="F98" i="6" s="1"/>
  <c r="F99" i="6" s="1"/>
  <c r="F100" i="6" s="1"/>
  <c r="F101" i="6" s="1"/>
  <c r="F102" i="6" s="1"/>
  <c r="F103" i="6" s="1"/>
  <c r="H85" i="6"/>
  <c r="D96" i="6"/>
  <c r="D97" i="6" s="1"/>
  <c r="D98" i="6" s="1"/>
  <c r="D99" i="6" s="1"/>
  <c r="D100" i="6" s="1"/>
  <c r="D101" i="6" s="1"/>
  <c r="D102" i="6" s="1"/>
  <c r="D103" i="6" s="1"/>
  <c r="H95" i="6"/>
  <c r="G64" i="6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J13" i="3"/>
  <c r="J14" i="3"/>
  <c r="E29" i="6" l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1" i="6" s="1"/>
  <c r="E42" i="6" s="1"/>
  <c r="E43" i="6" s="1"/>
  <c r="E44" i="6" s="1"/>
  <c r="E45" i="6" s="1"/>
  <c r="E46" i="6" s="1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E75" i="6" s="1"/>
  <c r="E76" i="6" s="1"/>
  <c r="E77" i="6" s="1"/>
  <c r="E78" i="6" s="1"/>
  <c r="E79" i="6" s="1"/>
  <c r="E80" i="6" s="1"/>
  <c r="E81" i="6" s="1"/>
  <c r="E82" i="6" s="1"/>
  <c r="E83" i="6" s="1"/>
  <c r="E84" i="6" s="1"/>
  <c r="E85" i="6" s="1"/>
  <c r="E86" i="6" s="1"/>
  <c r="E87" i="6" s="1"/>
  <c r="E88" i="6" s="1"/>
  <c r="E89" i="6" s="1"/>
  <c r="E90" i="6" s="1"/>
  <c r="E91" i="6" s="1"/>
  <c r="E92" i="6" s="1"/>
  <c r="E93" i="6" s="1"/>
  <c r="E94" i="6" s="1"/>
  <c r="E95" i="6" s="1"/>
  <c r="E96" i="6" s="1"/>
  <c r="E97" i="6" s="1"/>
  <c r="E98" i="6" s="1"/>
  <c r="E99" i="6" s="1"/>
  <c r="E100" i="6" s="1"/>
  <c r="E101" i="6" s="1"/>
  <c r="E102" i="6" s="1"/>
  <c r="E103" i="6" s="1"/>
  <c r="I9" i="3"/>
  <c r="J9" i="3" s="1"/>
  <c r="J12" i="3"/>
  <c r="J15" i="3"/>
  <c r="J16" i="3"/>
  <c r="J17" i="3"/>
  <c r="J18" i="3"/>
  <c r="J19" i="3"/>
  <c r="J20" i="3"/>
  <c r="J11" i="3"/>
  <c r="J10" i="3"/>
  <c r="F20" i="3"/>
  <c r="F19" i="3"/>
  <c r="F18" i="3"/>
  <c r="F17" i="3"/>
  <c r="F16" i="3"/>
  <c r="F15" i="3"/>
  <c r="F14" i="3"/>
  <c r="F13" i="3"/>
  <c r="F12" i="3"/>
  <c r="F11" i="3"/>
  <c r="F10" i="3"/>
  <c r="F9" i="3"/>
  <c r="AD58" i="3" l="1"/>
  <c r="AC58" i="3"/>
  <c r="AB58" i="3"/>
  <c r="AA58" i="3"/>
  <c r="Z58" i="3"/>
  <c r="AD57" i="3"/>
  <c r="AC57" i="3"/>
  <c r="AB57" i="3"/>
  <c r="AA57" i="3"/>
  <c r="Z57" i="3"/>
  <c r="AD56" i="3"/>
  <c r="AC56" i="3"/>
  <c r="AB56" i="3"/>
  <c r="AA56" i="3"/>
  <c r="Z56" i="3"/>
  <c r="AD55" i="3"/>
  <c r="AC55" i="3"/>
  <c r="AB55" i="3"/>
  <c r="AA55" i="3"/>
  <c r="Z55" i="3"/>
  <c r="AD54" i="3"/>
  <c r="AC54" i="3"/>
  <c r="AB54" i="3"/>
  <c r="AA54" i="3"/>
  <c r="Z54" i="3"/>
  <c r="AD53" i="3"/>
  <c r="AC53" i="3"/>
  <c r="AB53" i="3"/>
  <c r="AA53" i="3"/>
  <c r="Z53" i="3"/>
  <c r="AD52" i="3"/>
  <c r="AC52" i="3"/>
  <c r="AB52" i="3"/>
  <c r="AA52" i="3"/>
  <c r="Z52" i="3"/>
  <c r="AD51" i="3"/>
  <c r="AC51" i="3"/>
  <c r="AB51" i="3"/>
  <c r="AA51" i="3"/>
  <c r="Z51" i="3"/>
  <c r="AD50" i="3"/>
  <c r="AC50" i="3"/>
  <c r="AB50" i="3"/>
  <c r="AA50" i="3"/>
  <c r="Z50" i="3"/>
  <c r="AD49" i="3"/>
  <c r="AC49" i="3"/>
  <c r="AB49" i="3"/>
  <c r="AA49" i="3"/>
  <c r="Z49" i="3"/>
  <c r="AD48" i="3"/>
  <c r="AC48" i="3"/>
  <c r="AB48" i="3"/>
  <c r="AA48" i="3"/>
  <c r="Z48" i="3"/>
  <c r="Y48" i="3"/>
  <c r="AD47" i="3"/>
  <c r="AC47" i="3"/>
  <c r="AB47" i="3"/>
  <c r="AA47" i="3"/>
  <c r="Z47" i="3"/>
  <c r="Y47" i="3"/>
  <c r="AD46" i="3"/>
  <c r="AC46" i="3"/>
  <c r="AB46" i="3"/>
  <c r="AA46" i="3"/>
  <c r="Z46" i="3"/>
  <c r="Y46" i="3"/>
  <c r="P46" i="3"/>
  <c r="P47" i="3" s="1"/>
  <c r="P48" i="3" s="1"/>
  <c r="P49" i="3" s="1"/>
  <c r="P50" i="3" s="1"/>
  <c r="P51" i="3" s="1"/>
  <c r="P52" i="3" s="1"/>
  <c r="P53" i="3" s="1"/>
  <c r="P54" i="3" s="1"/>
  <c r="P55" i="3" s="1"/>
  <c r="P56" i="3" s="1"/>
  <c r="P57" i="3" s="1"/>
  <c r="AD45" i="3"/>
  <c r="AC45" i="3"/>
  <c r="AB45" i="3"/>
  <c r="AA45" i="3"/>
  <c r="Z45" i="3"/>
  <c r="Y45" i="3"/>
  <c r="Z38" i="3"/>
  <c r="Y38" i="3"/>
  <c r="X38" i="3"/>
  <c r="W38" i="3"/>
  <c r="V38" i="3"/>
  <c r="Z37" i="3"/>
  <c r="Y37" i="3"/>
  <c r="X37" i="3"/>
  <c r="W37" i="3"/>
  <c r="V37" i="3"/>
  <c r="Z36" i="3"/>
  <c r="Y36" i="3"/>
  <c r="X36" i="3"/>
  <c r="W36" i="3"/>
  <c r="V36" i="3"/>
  <c r="Z35" i="3"/>
  <c r="Y35" i="3"/>
  <c r="X35" i="3"/>
  <c r="W35" i="3"/>
  <c r="V35" i="3"/>
  <c r="Z34" i="3"/>
  <c r="Y34" i="3"/>
  <c r="X34" i="3"/>
  <c r="W34" i="3"/>
  <c r="V34" i="3"/>
  <c r="Z33" i="3"/>
  <c r="Y33" i="3"/>
  <c r="X33" i="3"/>
  <c r="W33" i="3"/>
  <c r="V33" i="3"/>
  <c r="Z32" i="3"/>
  <c r="Y32" i="3"/>
  <c r="X32" i="3"/>
  <c r="W32" i="3"/>
  <c r="V32" i="3"/>
  <c r="Z31" i="3"/>
  <c r="Y31" i="3"/>
  <c r="X31" i="3"/>
  <c r="W31" i="3"/>
  <c r="I31" i="3"/>
  <c r="Z30" i="3"/>
  <c r="Y30" i="3"/>
  <c r="X30" i="3"/>
  <c r="W30" i="3"/>
  <c r="I30" i="3"/>
  <c r="Z29" i="3"/>
  <c r="Y29" i="3"/>
  <c r="X29" i="3"/>
  <c r="W29" i="3"/>
  <c r="Z28" i="3"/>
  <c r="Y28" i="3"/>
  <c r="X28" i="3"/>
  <c r="W28" i="3"/>
  <c r="K28" i="3"/>
  <c r="K31" i="3" s="1"/>
  <c r="Z27" i="3"/>
  <c r="Y27" i="3"/>
  <c r="X27" i="3"/>
  <c r="W27" i="3"/>
  <c r="K27" i="3"/>
  <c r="Z26" i="3"/>
  <c r="Y26" i="3"/>
  <c r="X26" i="3"/>
  <c r="W26" i="3"/>
  <c r="K26" i="3"/>
  <c r="Z25" i="3"/>
  <c r="Y25" i="3"/>
  <c r="X25" i="3"/>
  <c r="W25" i="3"/>
  <c r="K25" i="3"/>
  <c r="K24" i="3"/>
  <c r="M20" i="3"/>
  <c r="G20" i="3"/>
  <c r="M19" i="3"/>
  <c r="G19" i="3"/>
  <c r="M18" i="3"/>
  <c r="G18" i="3"/>
  <c r="M17" i="3"/>
  <c r="G17" i="3"/>
  <c r="M16" i="3"/>
  <c r="G16" i="3"/>
  <c r="M15" i="3"/>
  <c r="G15" i="3"/>
  <c r="M14" i="3"/>
  <c r="G14" i="3"/>
  <c r="M13" i="3"/>
  <c r="G13" i="3"/>
  <c r="M12" i="3"/>
  <c r="G12" i="3"/>
  <c r="M11" i="3"/>
  <c r="G11" i="3"/>
  <c r="M10" i="3"/>
  <c r="G10" i="3"/>
  <c r="M9" i="3"/>
  <c r="G9" i="3"/>
  <c r="I32" i="3" l="1"/>
  <c r="K30" i="3"/>
  <c r="K32" i="3" s="1"/>
  <c r="H9" i="3"/>
  <c r="K9" i="3"/>
  <c r="L9" i="3" s="1"/>
  <c r="H10" i="3"/>
  <c r="K10" i="3"/>
  <c r="L10" i="3" s="1"/>
  <c r="H11" i="3"/>
  <c r="K11" i="3"/>
  <c r="L11" i="3" s="1"/>
  <c r="H12" i="3"/>
  <c r="K12" i="3"/>
  <c r="L12" i="3" s="1"/>
  <c r="H13" i="3"/>
  <c r="K13" i="3"/>
  <c r="L13" i="3" s="1"/>
  <c r="H14" i="3"/>
  <c r="K14" i="3"/>
  <c r="L14" i="3" s="1"/>
  <c r="H15" i="3"/>
  <c r="K15" i="3"/>
  <c r="L15" i="3" s="1"/>
  <c r="H16" i="3"/>
  <c r="K16" i="3"/>
  <c r="L16" i="3" s="1"/>
  <c r="H17" i="3"/>
  <c r="K17" i="3"/>
  <c r="L17" i="3" s="1"/>
  <c r="H18" i="3"/>
  <c r="K18" i="3"/>
  <c r="L18" i="3" s="1"/>
  <c r="H19" i="3"/>
  <c r="K19" i="3"/>
  <c r="L19" i="3" s="1"/>
  <c r="H20" i="3"/>
  <c r="K20" i="3"/>
  <c r="L20" i="3" s="1"/>
  <c r="F12" i="2"/>
  <c r="F13" i="2"/>
  <c r="F14" i="2"/>
  <c r="F15" i="2"/>
  <c r="F16" i="2"/>
  <c r="F17" i="2"/>
  <c r="F18" i="2"/>
  <c r="F19" i="2"/>
  <c r="F20" i="2"/>
  <c r="F11" i="2"/>
  <c r="J12" i="2"/>
  <c r="J13" i="2"/>
  <c r="J14" i="2"/>
  <c r="J15" i="2"/>
  <c r="J16" i="2"/>
  <c r="J17" i="2"/>
  <c r="J18" i="2"/>
  <c r="J19" i="2"/>
  <c r="J20" i="2"/>
  <c r="J11" i="2"/>
  <c r="J9" i="2"/>
  <c r="M11" i="2" l="1"/>
  <c r="M12" i="2"/>
  <c r="M13" i="2"/>
  <c r="M14" i="2"/>
  <c r="M15" i="2"/>
  <c r="M16" i="2"/>
  <c r="M17" i="2"/>
  <c r="M18" i="2"/>
  <c r="M19" i="2"/>
  <c r="M20" i="2"/>
  <c r="M9" i="2"/>
  <c r="J10" i="2"/>
  <c r="M10" i="2" s="1"/>
  <c r="K20" i="2"/>
  <c r="L20" i="2" s="1"/>
  <c r="H11" i="2"/>
  <c r="H12" i="2"/>
  <c r="H13" i="2"/>
  <c r="H14" i="2"/>
  <c r="H15" i="2"/>
  <c r="H16" i="2"/>
  <c r="H17" i="2"/>
  <c r="H18" i="2"/>
  <c r="H19" i="2"/>
  <c r="H20" i="2"/>
  <c r="F10" i="2"/>
  <c r="H10" i="2" s="1"/>
  <c r="F9" i="2"/>
  <c r="H9" i="2" s="1"/>
  <c r="G20" i="2"/>
  <c r="AD58" i="2" l="1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C58" i="2"/>
  <c r="AC57" i="2"/>
  <c r="AC56" i="2"/>
  <c r="AC55" i="2"/>
  <c r="AC54" i="2"/>
  <c r="AC53" i="2"/>
  <c r="AC52" i="2"/>
  <c r="AC51" i="2"/>
  <c r="AC50" i="2"/>
  <c r="AC49" i="2"/>
  <c r="AC48" i="2"/>
  <c r="AC47" i="2"/>
  <c r="AC46" i="2"/>
  <c r="AC45" i="2"/>
  <c r="AB58" i="2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Z58" i="2"/>
  <c r="Z57" i="2"/>
  <c r="Z56" i="2"/>
  <c r="Z55" i="2"/>
  <c r="Z54" i="2"/>
  <c r="Z53" i="2"/>
  <c r="Z52" i="2"/>
  <c r="Z51" i="2"/>
  <c r="Z50" i="2"/>
  <c r="Z49" i="2"/>
  <c r="Z48" i="2"/>
  <c r="Z47" i="2"/>
  <c r="Z46" i="2"/>
  <c r="Z45" i="2"/>
  <c r="Y48" i="2"/>
  <c r="Y47" i="2"/>
  <c r="Y46" i="2"/>
  <c r="Y45" i="2"/>
  <c r="P46" i="2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Z38" i="2"/>
  <c r="Z37" i="2"/>
  <c r="Z35" i="2"/>
  <c r="Z33" i="2"/>
  <c r="Z29" i="2"/>
  <c r="Z28" i="2"/>
  <c r="Z25" i="2"/>
  <c r="Z36" i="2"/>
  <c r="Z34" i="2"/>
  <c r="Z32" i="2"/>
  <c r="Z31" i="2"/>
  <c r="Z30" i="2"/>
  <c r="Z27" i="2"/>
  <c r="Z26" i="2"/>
  <c r="Y33" i="2"/>
  <c r="Y31" i="2"/>
  <c r="Y38" i="2"/>
  <c r="Y37" i="2"/>
  <c r="Y36" i="2"/>
  <c r="Y35" i="2"/>
  <c r="Y34" i="2"/>
  <c r="Y32" i="2"/>
  <c r="Y30" i="2"/>
  <c r="Y29" i="2"/>
  <c r="Y28" i="2"/>
  <c r="Y27" i="2"/>
  <c r="Y26" i="2"/>
  <c r="Y25" i="2"/>
  <c r="X38" i="2"/>
  <c r="X37" i="2"/>
  <c r="X36" i="2"/>
  <c r="X35" i="2"/>
  <c r="X34" i="2"/>
  <c r="X33" i="2"/>
  <c r="X32" i="2"/>
  <c r="X29" i="2"/>
  <c r="X28" i="2"/>
  <c r="X25" i="2"/>
  <c r="X31" i="2"/>
  <c r="X30" i="2"/>
  <c r="X27" i="2"/>
  <c r="X26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V37" i="2"/>
  <c r="V36" i="2"/>
  <c r="V35" i="2"/>
  <c r="V34" i="2"/>
  <c r="V38" i="2"/>
  <c r="V33" i="2"/>
  <c r="V32" i="2"/>
  <c r="B49" i="2" l="1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I31" i="2"/>
  <c r="B31" i="2"/>
  <c r="I30" i="2"/>
  <c r="B30" i="2"/>
  <c r="B29" i="2"/>
  <c r="K28" i="2"/>
  <c r="K31" i="2" s="1"/>
  <c r="B28" i="2"/>
  <c r="K27" i="2"/>
  <c r="B27" i="2"/>
  <c r="K26" i="2"/>
  <c r="B26" i="2"/>
  <c r="K25" i="2"/>
  <c r="B25" i="2"/>
  <c r="K24" i="2"/>
  <c r="B24" i="2"/>
  <c r="B23" i="2"/>
  <c r="B22" i="2"/>
  <c r="B21" i="2"/>
  <c r="B20" i="2"/>
  <c r="K19" i="2"/>
  <c r="L19" i="2" s="1"/>
  <c r="G19" i="2"/>
  <c r="B19" i="2"/>
  <c r="K18" i="2"/>
  <c r="L18" i="2" s="1"/>
  <c r="G18" i="2"/>
  <c r="B18" i="2"/>
  <c r="K17" i="2"/>
  <c r="L17" i="2" s="1"/>
  <c r="G17" i="2"/>
  <c r="B17" i="2"/>
  <c r="K16" i="2"/>
  <c r="L16" i="2" s="1"/>
  <c r="G16" i="2"/>
  <c r="B16" i="2"/>
  <c r="K15" i="2"/>
  <c r="L15" i="2" s="1"/>
  <c r="G15" i="2"/>
  <c r="B15" i="2"/>
  <c r="K14" i="2"/>
  <c r="L14" i="2" s="1"/>
  <c r="G14" i="2"/>
  <c r="B14" i="2"/>
  <c r="K13" i="2"/>
  <c r="L13" i="2" s="1"/>
  <c r="G13" i="2"/>
  <c r="B13" i="2"/>
  <c r="K12" i="2"/>
  <c r="L12" i="2" s="1"/>
  <c r="G12" i="2"/>
  <c r="B12" i="2"/>
  <c r="K11" i="2"/>
  <c r="L11" i="2" s="1"/>
  <c r="G11" i="2"/>
  <c r="B11" i="2"/>
  <c r="K10" i="2"/>
  <c r="L10" i="2" s="1"/>
  <c r="G10" i="2"/>
  <c r="B10" i="2"/>
  <c r="K9" i="2"/>
  <c r="L9" i="2" s="1"/>
  <c r="G9" i="2"/>
  <c r="B9" i="2"/>
  <c r="B8" i="2"/>
  <c r="B7" i="2"/>
  <c r="K30" i="2" l="1"/>
  <c r="K32" i="2" s="1"/>
  <c r="I32" i="2"/>
  <c r="B49" i="1"/>
  <c r="B44" i="1"/>
  <c r="B45" i="1"/>
  <c r="B46" i="1"/>
  <c r="B47" i="1"/>
  <c r="B48" i="1"/>
  <c r="B40" i="1"/>
  <c r="B41" i="1"/>
  <c r="B42" i="1"/>
  <c r="B43" i="1"/>
  <c r="B36" i="1"/>
  <c r="B37" i="1"/>
  <c r="B38" i="1"/>
  <c r="B39" i="1"/>
  <c r="V58" i="1" l="1"/>
  <c r="W58" i="1"/>
  <c r="X58" i="1"/>
  <c r="Y58" i="1"/>
  <c r="V57" i="1"/>
  <c r="W57" i="1"/>
  <c r="X57" i="1"/>
  <c r="Y57" i="1"/>
  <c r="V56" i="1"/>
  <c r="W56" i="1"/>
  <c r="X56" i="1"/>
  <c r="Y56" i="1"/>
  <c r="V55" i="1"/>
  <c r="W55" i="1"/>
  <c r="X55" i="1"/>
  <c r="Y55" i="1"/>
  <c r="V54" i="1"/>
  <c r="W54" i="1"/>
  <c r="X54" i="1"/>
  <c r="Y54" i="1"/>
  <c r="V53" i="1"/>
  <c r="W53" i="1"/>
  <c r="X53" i="1"/>
  <c r="Y53" i="1"/>
  <c r="V52" i="1"/>
  <c r="W52" i="1"/>
  <c r="X52" i="1"/>
  <c r="Y52" i="1"/>
  <c r="V51" i="1"/>
  <c r="W51" i="1"/>
  <c r="X51" i="1"/>
  <c r="Y51" i="1"/>
  <c r="V50" i="1"/>
  <c r="W50" i="1"/>
  <c r="X50" i="1"/>
  <c r="Y50" i="1"/>
  <c r="U50" i="1"/>
  <c r="U51" i="1"/>
  <c r="U52" i="1"/>
  <c r="U53" i="1"/>
  <c r="U54" i="1"/>
  <c r="U55" i="1"/>
  <c r="U56" i="1"/>
  <c r="U57" i="1"/>
  <c r="U58" i="1"/>
  <c r="V49" i="1"/>
  <c r="W49" i="1"/>
  <c r="X49" i="1"/>
  <c r="Y49" i="1"/>
  <c r="U49" i="1"/>
  <c r="U48" i="1"/>
  <c r="V48" i="1"/>
  <c r="W48" i="1"/>
  <c r="X48" i="1"/>
  <c r="Y48" i="1"/>
  <c r="U47" i="1"/>
  <c r="V47" i="1"/>
  <c r="W47" i="1"/>
  <c r="X47" i="1"/>
  <c r="Y47" i="1"/>
  <c r="Y46" i="1"/>
  <c r="U46" i="1"/>
  <c r="V46" i="1"/>
  <c r="W46" i="1"/>
  <c r="X46" i="1"/>
  <c r="U45" i="1"/>
  <c r="V45" i="1"/>
  <c r="W45" i="1"/>
  <c r="X45" i="1"/>
  <c r="Y45" i="1"/>
  <c r="T46" i="1"/>
  <c r="T47" i="1"/>
  <c r="T48" i="1"/>
  <c r="T45" i="1"/>
  <c r="S46" i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T38" i="1"/>
  <c r="U38" i="1"/>
  <c r="V38" i="1"/>
  <c r="W38" i="1"/>
  <c r="T37" i="1"/>
  <c r="U37" i="1"/>
  <c r="V37" i="1"/>
  <c r="W37" i="1"/>
  <c r="T36" i="1"/>
  <c r="U36" i="1"/>
  <c r="V36" i="1"/>
  <c r="W36" i="1"/>
  <c r="S38" i="1"/>
  <c r="T35" i="1"/>
  <c r="U35" i="1"/>
  <c r="V35" i="1"/>
  <c r="W35" i="1"/>
  <c r="T34" i="1"/>
  <c r="U34" i="1"/>
  <c r="V34" i="1"/>
  <c r="W34" i="1"/>
  <c r="T33" i="1"/>
  <c r="U33" i="1"/>
  <c r="V33" i="1"/>
  <c r="W33" i="1"/>
  <c r="T32" i="1"/>
  <c r="U32" i="1"/>
  <c r="V32" i="1"/>
  <c r="W32" i="1"/>
  <c r="T31" i="1"/>
  <c r="U31" i="1"/>
  <c r="V31" i="1"/>
  <c r="W31" i="1"/>
  <c r="T30" i="1"/>
  <c r="U30" i="1"/>
  <c r="V30" i="1"/>
  <c r="W30" i="1"/>
  <c r="T29" i="1"/>
  <c r="U29" i="1"/>
  <c r="V29" i="1"/>
  <c r="W29" i="1"/>
  <c r="T28" i="1"/>
  <c r="U28" i="1"/>
  <c r="V28" i="1"/>
  <c r="W28" i="1"/>
  <c r="T27" i="1"/>
  <c r="U27" i="1"/>
  <c r="V27" i="1"/>
  <c r="W27" i="1"/>
  <c r="T26" i="1"/>
  <c r="U26" i="1"/>
  <c r="V26" i="1"/>
  <c r="W26" i="1"/>
  <c r="T25" i="1"/>
  <c r="U25" i="1"/>
  <c r="V25" i="1"/>
  <c r="W25" i="1"/>
  <c r="S26" i="1"/>
  <c r="S27" i="1"/>
  <c r="S28" i="1"/>
  <c r="S29" i="1"/>
  <c r="S30" i="1"/>
  <c r="S31" i="1"/>
  <c r="S32" i="1"/>
  <c r="S33" i="1"/>
  <c r="S34" i="1"/>
  <c r="S35" i="1"/>
  <c r="S36" i="1"/>
  <c r="S37" i="1"/>
  <c r="S25" i="1"/>
  <c r="J25" i="1" l="1"/>
  <c r="J26" i="1"/>
  <c r="J27" i="1"/>
  <c r="J28" i="1"/>
  <c r="J31" i="1" s="1"/>
  <c r="J24" i="1"/>
  <c r="H30" i="1"/>
  <c r="H31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J30" i="1" l="1"/>
  <c r="J32" i="1" s="1"/>
  <c r="H32" i="1"/>
  <c r="I19" i="1"/>
  <c r="I18" i="1"/>
  <c r="I17" i="1"/>
  <c r="I16" i="1"/>
  <c r="I15" i="1"/>
  <c r="I14" i="1"/>
  <c r="I13" i="1"/>
  <c r="I12" i="1"/>
  <c r="I11" i="1"/>
  <c r="I10" i="1"/>
  <c r="I9" i="1"/>
  <c r="F19" i="1"/>
  <c r="F18" i="1"/>
  <c r="F17" i="1"/>
  <c r="F16" i="1"/>
  <c r="F15" i="1"/>
  <c r="F14" i="1"/>
  <c r="F13" i="1"/>
  <c r="F12" i="1"/>
  <c r="F11" i="1"/>
  <c r="F10" i="1"/>
  <c r="F9" i="1"/>
  <c r="G10" i="1" l="1"/>
  <c r="G11" i="1"/>
  <c r="G12" i="1"/>
  <c r="G13" i="1"/>
  <c r="G14" i="1"/>
  <c r="G15" i="1"/>
  <c r="G16" i="1"/>
  <c r="G17" i="1"/>
  <c r="G18" i="1"/>
  <c r="G19" i="1"/>
  <c r="G9" i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</calcChain>
</file>

<file path=xl/sharedStrings.xml><?xml version="1.0" encoding="utf-8"?>
<sst xmlns="http://schemas.openxmlformats.org/spreadsheetml/2006/main" count="277" uniqueCount="65">
  <si>
    <t>valor unitario</t>
  </si>
  <si>
    <t>minimos</t>
  </si>
  <si>
    <t>Diferencia</t>
  </si>
  <si>
    <t>valor 2012</t>
  </si>
  <si>
    <t>mensual diferencia</t>
  </si>
  <si>
    <t>TASA A LA PROPIEDAD</t>
  </si>
  <si>
    <t>COMERCIO INDUSTRIA</t>
  </si>
  <si>
    <t>TIERRA</t>
  </si>
  <si>
    <t>CONSTRUCCION</t>
  </si>
  <si>
    <t>% incremento</t>
  </si>
  <si>
    <t>LICENCIAS DE CONDUCIR</t>
  </si>
  <si>
    <t>EXAMEN MEDICO</t>
  </si>
  <si>
    <t>TEORICO</t>
  </si>
  <si>
    <t>PRACTICO</t>
  </si>
  <si>
    <t>EMISION</t>
  </si>
  <si>
    <t>ANTECEDENTES</t>
  </si>
  <si>
    <t>NUEVOS</t>
  </si>
  <si>
    <t>MODELO</t>
  </si>
  <si>
    <t>AÑO</t>
  </si>
  <si>
    <t>HASTA</t>
  </si>
  <si>
    <t>150 KG.</t>
  </si>
  <si>
    <t>DE 151 A</t>
  </si>
  <si>
    <t>400 KG.</t>
  </si>
  <si>
    <t>DE 401 A</t>
  </si>
  <si>
    <t>800 KG.</t>
  </si>
  <si>
    <t>DE 801 A</t>
  </si>
  <si>
    <t>1800 KG.</t>
  </si>
  <si>
    <t>MAS DE</t>
  </si>
  <si>
    <t>2000 y ant.</t>
  </si>
  <si>
    <t>50 CC.</t>
  </si>
  <si>
    <t>DE 51 A</t>
  </si>
  <si>
    <t>150 CC.</t>
  </si>
  <si>
    <t>240 CC.</t>
  </si>
  <si>
    <t>DE 241 A</t>
  </si>
  <si>
    <t>500 CC.</t>
  </si>
  <si>
    <t>DE 501 A</t>
  </si>
  <si>
    <t>750 CC.</t>
  </si>
  <si>
    <t>1999 y ant.</t>
  </si>
  <si>
    <t>2001 y ant.</t>
  </si>
  <si>
    <t>valor 2013</t>
  </si>
  <si>
    <t>RADIOS</t>
  </si>
  <si>
    <t>valor Minnimo 2013</t>
  </si>
  <si>
    <t>minimos 2014</t>
  </si>
  <si>
    <t>valor unitario 2014</t>
  </si>
  <si>
    <t>valor 2014</t>
  </si>
  <si>
    <t>valor Minnimo 2014</t>
  </si>
  <si>
    <t>minimos 2015</t>
  </si>
  <si>
    <t>valor unitario 2015</t>
  </si>
  <si>
    <t>valor unitario 2016</t>
  </si>
  <si>
    <t>minimos 2016</t>
  </si>
  <si>
    <t>valor Minnimo 2015</t>
  </si>
  <si>
    <t>INCREMENTO CATEGORIAS</t>
  </si>
  <si>
    <t>Años</t>
  </si>
  <si>
    <t>Categoria 1</t>
  </si>
  <si>
    <t>Categoria 2</t>
  </si>
  <si>
    <t>Categoria 3</t>
  </si>
  <si>
    <t>Categoria 4</t>
  </si>
  <si>
    <t>Categoria 5</t>
  </si>
  <si>
    <t>TARIFARIA 2016</t>
  </si>
  <si>
    <t>ANEXO II</t>
  </si>
  <si>
    <t>VALOR A COMPARAR POR LA TIPOLOGIA DE CONSTRUCCION CON LA CATEGORIA 2.</t>
  </si>
  <si>
    <t>PROYECTO TARIFARIA 2019</t>
  </si>
  <si>
    <t>TABLA DE VALORES SEGÚN CATEGORÍA DE LA CONSTRUCCIÓN A PARTIR DEL AÑO 2019</t>
  </si>
  <si>
    <r>
      <t xml:space="preserve">VALOR M2 CONSTRUCCION DIR. ESTADISTICAS Y CENSOS. A OCT  2018: </t>
    </r>
    <r>
      <rPr>
        <b/>
        <sz val="11"/>
        <color theme="1"/>
        <rFont val="Calibri"/>
        <family val="2"/>
        <scheme val="minor"/>
      </rPr>
      <t>$18.459,89</t>
    </r>
  </si>
  <si>
    <t>1936 y 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</si>
</sst>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 * #,##0.00_ ;_ * \-#,##0.00_ ;_ * &quot;-&quot;??_ ;_ @_ "/>
    <numFmt numFmtId="164" formatCode="0.0"/>
    <numFmt numFmtId="165" formatCode="_ * #,##0.0_ ;_ * \-#,##0.0_ ;_ * &quot;-&quot;??_ ;_ @_ "/>
    <numFmt numFmtId="166" formatCode="_ * #,##0_ ;_ * \-#,##0_ ;_ * &quot;-&quot;??_ ;_ @_ "/>
    <numFmt numFmtId="167" formatCode="_ * #,##0.0000_ ;_ * \-#,##0.0000_ ;_ * &quot;-&quot;??_ ;_ @_ "/>
    <numFmt numFmtId="168" formatCode="0.0000"/>
    <numFmt numFmtId="169" formatCode="0.00000"/>
    <numFmt numFmtId="170" formatCode="0.0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ourier New"/>
      <family val="3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rgb="FF000000"/>
      <name val="Courier New"/>
      <family val="3"/>
    </font>
    <font>
      <b/>
      <sz val="12"/>
      <color rgb="FF00000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164" fontId="0" fillId="0" borderId="0" xfId="0" applyNumberFormat="1"/>
    <xf numFmtId="43" fontId="0" fillId="0" borderId="0" xfId="1" applyFont="1"/>
    <xf numFmtId="43" fontId="0" fillId="0" borderId="0" xfId="0" applyNumberFormat="1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1" fontId="2" fillId="0" borderId="6" xfId="0" applyNumberFormat="1" applyFont="1" applyBorder="1" applyAlignment="1">
      <alignment horizontal="justify" vertical="center" wrapText="1"/>
    </xf>
    <xf numFmtId="0" fontId="2" fillId="0" borderId="6" xfId="0" applyNumberFormat="1" applyFont="1" applyBorder="1" applyAlignment="1">
      <alignment horizontal="justify" vertical="center" wrapText="1"/>
    </xf>
    <xf numFmtId="1" fontId="2" fillId="0" borderId="6" xfId="1" applyNumberFormat="1" applyFont="1" applyBorder="1" applyAlignment="1">
      <alignment horizontal="justify" vertical="center" wrapText="1"/>
    </xf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0" borderId="0" xfId="1" applyNumberFormat="1" applyFont="1"/>
    <xf numFmtId="43" fontId="0" fillId="0" borderId="0" xfId="1" applyNumberFormat="1" applyFont="1"/>
    <xf numFmtId="167" fontId="0" fillId="0" borderId="9" xfId="1" applyNumberFormat="1" applyFont="1" applyBorder="1"/>
    <xf numFmtId="167" fontId="0" fillId="0" borderId="10" xfId="1" applyNumberFormat="1" applyFont="1" applyBorder="1"/>
    <xf numFmtId="0" fontId="0" fillId="0" borderId="9" xfId="0" applyBorder="1"/>
    <xf numFmtId="0" fontId="0" fillId="0" borderId="0" xfId="0" applyBorder="1"/>
    <xf numFmtId="168" fontId="0" fillId="0" borderId="0" xfId="0" applyNumberFormat="1" applyBorder="1"/>
    <xf numFmtId="2" fontId="0" fillId="0" borderId="0" xfId="0" applyNumberFormat="1"/>
    <xf numFmtId="168" fontId="0" fillId="0" borderId="9" xfId="0" applyNumberFormat="1" applyBorder="1"/>
    <xf numFmtId="9" fontId="0" fillId="0" borderId="0" xfId="2" applyFont="1"/>
    <xf numFmtId="167" fontId="0" fillId="0" borderId="9" xfId="0" applyNumberFormat="1" applyBorder="1"/>
    <xf numFmtId="0" fontId="3" fillId="0" borderId="0" xfId="0" applyFont="1"/>
    <xf numFmtId="0" fontId="4" fillId="0" borderId="0" xfId="0" applyFont="1"/>
    <xf numFmtId="168" fontId="0" fillId="0" borderId="11" xfId="0" applyNumberFormat="1" applyFill="1" applyBorder="1"/>
    <xf numFmtId="168" fontId="0" fillId="0" borderId="11" xfId="1" applyNumberFormat="1" applyFont="1" applyFill="1" applyBorder="1"/>
    <xf numFmtId="0" fontId="0" fillId="0" borderId="9" xfId="0" applyBorder="1" applyAlignment="1">
      <alignment horizontal="center"/>
    </xf>
    <xf numFmtId="43" fontId="0" fillId="0" borderId="9" xfId="1" applyFont="1" applyBorder="1"/>
    <xf numFmtId="0" fontId="3" fillId="2" borderId="9" xfId="0" applyFont="1" applyFill="1" applyBorder="1" applyAlignment="1">
      <alignment horizontal="center"/>
    </xf>
    <xf numFmtId="168" fontId="3" fillId="0" borderId="0" xfId="0" applyNumberFormat="1" applyFont="1" applyBorder="1"/>
    <xf numFmtId="168" fontId="0" fillId="0" borderId="9" xfId="0" applyNumberFormat="1" applyFont="1" applyBorder="1"/>
    <xf numFmtId="2" fontId="3" fillId="0" borderId="9" xfId="0" applyNumberFormat="1" applyFont="1" applyFill="1" applyBorder="1"/>
    <xf numFmtId="169" fontId="0" fillId="0" borderId="0" xfId="0" applyNumberFormat="1" applyBorder="1"/>
    <xf numFmtId="170" fontId="0" fillId="0" borderId="0" xfId="0" applyNumberFormat="1" applyBorder="1"/>
    <xf numFmtId="0" fontId="0" fillId="0" borderId="0" xfId="0" applyFont="1"/>
    <xf numFmtId="2" fontId="3" fillId="0" borderId="9" xfId="0" applyNumberFormat="1" applyFont="1" applyBorder="1"/>
    <xf numFmtId="9" fontId="3" fillId="0" borderId="0" xfId="2" applyFont="1" applyBorder="1"/>
    <xf numFmtId="0" fontId="0" fillId="3" borderId="9" xfId="0" applyFont="1" applyFill="1" applyBorder="1" applyAlignment="1">
      <alignment horizontal="center"/>
    </xf>
    <xf numFmtId="43" fontId="0" fillId="3" borderId="9" xfId="1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 wrapText="1"/>
    </xf>
    <xf numFmtId="0" fontId="6" fillId="2" borderId="9" xfId="0" applyFont="1" applyFill="1" applyBorder="1" applyAlignment="1">
      <alignment horizontal="center" wrapText="1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7</xdr:row>
      <xdr:rowOff>0</xdr:rowOff>
    </xdr:from>
    <xdr:to>
      <xdr:col>6</xdr:col>
      <xdr:colOff>704850</xdr:colOff>
      <xdr:row>9</xdr:row>
      <xdr:rowOff>19050</xdr:rowOff>
    </xdr:to>
    <xdr:cxnSp macro="">
      <xdr:nvCxnSpPr>
        <xdr:cNvPr id="3" name="Conector recto de flecha 2"/>
        <xdr:cNvCxnSpPr/>
      </xdr:nvCxnSpPr>
      <xdr:spPr>
        <a:xfrm>
          <a:off x="2466975" y="1143000"/>
          <a:ext cx="2524125" cy="4000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Y58"/>
  <sheetViews>
    <sheetView workbookViewId="0">
      <selection sqref="A1:XFD1048576"/>
    </sheetView>
  </sheetViews>
  <sheetFormatPr baseColWidth="10" defaultRowHeight="15" x14ac:dyDescent="0.25"/>
  <cols>
    <col min="6" max="6" width="12.85546875" bestFit="1" customWidth="1"/>
    <col min="7" max="7" width="12.85546875" customWidth="1"/>
    <col min="11" max="11" width="18.140625" bestFit="1" customWidth="1"/>
    <col min="12" max="12" width="13.28515625" bestFit="1" customWidth="1"/>
    <col min="23" max="23" width="17.140625" bestFit="1" customWidth="1"/>
  </cols>
  <sheetData>
    <row r="5" spans="1:12" x14ac:dyDescent="0.25">
      <c r="C5" t="s">
        <v>6</v>
      </c>
      <c r="G5" t="s">
        <v>5</v>
      </c>
    </row>
    <row r="7" spans="1:12" x14ac:dyDescent="0.25">
      <c r="A7">
        <v>170</v>
      </c>
      <c r="B7">
        <f>+A7*1.3</f>
        <v>221</v>
      </c>
      <c r="F7" t="s">
        <v>7</v>
      </c>
      <c r="I7" t="s">
        <v>8</v>
      </c>
    </row>
    <row r="8" spans="1:12" x14ac:dyDescent="0.25">
      <c r="A8">
        <v>92</v>
      </c>
      <c r="B8">
        <f t="shared" ref="B8:B49" si="0">+A8*1.3</f>
        <v>119.60000000000001</v>
      </c>
      <c r="E8" s="4" t="s">
        <v>3</v>
      </c>
      <c r="F8" s="4" t="s">
        <v>0</v>
      </c>
      <c r="G8" s="4" t="s">
        <v>2</v>
      </c>
      <c r="H8" s="4" t="s">
        <v>3</v>
      </c>
      <c r="I8" s="4" t="s">
        <v>1</v>
      </c>
      <c r="J8" s="4" t="s">
        <v>2</v>
      </c>
      <c r="K8" s="4" t="s">
        <v>4</v>
      </c>
      <c r="L8" s="4" t="s">
        <v>9</v>
      </c>
    </row>
    <row r="9" spans="1:12" x14ac:dyDescent="0.25">
      <c r="A9">
        <v>215</v>
      </c>
      <c r="B9">
        <f t="shared" si="0"/>
        <v>279.5</v>
      </c>
      <c r="E9">
        <v>72</v>
      </c>
      <c r="F9" s="1">
        <f>+E9*1.3</f>
        <v>93.600000000000009</v>
      </c>
      <c r="G9" s="3">
        <f>+F9-E9</f>
        <v>21.600000000000009</v>
      </c>
      <c r="H9" s="2">
        <v>1244.78</v>
      </c>
      <c r="I9" s="2">
        <f>+H9*1.3</f>
        <v>1618.2139999999999</v>
      </c>
      <c r="J9" s="3">
        <f>+I9-H9</f>
        <v>373.43399999999997</v>
      </c>
      <c r="K9" s="2">
        <f>+J9/12</f>
        <v>31.119499999999999</v>
      </c>
      <c r="L9" s="3"/>
    </row>
    <row r="10" spans="1:12" x14ac:dyDescent="0.25">
      <c r="A10">
        <v>108</v>
      </c>
      <c r="B10">
        <f t="shared" si="0"/>
        <v>140.4</v>
      </c>
      <c r="E10">
        <v>60</v>
      </c>
      <c r="F10" s="1">
        <f t="shared" ref="F10:F19" si="1">+E10*1.3</f>
        <v>78</v>
      </c>
      <c r="G10" s="3">
        <f t="shared" ref="G10:G19" si="2">+F10-E10</f>
        <v>18</v>
      </c>
      <c r="H10" s="2">
        <v>1169.3399999999999</v>
      </c>
      <c r="I10" s="2">
        <f t="shared" ref="I10:I19" si="3">+H10*1.3</f>
        <v>1520.1420000000001</v>
      </c>
      <c r="J10" s="3">
        <f t="shared" ref="J10:J19" si="4">+I10-H10</f>
        <v>350.80200000000013</v>
      </c>
      <c r="K10" s="2">
        <f t="shared" ref="K10:K19" si="5">+J10/12</f>
        <v>29.23350000000001</v>
      </c>
      <c r="L10" s="3"/>
    </row>
    <row r="11" spans="1:12" x14ac:dyDescent="0.25">
      <c r="A11">
        <v>440</v>
      </c>
      <c r="B11">
        <f t="shared" si="0"/>
        <v>572</v>
      </c>
      <c r="E11">
        <v>54</v>
      </c>
      <c r="F11" s="1">
        <f t="shared" si="1"/>
        <v>70.2</v>
      </c>
      <c r="G11" s="3">
        <f t="shared" si="2"/>
        <v>16.200000000000003</v>
      </c>
      <c r="H11" s="2">
        <v>961.88</v>
      </c>
      <c r="I11" s="2">
        <f t="shared" si="3"/>
        <v>1250.444</v>
      </c>
      <c r="J11" s="3">
        <f t="shared" si="4"/>
        <v>288.56399999999996</v>
      </c>
      <c r="K11" s="2">
        <f t="shared" si="5"/>
        <v>24.046999999999997</v>
      </c>
      <c r="L11" s="3"/>
    </row>
    <row r="12" spans="1:12" x14ac:dyDescent="0.25">
      <c r="A12">
        <v>77</v>
      </c>
      <c r="B12">
        <f t="shared" si="0"/>
        <v>100.10000000000001</v>
      </c>
      <c r="E12">
        <v>48</v>
      </c>
      <c r="F12" s="1">
        <f t="shared" si="1"/>
        <v>62.400000000000006</v>
      </c>
      <c r="G12" s="3">
        <f t="shared" si="2"/>
        <v>14.400000000000006</v>
      </c>
      <c r="H12" s="2">
        <v>792.13</v>
      </c>
      <c r="I12" s="2">
        <f t="shared" si="3"/>
        <v>1029.769</v>
      </c>
      <c r="J12" s="3">
        <f t="shared" si="4"/>
        <v>237.63900000000001</v>
      </c>
      <c r="K12" s="2">
        <f t="shared" si="5"/>
        <v>19.803250000000002</v>
      </c>
      <c r="L12" s="3"/>
    </row>
    <row r="13" spans="1:12" x14ac:dyDescent="0.25">
      <c r="A13">
        <v>138</v>
      </c>
      <c r="B13">
        <f t="shared" si="0"/>
        <v>179.4</v>
      </c>
      <c r="E13">
        <v>36</v>
      </c>
      <c r="F13" s="1">
        <f t="shared" si="1"/>
        <v>46.800000000000004</v>
      </c>
      <c r="G13" s="3">
        <f t="shared" si="2"/>
        <v>10.800000000000004</v>
      </c>
      <c r="H13" s="2">
        <v>641.26</v>
      </c>
      <c r="I13" s="2">
        <f t="shared" si="3"/>
        <v>833.63800000000003</v>
      </c>
      <c r="J13" s="3">
        <f t="shared" si="4"/>
        <v>192.37800000000004</v>
      </c>
      <c r="K13" s="2">
        <f t="shared" si="5"/>
        <v>16.031500000000005</v>
      </c>
      <c r="L13" s="3"/>
    </row>
    <row r="14" spans="1:12" x14ac:dyDescent="0.25">
      <c r="A14">
        <v>335</v>
      </c>
      <c r="B14">
        <f t="shared" si="0"/>
        <v>435.5</v>
      </c>
      <c r="E14">
        <v>24</v>
      </c>
      <c r="F14" s="1">
        <f t="shared" si="1"/>
        <v>31.200000000000003</v>
      </c>
      <c r="G14" s="3">
        <f t="shared" si="2"/>
        <v>7.2000000000000028</v>
      </c>
      <c r="H14" s="2">
        <v>509.23</v>
      </c>
      <c r="I14" s="2">
        <f t="shared" si="3"/>
        <v>661.99900000000002</v>
      </c>
      <c r="J14" s="3">
        <f t="shared" si="4"/>
        <v>152.76900000000001</v>
      </c>
      <c r="K14" s="2">
        <f t="shared" si="5"/>
        <v>12.73075</v>
      </c>
      <c r="L14" s="3"/>
    </row>
    <row r="15" spans="1:12" x14ac:dyDescent="0.25">
      <c r="A15">
        <v>25</v>
      </c>
      <c r="B15">
        <f t="shared" si="0"/>
        <v>32.5</v>
      </c>
      <c r="E15">
        <v>24</v>
      </c>
      <c r="F15" s="1">
        <f t="shared" si="1"/>
        <v>31.200000000000003</v>
      </c>
      <c r="G15" s="3">
        <f t="shared" si="2"/>
        <v>7.2000000000000028</v>
      </c>
      <c r="H15" s="2">
        <v>377.21</v>
      </c>
      <c r="I15" s="2">
        <f t="shared" si="3"/>
        <v>490.37299999999999</v>
      </c>
      <c r="J15" s="3">
        <f t="shared" si="4"/>
        <v>113.16300000000001</v>
      </c>
      <c r="K15" s="2">
        <f t="shared" si="5"/>
        <v>9.4302500000000009</v>
      </c>
      <c r="L15" s="3"/>
    </row>
    <row r="16" spans="1:12" x14ac:dyDescent="0.25">
      <c r="A16">
        <v>2150</v>
      </c>
      <c r="B16">
        <f t="shared" si="0"/>
        <v>2795</v>
      </c>
      <c r="E16">
        <v>24</v>
      </c>
      <c r="F16" s="1">
        <f t="shared" si="1"/>
        <v>31.200000000000003</v>
      </c>
      <c r="G16" s="3">
        <f t="shared" si="2"/>
        <v>7.2000000000000028</v>
      </c>
      <c r="H16" s="2">
        <v>377.21</v>
      </c>
      <c r="I16" s="2">
        <f t="shared" si="3"/>
        <v>490.37299999999999</v>
      </c>
      <c r="J16" s="3">
        <f t="shared" si="4"/>
        <v>113.16300000000001</v>
      </c>
      <c r="K16" s="2">
        <f t="shared" si="5"/>
        <v>9.4302500000000009</v>
      </c>
      <c r="L16" s="3"/>
    </row>
    <row r="17" spans="1:23" x14ac:dyDescent="0.25">
      <c r="A17">
        <v>275</v>
      </c>
      <c r="B17">
        <f t="shared" si="0"/>
        <v>357.5</v>
      </c>
      <c r="E17">
        <v>12</v>
      </c>
      <c r="F17" s="1">
        <f t="shared" si="1"/>
        <v>15.600000000000001</v>
      </c>
      <c r="G17" s="3">
        <f t="shared" si="2"/>
        <v>3.6000000000000014</v>
      </c>
      <c r="H17" s="2">
        <v>377.21</v>
      </c>
      <c r="I17" s="2">
        <f t="shared" si="3"/>
        <v>490.37299999999999</v>
      </c>
      <c r="J17" s="3">
        <f t="shared" si="4"/>
        <v>113.16300000000001</v>
      </c>
      <c r="K17" s="2">
        <f t="shared" si="5"/>
        <v>9.4302500000000009</v>
      </c>
      <c r="L17" s="3"/>
    </row>
    <row r="18" spans="1:23" x14ac:dyDescent="0.25">
      <c r="A18">
        <v>1350</v>
      </c>
      <c r="B18">
        <f t="shared" si="0"/>
        <v>1755</v>
      </c>
      <c r="E18">
        <v>60</v>
      </c>
      <c r="F18" s="1">
        <f t="shared" si="1"/>
        <v>78</v>
      </c>
      <c r="G18" s="3">
        <f t="shared" si="2"/>
        <v>18</v>
      </c>
      <c r="H18" s="2">
        <v>1169.3399999999999</v>
      </c>
      <c r="I18" s="2">
        <f t="shared" si="3"/>
        <v>1520.1420000000001</v>
      </c>
      <c r="J18" s="3">
        <f t="shared" si="4"/>
        <v>350.80200000000013</v>
      </c>
      <c r="K18" s="2">
        <f t="shared" si="5"/>
        <v>29.23350000000001</v>
      </c>
      <c r="L18" s="3"/>
    </row>
    <row r="19" spans="1:23" x14ac:dyDescent="0.25">
      <c r="A19">
        <v>230</v>
      </c>
      <c r="B19">
        <f t="shared" si="0"/>
        <v>299</v>
      </c>
      <c r="E19">
        <v>54</v>
      </c>
      <c r="F19" s="1">
        <f t="shared" si="1"/>
        <v>70.2</v>
      </c>
      <c r="G19" s="3">
        <f t="shared" si="2"/>
        <v>16.200000000000003</v>
      </c>
      <c r="H19" s="2">
        <v>961.88</v>
      </c>
      <c r="I19" s="2">
        <f t="shared" si="3"/>
        <v>1250.444</v>
      </c>
      <c r="J19" s="3">
        <f t="shared" si="4"/>
        <v>288.56399999999996</v>
      </c>
      <c r="K19" s="2">
        <f t="shared" si="5"/>
        <v>24.046999999999997</v>
      </c>
      <c r="L19" s="3"/>
    </row>
    <row r="20" spans="1:23" x14ac:dyDescent="0.25">
      <c r="A20">
        <v>303</v>
      </c>
      <c r="B20">
        <f t="shared" si="0"/>
        <v>393.90000000000003</v>
      </c>
    </row>
    <row r="21" spans="1:23" x14ac:dyDescent="0.25">
      <c r="A21">
        <v>2720</v>
      </c>
      <c r="B21">
        <f t="shared" si="0"/>
        <v>3536</v>
      </c>
    </row>
    <row r="22" spans="1:23" ht="15.75" thickBot="1" x14ac:dyDescent="0.3">
      <c r="A22">
        <v>380</v>
      </c>
      <c r="B22">
        <f t="shared" si="0"/>
        <v>494</v>
      </c>
    </row>
    <row r="23" spans="1:23" ht="31.5" x14ac:dyDescent="0.25">
      <c r="A23">
        <v>1452</v>
      </c>
      <c r="B23">
        <f t="shared" si="0"/>
        <v>1887.6000000000001</v>
      </c>
      <c r="G23" t="s">
        <v>10</v>
      </c>
      <c r="J23" t="s">
        <v>16</v>
      </c>
      <c r="K23" s="5" t="s">
        <v>17</v>
      </c>
      <c r="L23" s="7" t="s">
        <v>19</v>
      </c>
      <c r="M23" s="7" t="s">
        <v>21</v>
      </c>
      <c r="N23" s="7" t="s">
        <v>23</v>
      </c>
      <c r="O23" s="7" t="s">
        <v>25</v>
      </c>
      <c r="P23" s="7" t="s">
        <v>27</v>
      </c>
      <c r="R23" s="5" t="s">
        <v>17</v>
      </c>
      <c r="S23" s="7" t="s">
        <v>19</v>
      </c>
      <c r="T23" s="7" t="s">
        <v>21</v>
      </c>
      <c r="U23" s="7" t="s">
        <v>23</v>
      </c>
      <c r="V23" s="7" t="s">
        <v>25</v>
      </c>
      <c r="W23" s="7" t="s">
        <v>27</v>
      </c>
    </row>
    <row r="24" spans="1:23" ht="32.25" thickBot="1" x14ac:dyDescent="0.3">
      <c r="A24">
        <v>545</v>
      </c>
      <c r="B24">
        <f t="shared" si="0"/>
        <v>708.5</v>
      </c>
      <c r="F24" t="s">
        <v>15</v>
      </c>
      <c r="H24">
        <v>3</v>
      </c>
      <c r="J24">
        <f>+H24*3</f>
        <v>9</v>
      </c>
      <c r="K24" s="6" t="s">
        <v>18</v>
      </c>
      <c r="L24" s="8" t="s">
        <v>20</v>
      </c>
      <c r="M24" s="8" t="s">
        <v>22</v>
      </c>
      <c r="N24" s="8" t="s">
        <v>24</v>
      </c>
      <c r="O24" s="8" t="s">
        <v>26</v>
      </c>
      <c r="P24" s="8" t="s">
        <v>26</v>
      </c>
      <c r="R24" s="6" t="s">
        <v>18</v>
      </c>
      <c r="S24" s="8" t="s">
        <v>20</v>
      </c>
      <c r="T24" s="8" t="s">
        <v>22</v>
      </c>
      <c r="U24" s="8" t="s">
        <v>24</v>
      </c>
      <c r="V24" s="8" t="s">
        <v>26</v>
      </c>
      <c r="W24" s="8" t="s">
        <v>26</v>
      </c>
    </row>
    <row r="25" spans="1:23" ht="16.5" thickBot="1" x14ac:dyDescent="0.3">
      <c r="A25">
        <v>40250</v>
      </c>
      <c r="B25">
        <f t="shared" si="0"/>
        <v>52325</v>
      </c>
      <c r="F25" t="s">
        <v>11</v>
      </c>
      <c r="H25">
        <v>12</v>
      </c>
      <c r="J25">
        <f t="shared" ref="J25:J28" si="6">+H25*3</f>
        <v>36</v>
      </c>
      <c r="K25" s="6">
        <v>2013</v>
      </c>
      <c r="L25" s="8">
        <v>48</v>
      </c>
      <c r="M25" s="8">
        <v>84</v>
      </c>
      <c r="N25" s="8">
        <v>150</v>
      </c>
      <c r="O25" s="8">
        <v>372</v>
      </c>
      <c r="P25" s="8">
        <v>780</v>
      </c>
      <c r="R25" s="6">
        <v>2013</v>
      </c>
      <c r="S25" s="14">
        <f>+L25*1.5</f>
        <v>72</v>
      </c>
      <c r="T25" s="14">
        <f t="shared" ref="T25:W38" si="7">+M25*1.5</f>
        <v>126</v>
      </c>
      <c r="U25" s="14">
        <f t="shared" si="7"/>
        <v>225</v>
      </c>
      <c r="V25" s="14">
        <f t="shared" si="7"/>
        <v>558</v>
      </c>
      <c r="W25" s="14">
        <f t="shared" si="7"/>
        <v>1170</v>
      </c>
    </row>
    <row r="26" spans="1:23" ht="16.5" thickBot="1" x14ac:dyDescent="0.3">
      <c r="A26">
        <v>1670</v>
      </c>
      <c r="B26">
        <f t="shared" si="0"/>
        <v>2171</v>
      </c>
      <c r="F26" t="s">
        <v>12</v>
      </c>
      <c r="H26">
        <v>5</v>
      </c>
      <c r="J26">
        <f t="shared" si="6"/>
        <v>15</v>
      </c>
      <c r="K26" s="6">
        <v>2012</v>
      </c>
      <c r="L26" s="8">
        <v>42</v>
      </c>
      <c r="M26" s="8">
        <v>76</v>
      </c>
      <c r="N26" s="8">
        <v>141</v>
      </c>
      <c r="O26" s="8">
        <v>343</v>
      </c>
      <c r="P26" s="8">
        <v>725</v>
      </c>
      <c r="R26" s="6">
        <v>2012</v>
      </c>
      <c r="S26" s="14">
        <f t="shared" ref="S26:S38" si="8">+L26*1.5</f>
        <v>63</v>
      </c>
      <c r="T26" s="14">
        <f t="shared" si="7"/>
        <v>114</v>
      </c>
      <c r="U26" s="13">
        <f t="shared" si="7"/>
        <v>211.5</v>
      </c>
      <c r="V26" s="13">
        <f t="shared" si="7"/>
        <v>514.5</v>
      </c>
      <c r="W26" s="15">
        <f t="shared" si="7"/>
        <v>1087.5</v>
      </c>
    </row>
    <row r="27" spans="1:23" ht="16.5" thickBot="1" x14ac:dyDescent="0.3">
      <c r="A27">
        <v>1815</v>
      </c>
      <c r="B27">
        <f t="shared" si="0"/>
        <v>2359.5</v>
      </c>
      <c r="F27" t="s">
        <v>13</v>
      </c>
      <c r="H27">
        <v>5</v>
      </c>
      <c r="J27">
        <f t="shared" si="6"/>
        <v>15</v>
      </c>
      <c r="K27" s="6">
        <v>2011</v>
      </c>
      <c r="L27" s="8">
        <v>34</v>
      </c>
      <c r="M27" s="8">
        <v>61</v>
      </c>
      <c r="N27" s="8">
        <v>113</v>
      </c>
      <c r="O27" s="8">
        <v>275</v>
      </c>
      <c r="P27" s="8">
        <v>580</v>
      </c>
      <c r="R27" s="6">
        <v>2011</v>
      </c>
      <c r="S27" s="14">
        <f t="shared" si="8"/>
        <v>51</v>
      </c>
      <c r="T27" s="13">
        <f t="shared" si="7"/>
        <v>91.5</v>
      </c>
      <c r="U27" s="13">
        <f t="shared" si="7"/>
        <v>169.5</v>
      </c>
      <c r="V27" s="13">
        <f t="shared" si="7"/>
        <v>412.5</v>
      </c>
      <c r="W27" s="14">
        <f t="shared" si="7"/>
        <v>870</v>
      </c>
    </row>
    <row r="28" spans="1:23" ht="16.5" thickBot="1" x14ac:dyDescent="0.3">
      <c r="A28">
        <v>87</v>
      </c>
      <c r="B28">
        <f t="shared" si="0"/>
        <v>113.10000000000001</v>
      </c>
      <c r="F28" t="s">
        <v>14</v>
      </c>
      <c r="H28">
        <v>15</v>
      </c>
      <c r="J28">
        <f t="shared" si="6"/>
        <v>45</v>
      </c>
      <c r="K28" s="9">
        <v>2010</v>
      </c>
      <c r="L28" s="10">
        <v>30</v>
      </c>
      <c r="M28" s="10">
        <v>55</v>
      </c>
      <c r="N28" s="10">
        <v>100</v>
      </c>
      <c r="O28" s="10">
        <v>245</v>
      </c>
      <c r="P28" s="10">
        <v>518</v>
      </c>
      <c r="R28" s="9">
        <v>2010</v>
      </c>
      <c r="S28" s="14">
        <f t="shared" si="8"/>
        <v>45</v>
      </c>
      <c r="T28" s="13">
        <f t="shared" si="7"/>
        <v>82.5</v>
      </c>
      <c r="U28" s="14">
        <f t="shared" si="7"/>
        <v>150</v>
      </c>
      <c r="V28" s="13">
        <f t="shared" si="7"/>
        <v>367.5</v>
      </c>
      <c r="W28" s="14">
        <f t="shared" si="7"/>
        <v>777</v>
      </c>
    </row>
    <row r="29" spans="1:23" ht="16.5" thickBot="1" x14ac:dyDescent="0.3">
      <c r="A29">
        <v>1270</v>
      </c>
      <c r="B29">
        <f t="shared" si="0"/>
        <v>1651</v>
      </c>
      <c r="K29" s="11">
        <v>2009</v>
      </c>
      <c r="L29" s="12">
        <v>27</v>
      </c>
      <c r="M29" s="12">
        <v>49</v>
      </c>
      <c r="N29" s="12">
        <v>90</v>
      </c>
      <c r="O29" s="12">
        <v>203</v>
      </c>
      <c r="P29" s="12">
        <v>466</v>
      </c>
      <c r="R29" s="11">
        <v>2009</v>
      </c>
      <c r="S29" s="13">
        <f t="shared" si="8"/>
        <v>40.5</v>
      </c>
      <c r="T29" s="13">
        <f t="shared" si="7"/>
        <v>73.5</v>
      </c>
      <c r="U29" s="14">
        <f t="shared" si="7"/>
        <v>135</v>
      </c>
      <c r="V29" s="13">
        <f t="shared" si="7"/>
        <v>304.5</v>
      </c>
      <c r="W29" s="14">
        <f t="shared" si="7"/>
        <v>699</v>
      </c>
    </row>
    <row r="30" spans="1:23" ht="16.5" thickBot="1" x14ac:dyDescent="0.3">
      <c r="A30">
        <v>100</v>
      </c>
      <c r="B30">
        <f t="shared" si="0"/>
        <v>130</v>
      </c>
      <c r="H30">
        <f>SUM(H24:H27)</f>
        <v>25</v>
      </c>
      <c r="J30">
        <f>SUM(J24:J27)</f>
        <v>75</v>
      </c>
      <c r="K30" s="6">
        <v>2008</v>
      </c>
      <c r="L30" s="8">
        <v>25</v>
      </c>
      <c r="M30" s="8">
        <v>44</v>
      </c>
      <c r="N30" s="8">
        <v>83</v>
      </c>
      <c r="O30" s="8">
        <v>201</v>
      </c>
      <c r="P30" s="8">
        <v>425</v>
      </c>
      <c r="R30" s="6">
        <v>2008</v>
      </c>
      <c r="S30" s="13">
        <f t="shared" si="8"/>
        <v>37.5</v>
      </c>
      <c r="T30" s="14">
        <f t="shared" si="7"/>
        <v>66</v>
      </c>
      <c r="U30" s="13">
        <f t="shared" si="7"/>
        <v>124.5</v>
      </c>
      <c r="V30" s="13">
        <f t="shared" si="7"/>
        <v>301.5</v>
      </c>
      <c r="W30" s="13">
        <f t="shared" si="7"/>
        <v>637.5</v>
      </c>
    </row>
    <row r="31" spans="1:23" ht="16.5" thickBot="1" x14ac:dyDescent="0.3">
      <c r="A31">
        <v>3.9</v>
      </c>
      <c r="B31">
        <f t="shared" si="0"/>
        <v>5.07</v>
      </c>
      <c r="H31">
        <f>+H28*5</f>
        <v>75</v>
      </c>
      <c r="J31">
        <f>+J28*5</f>
        <v>225</v>
      </c>
      <c r="K31" s="6">
        <v>2007</v>
      </c>
      <c r="L31" s="8">
        <v>22</v>
      </c>
      <c r="M31" s="8">
        <v>39</v>
      </c>
      <c r="N31" s="8">
        <v>73</v>
      </c>
      <c r="O31" s="8">
        <v>176</v>
      </c>
      <c r="P31" s="8">
        <v>373</v>
      </c>
      <c r="R31" s="6">
        <v>2007</v>
      </c>
      <c r="S31" s="14">
        <f t="shared" si="8"/>
        <v>33</v>
      </c>
      <c r="T31" s="13">
        <f t="shared" si="7"/>
        <v>58.5</v>
      </c>
      <c r="U31" s="13">
        <f t="shared" si="7"/>
        <v>109.5</v>
      </c>
      <c r="V31" s="14">
        <f t="shared" si="7"/>
        <v>264</v>
      </c>
      <c r="W31" s="13">
        <f t="shared" si="7"/>
        <v>559.5</v>
      </c>
    </row>
    <row r="32" spans="1:23" ht="16.5" thickBot="1" x14ac:dyDescent="0.3">
      <c r="A32">
        <v>330</v>
      </c>
      <c r="B32">
        <f t="shared" si="0"/>
        <v>429</v>
      </c>
      <c r="H32">
        <f>+H31+H30</f>
        <v>100</v>
      </c>
      <c r="J32">
        <f>+J31+J30</f>
        <v>300</v>
      </c>
      <c r="K32" s="6">
        <v>2006</v>
      </c>
      <c r="L32" s="8">
        <v>19</v>
      </c>
      <c r="M32" s="8">
        <v>35</v>
      </c>
      <c r="N32" s="8">
        <v>64</v>
      </c>
      <c r="O32" s="8">
        <v>157</v>
      </c>
      <c r="P32" s="8">
        <v>331</v>
      </c>
      <c r="R32" s="6">
        <v>2006</v>
      </c>
      <c r="S32" s="13">
        <f t="shared" si="8"/>
        <v>28.5</v>
      </c>
      <c r="T32" s="13">
        <f t="shared" si="7"/>
        <v>52.5</v>
      </c>
      <c r="U32" s="14">
        <f t="shared" si="7"/>
        <v>96</v>
      </c>
      <c r="V32" s="13">
        <f t="shared" si="7"/>
        <v>235.5</v>
      </c>
      <c r="W32" s="13">
        <f t="shared" si="7"/>
        <v>496.5</v>
      </c>
    </row>
    <row r="33" spans="1:25" ht="16.5" thickBot="1" x14ac:dyDescent="0.3">
      <c r="A33">
        <v>5000</v>
      </c>
      <c r="B33">
        <f t="shared" si="0"/>
        <v>6500</v>
      </c>
      <c r="K33" s="6">
        <v>2005</v>
      </c>
      <c r="L33" s="8">
        <v>17</v>
      </c>
      <c r="M33" s="8">
        <v>32</v>
      </c>
      <c r="N33" s="8">
        <v>58</v>
      </c>
      <c r="O33" s="8">
        <v>142</v>
      </c>
      <c r="P33" s="8">
        <v>300</v>
      </c>
      <c r="R33" s="6">
        <v>2005</v>
      </c>
      <c r="S33" s="13">
        <f t="shared" si="8"/>
        <v>25.5</v>
      </c>
      <c r="T33" s="14">
        <f t="shared" si="7"/>
        <v>48</v>
      </c>
      <c r="U33" s="14">
        <f t="shared" si="7"/>
        <v>87</v>
      </c>
      <c r="V33" s="14">
        <f t="shared" si="7"/>
        <v>213</v>
      </c>
      <c r="W33" s="14">
        <f t="shared" si="7"/>
        <v>450</v>
      </c>
    </row>
    <row r="34" spans="1:25" ht="16.5" thickBot="1" x14ac:dyDescent="0.3">
      <c r="A34">
        <v>3000</v>
      </c>
      <c r="B34">
        <f t="shared" si="0"/>
        <v>3900</v>
      </c>
      <c r="K34" s="6">
        <v>2004</v>
      </c>
      <c r="L34" s="8">
        <v>16</v>
      </c>
      <c r="M34" s="8">
        <v>28</v>
      </c>
      <c r="N34" s="8">
        <v>52</v>
      </c>
      <c r="O34" s="8">
        <v>127</v>
      </c>
      <c r="P34" s="8">
        <v>269</v>
      </c>
      <c r="R34" s="6">
        <v>2004</v>
      </c>
      <c r="S34" s="14">
        <f t="shared" si="8"/>
        <v>24</v>
      </c>
      <c r="T34" s="14">
        <f t="shared" si="7"/>
        <v>42</v>
      </c>
      <c r="U34" s="14">
        <f t="shared" si="7"/>
        <v>78</v>
      </c>
      <c r="V34" s="13">
        <f t="shared" si="7"/>
        <v>190.5</v>
      </c>
      <c r="W34" s="13">
        <f t="shared" si="7"/>
        <v>403.5</v>
      </c>
    </row>
    <row r="35" spans="1:25" ht="16.5" thickBot="1" x14ac:dyDescent="0.3">
      <c r="A35">
        <v>840</v>
      </c>
      <c r="B35">
        <f t="shared" si="0"/>
        <v>1092</v>
      </c>
      <c r="K35" s="6">
        <v>2003</v>
      </c>
      <c r="L35" s="8">
        <v>14</v>
      </c>
      <c r="M35" s="8">
        <v>25</v>
      </c>
      <c r="N35" s="8">
        <v>46</v>
      </c>
      <c r="O35" s="8">
        <v>113</v>
      </c>
      <c r="P35" s="8">
        <v>238</v>
      </c>
      <c r="R35" s="6">
        <v>2003</v>
      </c>
      <c r="S35" s="14">
        <f t="shared" si="8"/>
        <v>21</v>
      </c>
      <c r="T35" s="13">
        <f t="shared" si="7"/>
        <v>37.5</v>
      </c>
      <c r="U35" s="14">
        <f t="shared" si="7"/>
        <v>69</v>
      </c>
      <c r="V35" s="13">
        <f t="shared" si="7"/>
        <v>169.5</v>
      </c>
      <c r="W35" s="14">
        <f t="shared" si="7"/>
        <v>357</v>
      </c>
    </row>
    <row r="36" spans="1:25" ht="16.5" thickBot="1" x14ac:dyDescent="0.3">
      <c r="A36">
        <v>528</v>
      </c>
      <c r="B36">
        <f t="shared" si="0"/>
        <v>686.4</v>
      </c>
      <c r="K36" s="6">
        <v>2002</v>
      </c>
      <c r="L36" s="8">
        <v>12</v>
      </c>
      <c r="M36" s="8">
        <v>22</v>
      </c>
      <c r="N36" s="8">
        <v>40</v>
      </c>
      <c r="O36" s="8">
        <v>98</v>
      </c>
      <c r="P36" s="8">
        <v>207</v>
      </c>
      <c r="R36" s="6">
        <v>2002</v>
      </c>
      <c r="S36" s="14">
        <f t="shared" si="8"/>
        <v>18</v>
      </c>
      <c r="T36" s="14">
        <f t="shared" si="7"/>
        <v>33</v>
      </c>
      <c r="U36" s="14">
        <f t="shared" si="7"/>
        <v>60</v>
      </c>
      <c r="V36" s="14">
        <f t="shared" si="7"/>
        <v>147</v>
      </c>
      <c r="W36" s="13">
        <f t="shared" si="7"/>
        <v>310.5</v>
      </c>
    </row>
    <row r="37" spans="1:25" ht="16.5" thickBot="1" x14ac:dyDescent="0.3">
      <c r="A37">
        <v>218.4</v>
      </c>
      <c r="B37">
        <f t="shared" si="0"/>
        <v>283.92</v>
      </c>
      <c r="K37" s="6">
        <v>2001</v>
      </c>
      <c r="L37" s="8">
        <v>10</v>
      </c>
      <c r="M37" s="8">
        <v>19</v>
      </c>
      <c r="N37" s="8">
        <v>34</v>
      </c>
      <c r="O37" s="8">
        <v>83</v>
      </c>
      <c r="P37" s="8">
        <v>176</v>
      </c>
      <c r="R37" s="6">
        <v>2001</v>
      </c>
      <c r="S37" s="14">
        <f t="shared" si="8"/>
        <v>15</v>
      </c>
      <c r="T37" s="13">
        <f t="shared" si="7"/>
        <v>28.5</v>
      </c>
      <c r="U37" s="14">
        <f t="shared" si="7"/>
        <v>51</v>
      </c>
      <c r="V37" s="13">
        <f t="shared" si="7"/>
        <v>124.5</v>
      </c>
      <c r="W37" s="14">
        <f t="shared" si="7"/>
        <v>264</v>
      </c>
    </row>
    <row r="38" spans="1:25" ht="32.25" thickBot="1" x14ac:dyDescent="0.3">
      <c r="A38">
        <v>165</v>
      </c>
      <c r="B38">
        <f t="shared" si="0"/>
        <v>214.5</v>
      </c>
      <c r="K38" s="6" t="s">
        <v>28</v>
      </c>
      <c r="L38" s="8">
        <v>9</v>
      </c>
      <c r="M38" s="8">
        <v>17</v>
      </c>
      <c r="N38" s="8">
        <v>30</v>
      </c>
      <c r="O38" s="8">
        <v>75</v>
      </c>
      <c r="P38" s="8">
        <v>158</v>
      </c>
      <c r="R38" s="6" t="s">
        <v>28</v>
      </c>
      <c r="S38" s="13">
        <f t="shared" si="8"/>
        <v>13.5</v>
      </c>
      <c r="T38" s="13">
        <f t="shared" si="7"/>
        <v>25.5</v>
      </c>
      <c r="U38" s="14">
        <f t="shared" si="7"/>
        <v>45</v>
      </c>
      <c r="V38" s="13">
        <f t="shared" si="7"/>
        <v>112.5</v>
      </c>
      <c r="W38" s="14">
        <f t="shared" si="7"/>
        <v>237</v>
      </c>
    </row>
    <row r="39" spans="1:25" x14ac:dyDescent="0.25">
      <c r="A39">
        <v>1452</v>
      </c>
      <c r="B39">
        <f t="shared" si="0"/>
        <v>1887.6000000000001</v>
      </c>
    </row>
    <row r="40" spans="1:25" x14ac:dyDescent="0.25">
      <c r="A40">
        <v>220</v>
      </c>
      <c r="B40">
        <f t="shared" si="0"/>
        <v>286</v>
      </c>
    </row>
    <row r="41" spans="1:25" x14ac:dyDescent="0.25">
      <c r="A41">
        <v>165.6</v>
      </c>
      <c r="B41">
        <f t="shared" si="0"/>
        <v>215.28</v>
      </c>
    </row>
    <row r="42" spans="1:25" ht="15.75" thickBot="1" x14ac:dyDescent="0.3">
      <c r="A42">
        <v>261.60000000000002</v>
      </c>
      <c r="B42">
        <f t="shared" si="0"/>
        <v>340.08000000000004</v>
      </c>
    </row>
    <row r="43" spans="1:25" ht="31.5" x14ac:dyDescent="0.25">
      <c r="A43">
        <v>300</v>
      </c>
      <c r="B43">
        <f t="shared" si="0"/>
        <v>390</v>
      </c>
      <c r="K43" s="5" t="s">
        <v>17</v>
      </c>
      <c r="L43" s="7" t="s">
        <v>19</v>
      </c>
      <c r="M43" s="7" t="s">
        <v>30</v>
      </c>
      <c r="N43" s="7" t="s">
        <v>21</v>
      </c>
      <c r="O43" s="7" t="s">
        <v>33</v>
      </c>
      <c r="P43" s="7" t="s">
        <v>35</v>
      </c>
      <c r="Q43" s="7" t="s">
        <v>27</v>
      </c>
      <c r="S43" s="5" t="s">
        <v>17</v>
      </c>
      <c r="T43" s="7" t="s">
        <v>19</v>
      </c>
      <c r="U43" s="7" t="s">
        <v>30</v>
      </c>
      <c r="V43" s="7" t="s">
        <v>21</v>
      </c>
      <c r="W43" s="7" t="s">
        <v>33</v>
      </c>
      <c r="X43" s="7" t="s">
        <v>35</v>
      </c>
      <c r="Y43" s="7" t="s">
        <v>27</v>
      </c>
    </row>
    <row r="44" spans="1:25" ht="16.5" thickBot="1" x14ac:dyDescent="0.3">
      <c r="A44">
        <v>92</v>
      </c>
      <c r="B44">
        <f t="shared" si="0"/>
        <v>119.60000000000001</v>
      </c>
      <c r="K44" s="6" t="s">
        <v>18</v>
      </c>
      <c r="L44" s="8" t="s">
        <v>29</v>
      </c>
      <c r="M44" s="8" t="s">
        <v>31</v>
      </c>
      <c r="N44" s="8" t="s">
        <v>32</v>
      </c>
      <c r="O44" s="8" t="s">
        <v>34</v>
      </c>
      <c r="P44" s="8" t="s">
        <v>36</v>
      </c>
      <c r="Q44" s="8" t="s">
        <v>36</v>
      </c>
      <c r="S44" s="6" t="s">
        <v>18</v>
      </c>
      <c r="T44" s="8" t="s">
        <v>29</v>
      </c>
      <c r="U44" s="8" t="s">
        <v>31</v>
      </c>
      <c r="V44" s="8" t="s">
        <v>32</v>
      </c>
      <c r="W44" s="8" t="s">
        <v>34</v>
      </c>
      <c r="X44" s="8" t="s">
        <v>36</v>
      </c>
      <c r="Y44" s="8" t="s">
        <v>36</v>
      </c>
    </row>
    <row r="45" spans="1:25" ht="16.5" thickBot="1" x14ac:dyDescent="0.3">
      <c r="A45">
        <v>327</v>
      </c>
      <c r="B45">
        <f t="shared" si="0"/>
        <v>425.1</v>
      </c>
      <c r="K45" s="9">
        <v>2012</v>
      </c>
      <c r="L45" s="10">
        <v>26</v>
      </c>
      <c r="M45" s="10">
        <v>72</v>
      </c>
      <c r="N45" s="10">
        <v>120</v>
      </c>
      <c r="O45" s="10">
        <v>156</v>
      </c>
      <c r="P45" s="10">
        <v>234</v>
      </c>
      <c r="Q45" s="10">
        <v>432</v>
      </c>
      <c r="S45" s="9">
        <v>2013</v>
      </c>
      <c r="T45" s="14">
        <f>+L45*1.5</f>
        <v>39</v>
      </c>
      <c r="U45" s="14">
        <f t="shared" ref="U45:Y58" si="9">+M45*1.5</f>
        <v>108</v>
      </c>
      <c r="V45" s="14">
        <f t="shared" si="9"/>
        <v>180</v>
      </c>
      <c r="W45" s="14">
        <f t="shared" si="9"/>
        <v>234</v>
      </c>
      <c r="X45" s="14">
        <f t="shared" si="9"/>
        <v>351</v>
      </c>
      <c r="Y45" s="14">
        <f t="shared" si="9"/>
        <v>648</v>
      </c>
    </row>
    <row r="46" spans="1:25" ht="16.5" thickBot="1" x14ac:dyDescent="0.3">
      <c r="A46">
        <v>545</v>
      </c>
      <c r="B46">
        <f t="shared" si="0"/>
        <v>708.5</v>
      </c>
      <c r="K46" s="11">
        <v>2011</v>
      </c>
      <c r="L46" s="12">
        <v>22</v>
      </c>
      <c r="M46" s="12">
        <v>66</v>
      </c>
      <c r="N46" s="12">
        <v>108</v>
      </c>
      <c r="O46" s="12">
        <v>144</v>
      </c>
      <c r="P46" s="12">
        <v>240</v>
      </c>
      <c r="Q46" s="12">
        <v>390</v>
      </c>
      <c r="S46" s="11">
        <f>+S45-1</f>
        <v>2012</v>
      </c>
      <c r="T46" s="14">
        <f t="shared" ref="T46:T48" si="10">+L46*1.5</f>
        <v>33</v>
      </c>
      <c r="U46" s="14">
        <f t="shared" si="9"/>
        <v>99</v>
      </c>
      <c r="V46" s="14">
        <f t="shared" si="9"/>
        <v>162</v>
      </c>
      <c r="W46" s="14">
        <f t="shared" si="9"/>
        <v>216</v>
      </c>
      <c r="X46" s="14">
        <f t="shared" si="9"/>
        <v>360</v>
      </c>
      <c r="Y46" s="14">
        <f t="shared" si="9"/>
        <v>585</v>
      </c>
    </row>
    <row r="47" spans="1:25" ht="16.5" thickBot="1" x14ac:dyDescent="0.3">
      <c r="A47">
        <v>275</v>
      </c>
      <c r="B47">
        <f t="shared" si="0"/>
        <v>357.5</v>
      </c>
      <c r="K47" s="6">
        <v>2010</v>
      </c>
      <c r="L47" s="8">
        <v>18</v>
      </c>
      <c r="M47" s="8">
        <v>55</v>
      </c>
      <c r="N47" s="8">
        <v>84</v>
      </c>
      <c r="O47" s="8">
        <v>120</v>
      </c>
      <c r="P47" s="8">
        <v>180</v>
      </c>
      <c r="Q47" s="8">
        <v>300</v>
      </c>
      <c r="S47" s="11">
        <f t="shared" ref="S47:S57" si="11">+S46-1</f>
        <v>2011</v>
      </c>
      <c r="T47" s="14">
        <f t="shared" si="10"/>
        <v>27</v>
      </c>
      <c r="U47" s="13">
        <f t="shared" si="9"/>
        <v>82.5</v>
      </c>
      <c r="V47" s="14">
        <f t="shared" si="9"/>
        <v>126</v>
      </c>
      <c r="W47" s="14">
        <f t="shared" si="9"/>
        <v>180</v>
      </c>
      <c r="X47" s="14">
        <f t="shared" si="9"/>
        <v>270</v>
      </c>
      <c r="Y47" s="14">
        <f t="shared" si="9"/>
        <v>450</v>
      </c>
    </row>
    <row r="48" spans="1:25" ht="16.5" thickBot="1" x14ac:dyDescent="0.3">
      <c r="A48">
        <v>980</v>
      </c>
      <c r="B48">
        <f t="shared" si="0"/>
        <v>1274</v>
      </c>
      <c r="K48" s="6">
        <v>2009</v>
      </c>
      <c r="L48" s="8">
        <v>15</v>
      </c>
      <c r="M48" s="8">
        <v>49</v>
      </c>
      <c r="N48" s="8">
        <v>78</v>
      </c>
      <c r="O48" s="8">
        <v>111</v>
      </c>
      <c r="P48" s="8">
        <v>168</v>
      </c>
      <c r="Q48" s="8">
        <v>270</v>
      </c>
      <c r="S48" s="11">
        <f t="shared" si="11"/>
        <v>2010</v>
      </c>
      <c r="T48" s="13">
        <f t="shared" si="10"/>
        <v>22.5</v>
      </c>
      <c r="U48" s="13">
        <f t="shared" si="9"/>
        <v>73.5</v>
      </c>
      <c r="V48" s="13">
        <f t="shared" si="9"/>
        <v>117</v>
      </c>
      <c r="W48" s="13">
        <f t="shared" si="9"/>
        <v>166.5</v>
      </c>
      <c r="X48" s="13">
        <f t="shared" si="9"/>
        <v>252</v>
      </c>
      <c r="Y48" s="13">
        <f t="shared" si="9"/>
        <v>405</v>
      </c>
    </row>
    <row r="49" spans="1:25" ht="16.5" thickBot="1" x14ac:dyDescent="0.3">
      <c r="A49">
        <v>175</v>
      </c>
      <c r="B49">
        <f t="shared" si="0"/>
        <v>227.5</v>
      </c>
      <c r="K49" s="6">
        <v>2008</v>
      </c>
      <c r="L49" s="8"/>
      <c r="M49" s="8">
        <v>43</v>
      </c>
      <c r="N49" s="8">
        <v>72</v>
      </c>
      <c r="O49" s="8">
        <v>96</v>
      </c>
      <c r="P49" s="8">
        <v>144</v>
      </c>
      <c r="Q49" s="8">
        <v>240</v>
      </c>
      <c r="S49" s="11">
        <f t="shared" si="11"/>
        <v>2009</v>
      </c>
      <c r="T49" s="13"/>
      <c r="U49" s="13">
        <f>+M49*1.5</f>
        <v>64.5</v>
      </c>
      <c r="V49" s="13">
        <f t="shared" si="9"/>
        <v>108</v>
      </c>
      <c r="W49" s="13">
        <f t="shared" si="9"/>
        <v>144</v>
      </c>
      <c r="X49" s="13">
        <f t="shared" si="9"/>
        <v>216</v>
      </c>
      <c r="Y49" s="13">
        <f t="shared" si="9"/>
        <v>360</v>
      </c>
    </row>
    <row r="50" spans="1:25" ht="16.5" thickBot="1" x14ac:dyDescent="0.3">
      <c r="K50" s="6">
        <v>2007</v>
      </c>
      <c r="L50" s="8"/>
      <c r="M50" s="8">
        <v>39</v>
      </c>
      <c r="N50" s="8">
        <v>60</v>
      </c>
      <c r="O50" s="8">
        <v>84</v>
      </c>
      <c r="P50" s="8">
        <v>120</v>
      </c>
      <c r="Q50" s="8">
        <v>210</v>
      </c>
      <c r="S50" s="11">
        <f t="shared" si="11"/>
        <v>2008</v>
      </c>
      <c r="T50" s="13"/>
      <c r="U50" s="13">
        <f t="shared" ref="U50:U58" si="12">+M50*1.5</f>
        <v>58.5</v>
      </c>
      <c r="V50" s="13">
        <f t="shared" si="9"/>
        <v>90</v>
      </c>
      <c r="W50" s="13">
        <f t="shared" si="9"/>
        <v>126</v>
      </c>
      <c r="X50" s="13">
        <f t="shared" si="9"/>
        <v>180</v>
      </c>
      <c r="Y50" s="13">
        <f t="shared" si="9"/>
        <v>315</v>
      </c>
    </row>
    <row r="51" spans="1:25" ht="16.5" thickBot="1" x14ac:dyDescent="0.3">
      <c r="K51" s="6">
        <v>2006</v>
      </c>
      <c r="L51" s="8"/>
      <c r="M51" s="8">
        <v>35</v>
      </c>
      <c r="N51" s="8">
        <v>54</v>
      </c>
      <c r="O51" s="8">
        <v>75</v>
      </c>
      <c r="P51" s="8">
        <v>108</v>
      </c>
      <c r="Q51" s="8">
        <v>186</v>
      </c>
      <c r="S51" s="11">
        <f t="shared" si="11"/>
        <v>2007</v>
      </c>
      <c r="T51" s="13"/>
      <c r="U51" s="13">
        <f t="shared" si="12"/>
        <v>52.5</v>
      </c>
      <c r="V51" s="13">
        <f t="shared" si="9"/>
        <v>81</v>
      </c>
      <c r="W51" s="13">
        <f t="shared" si="9"/>
        <v>112.5</v>
      </c>
      <c r="X51" s="13">
        <f t="shared" si="9"/>
        <v>162</v>
      </c>
      <c r="Y51" s="13">
        <f t="shared" si="9"/>
        <v>279</v>
      </c>
    </row>
    <row r="52" spans="1:25" ht="16.5" thickBot="1" x14ac:dyDescent="0.3">
      <c r="K52" s="6">
        <v>2005</v>
      </c>
      <c r="L52" s="8"/>
      <c r="M52" s="8">
        <v>29</v>
      </c>
      <c r="N52" s="8">
        <v>48</v>
      </c>
      <c r="O52" s="8">
        <v>66</v>
      </c>
      <c r="P52" s="8">
        <v>96</v>
      </c>
      <c r="Q52" s="8">
        <v>168</v>
      </c>
      <c r="S52" s="11">
        <f t="shared" si="11"/>
        <v>2006</v>
      </c>
      <c r="T52" s="13"/>
      <c r="U52" s="13">
        <f t="shared" si="12"/>
        <v>43.5</v>
      </c>
      <c r="V52" s="13">
        <f t="shared" si="9"/>
        <v>72</v>
      </c>
      <c r="W52" s="13">
        <f t="shared" si="9"/>
        <v>99</v>
      </c>
      <c r="X52" s="13">
        <f t="shared" si="9"/>
        <v>144</v>
      </c>
      <c r="Y52" s="13">
        <f t="shared" si="9"/>
        <v>252</v>
      </c>
    </row>
    <row r="53" spans="1:25" ht="16.5" thickBot="1" x14ac:dyDescent="0.3">
      <c r="K53" s="6">
        <v>2004</v>
      </c>
      <c r="L53" s="8"/>
      <c r="M53" s="8">
        <v>25</v>
      </c>
      <c r="N53" s="8">
        <v>42</v>
      </c>
      <c r="O53" s="8">
        <v>60</v>
      </c>
      <c r="P53" s="8">
        <v>87</v>
      </c>
      <c r="Q53" s="8">
        <v>150</v>
      </c>
      <c r="S53" s="11">
        <f t="shared" si="11"/>
        <v>2005</v>
      </c>
      <c r="T53" s="13"/>
      <c r="U53" s="13">
        <f t="shared" si="12"/>
        <v>37.5</v>
      </c>
      <c r="V53" s="13">
        <f t="shared" si="9"/>
        <v>63</v>
      </c>
      <c r="W53" s="13">
        <f t="shared" si="9"/>
        <v>90</v>
      </c>
      <c r="X53" s="13">
        <f t="shared" si="9"/>
        <v>130.5</v>
      </c>
      <c r="Y53" s="13">
        <f t="shared" si="9"/>
        <v>225</v>
      </c>
    </row>
    <row r="54" spans="1:25" ht="16.5" thickBot="1" x14ac:dyDescent="0.3">
      <c r="K54" s="6">
        <v>2003</v>
      </c>
      <c r="L54" s="8"/>
      <c r="M54" s="8">
        <v>23</v>
      </c>
      <c r="N54" s="8">
        <v>36</v>
      </c>
      <c r="O54" s="8">
        <v>51</v>
      </c>
      <c r="P54" s="8">
        <v>78</v>
      </c>
      <c r="Q54" s="8">
        <v>138</v>
      </c>
      <c r="S54" s="11">
        <f t="shared" si="11"/>
        <v>2004</v>
      </c>
      <c r="T54" s="13"/>
      <c r="U54" s="13">
        <f t="shared" si="12"/>
        <v>34.5</v>
      </c>
      <c r="V54" s="13">
        <f t="shared" si="9"/>
        <v>54</v>
      </c>
      <c r="W54" s="13">
        <f t="shared" si="9"/>
        <v>76.5</v>
      </c>
      <c r="X54" s="13">
        <f t="shared" si="9"/>
        <v>117</v>
      </c>
      <c r="Y54" s="13">
        <f t="shared" si="9"/>
        <v>207</v>
      </c>
    </row>
    <row r="55" spans="1:25" ht="16.5" thickBot="1" x14ac:dyDescent="0.3">
      <c r="K55" s="6">
        <v>2002</v>
      </c>
      <c r="L55" s="8"/>
      <c r="M55" s="8">
        <v>21</v>
      </c>
      <c r="N55" s="8">
        <v>33</v>
      </c>
      <c r="O55" s="8">
        <v>42</v>
      </c>
      <c r="P55" s="8">
        <v>69</v>
      </c>
      <c r="Q55" s="8">
        <v>120</v>
      </c>
      <c r="S55" s="11">
        <f t="shared" si="11"/>
        <v>2003</v>
      </c>
      <c r="T55" s="13"/>
      <c r="U55" s="13">
        <f t="shared" si="12"/>
        <v>31.5</v>
      </c>
      <c r="V55" s="13">
        <f t="shared" si="9"/>
        <v>49.5</v>
      </c>
      <c r="W55" s="13">
        <f t="shared" si="9"/>
        <v>63</v>
      </c>
      <c r="X55" s="13">
        <f t="shared" si="9"/>
        <v>103.5</v>
      </c>
      <c r="Y55" s="13">
        <f t="shared" si="9"/>
        <v>180</v>
      </c>
    </row>
    <row r="56" spans="1:25" ht="16.5" thickBot="1" x14ac:dyDescent="0.3">
      <c r="K56" s="6">
        <v>2001</v>
      </c>
      <c r="L56" s="8"/>
      <c r="M56" s="8">
        <v>18</v>
      </c>
      <c r="N56" s="8">
        <v>27</v>
      </c>
      <c r="O56" s="8">
        <v>37</v>
      </c>
      <c r="P56" s="8">
        <v>60</v>
      </c>
      <c r="Q56" s="8">
        <v>102</v>
      </c>
      <c r="S56" s="11">
        <f t="shared" si="11"/>
        <v>2002</v>
      </c>
      <c r="T56" s="13"/>
      <c r="U56" s="13">
        <f t="shared" si="12"/>
        <v>27</v>
      </c>
      <c r="V56" s="13">
        <f t="shared" si="9"/>
        <v>40.5</v>
      </c>
      <c r="W56" s="13">
        <f t="shared" si="9"/>
        <v>55.5</v>
      </c>
      <c r="X56" s="13">
        <f t="shared" si="9"/>
        <v>90</v>
      </c>
      <c r="Y56" s="13">
        <f t="shared" si="9"/>
        <v>153</v>
      </c>
    </row>
    <row r="57" spans="1:25" ht="16.5" thickBot="1" x14ac:dyDescent="0.3">
      <c r="K57" s="6">
        <v>2000</v>
      </c>
      <c r="L57" s="8"/>
      <c r="M57" s="8">
        <v>14</v>
      </c>
      <c r="N57" s="8">
        <v>24</v>
      </c>
      <c r="O57" s="8">
        <v>33</v>
      </c>
      <c r="P57" s="8">
        <v>51</v>
      </c>
      <c r="Q57" s="8">
        <v>90</v>
      </c>
      <c r="S57" s="11">
        <f t="shared" si="11"/>
        <v>2001</v>
      </c>
      <c r="T57" s="13"/>
      <c r="U57" s="13">
        <f t="shared" si="12"/>
        <v>21</v>
      </c>
      <c r="V57" s="13">
        <f t="shared" si="9"/>
        <v>36</v>
      </c>
      <c r="W57" s="13">
        <f t="shared" si="9"/>
        <v>49.5</v>
      </c>
      <c r="X57" s="13">
        <f t="shared" si="9"/>
        <v>76.5</v>
      </c>
      <c r="Y57" s="13">
        <f t="shared" si="9"/>
        <v>135</v>
      </c>
    </row>
    <row r="58" spans="1:25" ht="32.25" thickBot="1" x14ac:dyDescent="0.3">
      <c r="K58" s="6" t="s">
        <v>37</v>
      </c>
      <c r="L58" s="8"/>
      <c r="M58" s="8">
        <v>12</v>
      </c>
      <c r="N58" s="8">
        <v>21</v>
      </c>
      <c r="O58" s="8">
        <v>28</v>
      </c>
      <c r="P58" s="8">
        <v>42</v>
      </c>
      <c r="Q58" s="8">
        <v>78</v>
      </c>
      <c r="S58" s="6" t="s">
        <v>28</v>
      </c>
      <c r="T58" s="13"/>
      <c r="U58" s="13">
        <f t="shared" si="12"/>
        <v>18</v>
      </c>
      <c r="V58" s="13">
        <f t="shared" si="9"/>
        <v>31.5</v>
      </c>
      <c r="W58" s="13">
        <f t="shared" si="9"/>
        <v>42</v>
      </c>
      <c r="X58" s="13">
        <f t="shared" si="9"/>
        <v>63</v>
      </c>
      <c r="Y58" s="13">
        <f t="shared" si="9"/>
        <v>117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D58"/>
  <sheetViews>
    <sheetView workbookViewId="0">
      <selection sqref="A1:XFD1048576"/>
    </sheetView>
  </sheetViews>
  <sheetFormatPr baseColWidth="10" defaultRowHeight="15" x14ac:dyDescent="0.25"/>
  <cols>
    <col min="6" max="6" width="17.140625" customWidth="1"/>
    <col min="7" max="8" width="12.85546875" customWidth="1"/>
    <col min="9" max="9" width="18.42578125" bestFit="1" customWidth="1"/>
    <col min="10" max="10" width="13.28515625" customWidth="1"/>
    <col min="12" max="12" width="18.140625" bestFit="1" customWidth="1"/>
    <col min="13" max="13" width="13.28515625" bestFit="1" customWidth="1"/>
    <col min="14" max="18" width="14.5703125" customWidth="1"/>
    <col min="19" max="19" width="12.7109375" bestFit="1" customWidth="1"/>
    <col min="27" max="27" width="14.140625" bestFit="1" customWidth="1"/>
  </cols>
  <sheetData>
    <row r="5" spans="1:13" x14ac:dyDescent="0.25">
      <c r="C5" t="s">
        <v>6</v>
      </c>
      <c r="G5" t="s">
        <v>5</v>
      </c>
    </row>
    <row r="7" spans="1:13" x14ac:dyDescent="0.25">
      <c r="A7">
        <v>170</v>
      </c>
      <c r="B7">
        <f>+A7*1.3</f>
        <v>221</v>
      </c>
      <c r="F7" t="s">
        <v>7</v>
      </c>
      <c r="J7" t="s">
        <v>8</v>
      </c>
    </row>
    <row r="8" spans="1:13" x14ac:dyDescent="0.25">
      <c r="A8">
        <v>92</v>
      </c>
      <c r="B8">
        <f t="shared" ref="B8:B49" si="0">+A8*1.3</f>
        <v>119.60000000000001</v>
      </c>
      <c r="D8" t="s">
        <v>40</v>
      </c>
      <c r="E8" s="4" t="s">
        <v>39</v>
      </c>
      <c r="F8" s="4" t="s">
        <v>43</v>
      </c>
      <c r="G8" s="4" t="s">
        <v>2</v>
      </c>
      <c r="H8" s="4" t="s">
        <v>9</v>
      </c>
      <c r="I8" s="4" t="s">
        <v>41</v>
      </c>
      <c r="J8" s="4" t="s">
        <v>42</v>
      </c>
      <c r="K8" s="4" t="s">
        <v>2</v>
      </c>
      <c r="L8" s="4" t="s">
        <v>4</v>
      </c>
      <c r="M8" s="4" t="s">
        <v>9</v>
      </c>
    </row>
    <row r="9" spans="1:13" x14ac:dyDescent="0.25">
      <c r="A9">
        <v>215</v>
      </c>
      <c r="B9">
        <f t="shared" si="0"/>
        <v>279.5</v>
      </c>
      <c r="D9" s="4">
        <v>1</v>
      </c>
      <c r="E9">
        <v>94</v>
      </c>
      <c r="F9" s="16">
        <f>+E9*1.5</f>
        <v>141</v>
      </c>
      <c r="G9" s="18">
        <f>+F9-E9</f>
        <v>47</v>
      </c>
      <c r="H9" s="3">
        <f>+(F9/E9)-1</f>
        <v>0.5</v>
      </c>
      <c r="I9" s="2">
        <v>1618.21</v>
      </c>
      <c r="J9" s="20">
        <f>+I9*1.5</f>
        <v>2427.3150000000001</v>
      </c>
      <c r="K9" s="17">
        <f>+J9-I9</f>
        <v>809.10500000000002</v>
      </c>
      <c r="L9" s="19">
        <f>+K9/12</f>
        <v>67.425416666666663</v>
      </c>
      <c r="M9" s="3">
        <f>+(J9/I9)-1</f>
        <v>0.5</v>
      </c>
    </row>
    <row r="10" spans="1:13" x14ac:dyDescent="0.25">
      <c r="A10">
        <v>108</v>
      </c>
      <c r="B10">
        <f t="shared" si="0"/>
        <v>140.4</v>
      </c>
      <c r="D10" s="4">
        <v>2</v>
      </c>
      <c r="E10">
        <v>78</v>
      </c>
      <c r="F10" s="16">
        <f t="shared" ref="F10" si="1">+E10*1.5</f>
        <v>117</v>
      </c>
      <c r="G10" s="18">
        <f t="shared" ref="G10:G20" si="2">+F10-E10</f>
        <v>39</v>
      </c>
      <c r="H10" s="3">
        <f t="shared" ref="H10:H20" si="3">+(F10/E10)-1</f>
        <v>0.5</v>
      </c>
      <c r="I10" s="2">
        <v>1520.14</v>
      </c>
      <c r="J10" s="20">
        <f t="shared" ref="J10" si="4">+I10*1.5</f>
        <v>2280.21</v>
      </c>
      <c r="K10" s="17">
        <f t="shared" ref="K10:K20" si="5">+J10-I10</f>
        <v>760.06999999999994</v>
      </c>
      <c r="L10" s="19">
        <f t="shared" ref="L10:L20" si="6">+K10/12</f>
        <v>63.339166666666664</v>
      </c>
      <c r="M10" s="3">
        <f t="shared" ref="M10:M20" si="7">+(J10/I10)-1</f>
        <v>0.5</v>
      </c>
    </row>
    <row r="11" spans="1:13" x14ac:dyDescent="0.25">
      <c r="A11">
        <v>440</v>
      </c>
      <c r="B11">
        <f t="shared" si="0"/>
        <v>572</v>
      </c>
      <c r="D11" s="4">
        <v>3</v>
      </c>
      <c r="E11">
        <v>70</v>
      </c>
      <c r="F11" s="16">
        <f>+E11*1.3</f>
        <v>91</v>
      </c>
      <c r="G11" s="18">
        <f t="shared" si="2"/>
        <v>21</v>
      </c>
      <c r="H11" s="3">
        <f t="shared" si="3"/>
        <v>0.30000000000000004</v>
      </c>
      <c r="I11" s="2">
        <v>1250.44</v>
      </c>
      <c r="J11" s="20">
        <f>+I11*1.3</f>
        <v>1625.5720000000001</v>
      </c>
      <c r="K11" s="17">
        <f t="shared" si="5"/>
        <v>375.13200000000006</v>
      </c>
      <c r="L11" s="19">
        <f t="shared" si="6"/>
        <v>31.261000000000006</v>
      </c>
      <c r="M11" s="3">
        <f t="shared" si="7"/>
        <v>0.30000000000000004</v>
      </c>
    </row>
    <row r="12" spans="1:13" x14ac:dyDescent="0.25">
      <c r="A12">
        <v>77</v>
      </c>
      <c r="B12">
        <f t="shared" si="0"/>
        <v>100.10000000000001</v>
      </c>
      <c r="D12" s="4">
        <v>4</v>
      </c>
      <c r="E12">
        <v>62</v>
      </c>
      <c r="F12" s="16">
        <f t="shared" ref="F12:F20" si="8">+E12*1.3</f>
        <v>80.600000000000009</v>
      </c>
      <c r="G12" s="18">
        <f t="shared" si="2"/>
        <v>18.600000000000009</v>
      </c>
      <c r="H12" s="3">
        <f t="shared" si="3"/>
        <v>0.30000000000000004</v>
      </c>
      <c r="I12" s="2">
        <v>1029.77</v>
      </c>
      <c r="J12" s="20">
        <f t="shared" ref="J12:J20" si="9">+I12*1.3</f>
        <v>1338.701</v>
      </c>
      <c r="K12" s="17">
        <f t="shared" si="5"/>
        <v>308.93100000000004</v>
      </c>
      <c r="L12" s="19">
        <f t="shared" si="6"/>
        <v>25.744250000000005</v>
      </c>
      <c r="M12" s="3">
        <f t="shared" si="7"/>
        <v>0.30000000000000004</v>
      </c>
    </row>
    <row r="13" spans="1:13" x14ac:dyDescent="0.25">
      <c r="A13">
        <v>138</v>
      </c>
      <c r="B13">
        <f t="shared" si="0"/>
        <v>179.4</v>
      </c>
      <c r="D13" s="4">
        <v>5</v>
      </c>
      <c r="E13">
        <v>47</v>
      </c>
      <c r="F13" s="16">
        <f t="shared" si="8"/>
        <v>61.1</v>
      </c>
      <c r="G13" s="18">
        <f t="shared" si="2"/>
        <v>14.100000000000001</v>
      </c>
      <c r="H13" s="3">
        <f t="shared" si="3"/>
        <v>0.30000000000000004</v>
      </c>
      <c r="I13" s="2">
        <v>833.64</v>
      </c>
      <c r="J13" s="20">
        <f t="shared" si="9"/>
        <v>1083.732</v>
      </c>
      <c r="K13" s="17">
        <f t="shared" si="5"/>
        <v>250.09199999999998</v>
      </c>
      <c r="L13" s="19">
        <f t="shared" si="6"/>
        <v>20.840999999999998</v>
      </c>
      <c r="M13" s="3">
        <f t="shared" si="7"/>
        <v>0.30000000000000004</v>
      </c>
    </row>
    <row r="14" spans="1:13" x14ac:dyDescent="0.25">
      <c r="A14">
        <v>335</v>
      </c>
      <c r="B14">
        <f t="shared" si="0"/>
        <v>435.5</v>
      </c>
      <c r="D14" s="4">
        <v>6</v>
      </c>
      <c r="E14">
        <v>31</v>
      </c>
      <c r="F14" s="16">
        <f t="shared" si="8"/>
        <v>40.300000000000004</v>
      </c>
      <c r="G14" s="18">
        <f t="shared" si="2"/>
        <v>9.3000000000000043</v>
      </c>
      <c r="H14" s="3">
        <f t="shared" si="3"/>
        <v>0.30000000000000004</v>
      </c>
      <c r="I14" s="2">
        <v>662</v>
      </c>
      <c r="J14" s="20">
        <f t="shared" si="9"/>
        <v>860.6</v>
      </c>
      <c r="K14" s="17">
        <f t="shared" si="5"/>
        <v>198.60000000000002</v>
      </c>
      <c r="L14" s="19">
        <f t="shared" si="6"/>
        <v>16.55</v>
      </c>
      <c r="M14" s="3">
        <f t="shared" si="7"/>
        <v>0.30000000000000004</v>
      </c>
    </row>
    <row r="15" spans="1:13" x14ac:dyDescent="0.25">
      <c r="A15">
        <v>25</v>
      </c>
      <c r="B15">
        <f t="shared" si="0"/>
        <v>32.5</v>
      </c>
      <c r="D15" s="4">
        <v>7</v>
      </c>
      <c r="E15">
        <v>31</v>
      </c>
      <c r="F15" s="16">
        <f t="shared" si="8"/>
        <v>40.300000000000004</v>
      </c>
      <c r="G15" s="18">
        <f t="shared" si="2"/>
        <v>9.3000000000000043</v>
      </c>
      <c r="H15" s="3">
        <f t="shared" si="3"/>
        <v>0.30000000000000004</v>
      </c>
      <c r="I15" s="2">
        <v>490.37</v>
      </c>
      <c r="J15" s="20">
        <f t="shared" si="9"/>
        <v>637.48099999999999</v>
      </c>
      <c r="K15" s="17">
        <f t="shared" si="5"/>
        <v>147.11099999999999</v>
      </c>
      <c r="L15" s="19">
        <f t="shared" si="6"/>
        <v>12.25925</v>
      </c>
      <c r="M15" s="3">
        <f t="shared" si="7"/>
        <v>0.30000000000000004</v>
      </c>
    </row>
    <row r="16" spans="1:13" x14ac:dyDescent="0.25">
      <c r="A16">
        <v>2150</v>
      </c>
      <c r="B16">
        <f t="shared" si="0"/>
        <v>2795</v>
      </c>
      <c r="D16" s="4">
        <v>8</v>
      </c>
      <c r="E16">
        <v>31</v>
      </c>
      <c r="F16" s="16">
        <f t="shared" si="8"/>
        <v>40.300000000000004</v>
      </c>
      <c r="G16" s="18">
        <f t="shared" si="2"/>
        <v>9.3000000000000043</v>
      </c>
      <c r="H16" s="3">
        <f t="shared" si="3"/>
        <v>0.30000000000000004</v>
      </c>
      <c r="I16" s="2">
        <v>490.37</v>
      </c>
      <c r="J16" s="20">
        <f t="shared" si="9"/>
        <v>637.48099999999999</v>
      </c>
      <c r="K16" s="17">
        <f t="shared" si="5"/>
        <v>147.11099999999999</v>
      </c>
      <c r="L16" s="19">
        <f t="shared" si="6"/>
        <v>12.25925</v>
      </c>
      <c r="M16" s="3">
        <f t="shared" si="7"/>
        <v>0.30000000000000004</v>
      </c>
    </row>
    <row r="17" spans="1:26" x14ac:dyDescent="0.25">
      <c r="A17">
        <v>275</v>
      </c>
      <c r="B17">
        <f t="shared" si="0"/>
        <v>357.5</v>
      </c>
      <c r="D17" s="4">
        <v>9</v>
      </c>
      <c r="E17">
        <v>15</v>
      </c>
      <c r="F17" s="16">
        <f t="shared" si="8"/>
        <v>19.5</v>
      </c>
      <c r="G17" s="18">
        <f t="shared" si="2"/>
        <v>4.5</v>
      </c>
      <c r="H17" s="3">
        <f t="shared" si="3"/>
        <v>0.30000000000000004</v>
      </c>
      <c r="I17" s="2">
        <v>490.37</v>
      </c>
      <c r="J17" s="20">
        <f t="shared" si="9"/>
        <v>637.48099999999999</v>
      </c>
      <c r="K17" s="17">
        <f t="shared" si="5"/>
        <v>147.11099999999999</v>
      </c>
      <c r="L17" s="19">
        <f t="shared" si="6"/>
        <v>12.25925</v>
      </c>
      <c r="M17" s="3">
        <f t="shared" si="7"/>
        <v>0.30000000000000004</v>
      </c>
    </row>
    <row r="18" spans="1:26" x14ac:dyDescent="0.25">
      <c r="A18">
        <v>1350</v>
      </c>
      <c r="B18">
        <f t="shared" si="0"/>
        <v>1755</v>
      </c>
      <c r="D18" s="4">
        <v>10</v>
      </c>
      <c r="E18">
        <v>78</v>
      </c>
      <c r="F18" s="16">
        <f t="shared" si="8"/>
        <v>101.4</v>
      </c>
      <c r="G18" s="18">
        <f t="shared" si="2"/>
        <v>23.400000000000006</v>
      </c>
      <c r="H18" s="3">
        <f t="shared" si="3"/>
        <v>0.30000000000000004</v>
      </c>
      <c r="I18" s="2">
        <v>1520.14</v>
      </c>
      <c r="J18" s="20">
        <f t="shared" si="9"/>
        <v>1976.1820000000002</v>
      </c>
      <c r="K18" s="17">
        <f t="shared" si="5"/>
        <v>456.04200000000014</v>
      </c>
      <c r="L18" s="19">
        <f t="shared" si="6"/>
        <v>38.00350000000001</v>
      </c>
      <c r="M18" s="3">
        <f t="shared" si="7"/>
        <v>0.30000000000000004</v>
      </c>
    </row>
    <row r="19" spans="1:26" x14ac:dyDescent="0.25">
      <c r="A19">
        <v>230</v>
      </c>
      <c r="B19">
        <f t="shared" si="0"/>
        <v>299</v>
      </c>
      <c r="D19" s="4">
        <v>11</v>
      </c>
      <c r="E19">
        <v>70</v>
      </c>
      <c r="F19" s="16">
        <f t="shared" si="8"/>
        <v>91</v>
      </c>
      <c r="G19" s="18">
        <f t="shared" si="2"/>
        <v>21</v>
      </c>
      <c r="H19" s="3">
        <f t="shared" si="3"/>
        <v>0.30000000000000004</v>
      </c>
      <c r="I19" s="2">
        <v>1250.44</v>
      </c>
      <c r="J19" s="20">
        <f t="shared" si="9"/>
        <v>1625.5720000000001</v>
      </c>
      <c r="K19" s="17">
        <f t="shared" si="5"/>
        <v>375.13200000000006</v>
      </c>
      <c r="L19" s="19">
        <f t="shared" si="6"/>
        <v>31.261000000000006</v>
      </c>
      <c r="M19" s="3">
        <f t="shared" si="7"/>
        <v>0.30000000000000004</v>
      </c>
    </row>
    <row r="20" spans="1:26" x14ac:dyDescent="0.25">
      <c r="A20">
        <v>303</v>
      </c>
      <c r="B20">
        <f t="shared" si="0"/>
        <v>393.90000000000003</v>
      </c>
      <c r="D20" s="4">
        <v>12</v>
      </c>
      <c r="E20">
        <v>94</v>
      </c>
      <c r="F20" s="16">
        <f t="shared" si="8"/>
        <v>122.2</v>
      </c>
      <c r="G20" s="18">
        <f t="shared" si="2"/>
        <v>28.200000000000003</v>
      </c>
      <c r="H20" s="3">
        <f t="shared" si="3"/>
        <v>0.30000000000000004</v>
      </c>
      <c r="I20" s="2">
        <v>1618.21</v>
      </c>
      <c r="J20" s="20">
        <f t="shared" si="9"/>
        <v>2103.6730000000002</v>
      </c>
      <c r="K20" s="17">
        <f t="shared" si="5"/>
        <v>485.46300000000019</v>
      </c>
      <c r="L20" s="19">
        <f t="shared" si="6"/>
        <v>40.455250000000014</v>
      </c>
      <c r="M20" s="3">
        <f t="shared" si="7"/>
        <v>0.30000000000000004</v>
      </c>
    </row>
    <row r="21" spans="1:26" x14ac:dyDescent="0.25">
      <c r="A21">
        <v>2720</v>
      </c>
      <c r="B21">
        <f t="shared" si="0"/>
        <v>3536</v>
      </c>
    </row>
    <row r="22" spans="1:26" ht="15.75" thickBot="1" x14ac:dyDescent="0.3">
      <c r="A22">
        <v>380</v>
      </c>
      <c r="B22">
        <f t="shared" si="0"/>
        <v>494</v>
      </c>
    </row>
    <row r="23" spans="1:26" ht="31.5" x14ac:dyDescent="0.25">
      <c r="A23">
        <v>1452</v>
      </c>
      <c r="B23">
        <f t="shared" si="0"/>
        <v>1887.6000000000001</v>
      </c>
      <c r="G23" t="s">
        <v>10</v>
      </c>
      <c r="K23" t="s">
        <v>16</v>
      </c>
      <c r="N23" s="5" t="s">
        <v>17</v>
      </c>
      <c r="O23" s="7" t="s">
        <v>19</v>
      </c>
      <c r="P23" s="7" t="s">
        <v>21</v>
      </c>
      <c r="Q23" s="7" t="s">
        <v>23</v>
      </c>
      <c r="R23" s="7" t="s">
        <v>25</v>
      </c>
      <c r="S23" s="7" t="s">
        <v>27</v>
      </c>
      <c r="U23" s="5" t="s">
        <v>17</v>
      </c>
      <c r="V23" s="7" t="s">
        <v>19</v>
      </c>
      <c r="W23" s="7" t="s">
        <v>21</v>
      </c>
      <c r="X23" s="7" t="s">
        <v>23</v>
      </c>
      <c r="Y23" s="7" t="s">
        <v>25</v>
      </c>
      <c r="Z23" s="7" t="s">
        <v>27</v>
      </c>
    </row>
    <row r="24" spans="1:26" ht="32.25" thickBot="1" x14ac:dyDescent="0.3">
      <c r="A24">
        <v>545</v>
      </c>
      <c r="B24">
        <f t="shared" si="0"/>
        <v>708.5</v>
      </c>
      <c r="F24" t="s">
        <v>15</v>
      </c>
      <c r="I24">
        <v>3</v>
      </c>
      <c r="K24">
        <f>+I24*3</f>
        <v>9</v>
      </c>
      <c r="N24" s="6" t="s">
        <v>18</v>
      </c>
      <c r="O24" s="8" t="s">
        <v>20</v>
      </c>
      <c r="P24" s="8" t="s">
        <v>22</v>
      </c>
      <c r="Q24" s="8" t="s">
        <v>24</v>
      </c>
      <c r="R24" s="8" t="s">
        <v>26</v>
      </c>
      <c r="S24" s="8" t="s">
        <v>26</v>
      </c>
      <c r="U24" s="6" t="s">
        <v>18</v>
      </c>
      <c r="V24" s="8" t="s">
        <v>20</v>
      </c>
      <c r="W24" s="8" t="s">
        <v>22</v>
      </c>
      <c r="X24" s="8" t="s">
        <v>24</v>
      </c>
      <c r="Y24" s="8" t="s">
        <v>26</v>
      </c>
      <c r="Z24" s="8" t="s">
        <v>26</v>
      </c>
    </row>
    <row r="25" spans="1:26" ht="16.5" thickBot="1" x14ac:dyDescent="0.3">
      <c r="A25">
        <v>40250</v>
      </c>
      <c r="B25">
        <f t="shared" si="0"/>
        <v>52325</v>
      </c>
      <c r="F25" t="s">
        <v>11</v>
      </c>
      <c r="I25">
        <v>12</v>
      </c>
      <c r="K25">
        <f t="shared" ref="K25:K28" si="10">+I25*3</f>
        <v>36</v>
      </c>
      <c r="N25" s="6">
        <v>2013</v>
      </c>
      <c r="O25" s="14">
        <v>72</v>
      </c>
      <c r="P25" s="14">
        <v>126</v>
      </c>
      <c r="Q25" s="14">
        <v>225</v>
      </c>
      <c r="R25" s="14">
        <v>558</v>
      </c>
      <c r="S25" s="14">
        <v>1170</v>
      </c>
      <c r="U25" s="6">
        <v>2014</v>
      </c>
      <c r="V25" s="14">
        <v>320</v>
      </c>
      <c r="W25" s="14">
        <f>463*1.2+0.4</f>
        <v>556</v>
      </c>
      <c r="X25" s="14">
        <f>804*1.2+0.2</f>
        <v>965</v>
      </c>
      <c r="Y25" s="14">
        <f>1945*1.2</f>
        <v>2334</v>
      </c>
      <c r="Z25" s="14">
        <f>4037*1.2+0.6</f>
        <v>4845</v>
      </c>
    </row>
    <row r="26" spans="1:26" ht="16.5" thickBot="1" x14ac:dyDescent="0.3">
      <c r="A26">
        <v>1670</v>
      </c>
      <c r="B26">
        <f t="shared" si="0"/>
        <v>2171</v>
      </c>
      <c r="F26" t="s">
        <v>12</v>
      </c>
      <c r="I26">
        <v>5</v>
      </c>
      <c r="K26">
        <f t="shared" si="10"/>
        <v>15</v>
      </c>
      <c r="N26" s="6">
        <v>2012</v>
      </c>
      <c r="O26" s="14">
        <v>63</v>
      </c>
      <c r="P26" s="14">
        <v>114</v>
      </c>
      <c r="Q26" s="13">
        <v>212</v>
      </c>
      <c r="R26" s="13">
        <v>515</v>
      </c>
      <c r="S26" s="15">
        <v>1088</v>
      </c>
      <c r="U26" s="6">
        <v>2013</v>
      </c>
      <c r="V26" s="14">
        <v>260</v>
      </c>
      <c r="W26" s="14">
        <f>380*1.2</f>
        <v>456</v>
      </c>
      <c r="X26" s="13">
        <f>659*1.2</f>
        <v>790.8</v>
      </c>
      <c r="Y26" s="13">
        <f>1595*1.2</f>
        <v>1914</v>
      </c>
      <c r="Z26" s="15">
        <f>3311*1.2</f>
        <v>3973.2</v>
      </c>
    </row>
    <row r="27" spans="1:26" ht="16.5" thickBot="1" x14ac:dyDescent="0.3">
      <c r="A27">
        <v>1815</v>
      </c>
      <c r="B27">
        <f t="shared" si="0"/>
        <v>2359.5</v>
      </c>
      <c r="F27" t="s">
        <v>13</v>
      </c>
      <c r="I27">
        <v>5</v>
      </c>
      <c r="K27">
        <f t="shared" si="10"/>
        <v>15</v>
      </c>
      <c r="N27" s="6">
        <v>2011</v>
      </c>
      <c r="O27" s="14">
        <v>51</v>
      </c>
      <c r="P27" s="13">
        <v>92</v>
      </c>
      <c r="Q27" s="13">
        <v>170</v>
      </c>
      <c r="R27" s="13">
        <v>413</v>
      </c>
      <c r="S27" s="14">
        <v>870</v>
      </c>
      <c r="U27" s="6">
        <v>2012</v>
      </c>
      <c r="V27" s="14">
        <v>230</v>
      </c>
      <c r="W27" s="13">
        <f>345*1.2</f>
        <v>414</v>
      </c>
      <c r="X27" s="13">
        <f>600*1.2</f>
        <v>720</v>
      </c>
      <c r="Y27" s="13">
        <f>1450*1.2</f>
        <v>1740</v>
      </c>
      <c r="Z27" s="14">
        <f>3010*1.2</f>
        <v>3612</v>
      </c>
    </row>
    <row r="28" spans="1:26" ht="16.5" thickBot="1" x14ac:dyDescent="0.3">
      <c r="A28">
        <v>87</v>
      </c>
      <c r="B28">
        <f t="shared" si="0"/>
        <v>113.10000000000001</v>
      </c>
      <c r="F28" t="s">
        <v>14</v>
      </c>
      <c r="I28">
        <v>15</v>
      </c>
      <c r="K28">
        <f t="shared" si="10"/>
        <v>45</v>
      </c>
      <c r="N28" s="9">
        <v>2010</v>
      </c>
      <c r="O28" s="14">
        <v>45</v>
      </c>
      <c r="P28" s="13">
        <v>83</v>
      </c>
      <c r="Q28" s="14">
        <v>150</v>
      </c>
      <c r="R28" s="13">
        <v>368</v>
      </c>
      <c r="S28" s="14">
        <v>777</v>
      </c>
      <c r="U28" s="6">
        <v>2011</v>
      </c>
      <c r="V28" s="14">
        <v>212</v>
      </c>
      <c r="W28" s="13">
        <f>308*1.2</f>
        <v>369.59999999999997</v>
      </c>
      <c r="X28" s="14">
        <f>534*1.2+0.2</f>
        <v>641</v>
      </c>
      <c r="Y28" s="13">
        <f>1289*1.2</f>
        <v>1546.8</v>
      </c>
      <c r="Z28" s="14">
        <f>2679*1.2+0.2</f>
        <v>3214.9999999999995</v>
      </c>
    </row>
    <row r="29" spans="1:26" ht="16.5" thickBot="1" x14ac:dyDescent="0.3">
      <c r="A29">
        <v>1270</v>
      </c>
      <c r="B29">
        <f t="shared" si="0"/>
        <v>1651</v>
      </c>
      <c r="N29" s="11">
        <v>2009</v>
      </c>
      <c r="O29" s="13">
        <v>41</v>
      </c>
      <c r="P29" s="13">
        <v>74</v>
      </c>
      <c r="Q29" s="14">
        <v>135</v>
      </c>
      <c r="R29" s="13">
        <v>305</v>
      </c>
      <c r="S29" s="14">
        <v>699</v>
      </c>
      <c r="U29" s="6">
        <v>2010</v>
      </c>
      <c r="V29" s="13">
        <v>190</v>
      </c>
      <c r="W29" s="13">
        <f>277*1.2</f>
        <v>332.4</v>
      </c>
      <c r="X29" s="14">
        <f>478*1.2+0.4</f>
        <v>574</v>
      </c>
      <c r="Y29" s="13">
        <f>1159*1.2</f>
        <v>1390.8</v>
      </c>
      <c r="Z29" s="14">
        <f>2408*1.2+0.4</f>
        <v>2890</v>
      </c>
    </row>
    <row r="30" spans="1:26" ht="16.5" thickBot="1" x14ac:dyDescent="0.3">
      <c r="A30">
        <v>100</v>
      </c>
      <c r="B30">
        <f t="shared" si="0"/>
        <v>130</v>
      </c>
      <c r="I30">
        <f>SUM(I24:I27)</f>
        <v>25</v>
      </c>
      <c r="K30">
        <f>SUM(K24:K27)</f>
        <v>75</v>
      </c>
      <c r="N30" s="6">
        <v>2008</v>
      </c>
      <c r="O30" s="13">
        <v>38</v>
      </c>
      <c r="P30" s="14">
        <v>66</v>
      </c>
      <c r="Q30" s="13">
        <v>125</v>
      </c>
      <c r="R30" s="13">
        <v>302</v>
      </c>
      <c r="S30" s="13">
        <v>638</v>
      </c>
      <c r="U30" s="6">
        <v>2009</v>
      </c>
      <c r="V30" s="13">
        <v>170</v>
      </c>
      <c r="W30" s="14">
        <f>250*1.2</f>
        <v>300</v>
      </c>
      <c r="X30" s="13">
        <f>438*1.2</f>
        <v>525.6</v>
      </c>
      <c r="Y30" s="13">
        <f>1060*1.2</f>
        <v>1272</v>
      </c>
      <c r="Z30" s="13">
        <f>2197*1.2</f>
        <v>2636.4</v>
      </c>
    </row>
    <row r="31" spans="1:26" ht="16.5" thickBot="1" x14ac:dyDescent="0.3">
      <c r="A31">
        <v>3.9</v>
      </c>
      <c r="B31">
        <f t="shared" si="0"/>
        <v>5.07</v>
      </c>
      <c r="I31">
        <f>+I28*5</f>
        <v>75</v>
      </c>
      <c r="K31">
        <f>+K28*5</f>
        <v>225</v>
      </c>
      <c r="N31" s="6">
        <v>2007</v>
      </c>
      <c r="O31" s="14">
        <v>33</v>
      </c>
      <c r="P31" s="13">
        <v>59</v>
      </c>
      <c r="Q31" s="13">
        <v>110</v>
      </c>
      <c r="R31" s="14">
        <v>264</v>
      </c>
      <c r="S31" s="13">
        <v>560</v>
      </c>
      <c r="U31" s="6">
        <v>2008</v>
      </c>
      <c r="V31" s="14">
        <v>160</v>
      </c>
      <c r="W31" s="13">
        <f>232*1.2</f>
        <v>278.39999999999998</v>
      </c>
      <c r="X31" s="13">
        <f>401*1.2</f>
        <v>481.2</v>
      </c>
      <c r="Y31" s="14">
        <f>967*1.2+0.6</f>
        <v>1160.9999999999998</v>
      </c>
      <c r="Z31" s="13">
        <f>2006*1.2</f>
        <v>2407.1999999999998</v>
      </c>
    </row>
    <row r="32" spans="1:26" ht="16.5" thickBot="1" x14ac:dyDescent="0.3">
      <c r="A32">
        <v>330</v>
      </c>
      <c r="B32">
        <f t="shared" si="0"/>
        <v>429</v>
      </c>
      <c r="I32">
        <f>+I31+I30</f>
        <v>100</v>
      </c>
      <c r="K32">
        <f>+K31+K30</f>
        <v>300</v>
      </c>
      <c r="N32" s="6">
        <v>2006</v>
      </c>
      <c r="O32" s="13">
        <v>29</v>
      </c>
      <c r="P32" s="13">
        <v>53</v>
      </c>
      <c r="Q32" s="14">
        <v>96</v>
      </c>
      <c r="R32" s="13">
        <v>236</v>
      </c>
      <c r="S32" s="13">
        <v>497</v>
      </c>
      <c r="U32" s="6">
        <v>2007</v>
      </c>
      <c r="V32" s="13">
        <f>117*1.2</f>
        <v>140.4</v>
      </c>
      <c r="W32" s="13">
        <f>203*1.2</f>
        <v>243.6</v>
      </c>
      <c r="X32" s="14">
        <f>363*1.2+0.4</f>
        <v>435.99999999999994</v>
      </c>
      <c r="Y32" s="13">
        <f>899*1.2</f>
        <v>1078.8</v>
      </c>
      <c r="Z32" s="13">
        <f>1884*1.2</f>
        <v>2260.7999999999997</v>
      </c>
    </row>
    <row r="33" spans="1:30" ht="16.5" thickBot="1" x14ac:dyDescent="0.3">
      <c r="A33">
        <v>5000</v>
      </c>
      <c r="B33">
        <f t="shared" si="0"/>
        <v>6500</v>
      </c>
      <c r="N33" s="6">
        <v>2005</v>
      </c>
      <c r="O33" s="13">
        <v>26</v>
      </c>
      <c r="P33" s="14">
        <v>48</v>
      </c>
      <c r="Q33" s="14">
        <v>87</v>
      </c>
      <c r="R33" s="14">
        <v>213</v>
      </c>
      <c r="S33" s="14">
        <v>450</v>
      </c>
      <c r="U33" s="6">
        <v>2006</v>
      </c>
      <c r="V33" s="13">
        <f>101*1.2</f>
        <v>121.19999999999999</v>
      </c>
      <c r="W33" s="14">
        <f>184*1.2+0.2</f>
        <v>220.99999999999997</v>
      </c>
      <c r="X33" s="14">
        <f>341*1.2+0.8</f>
        <v>410</v>
      </c>
      <c r="Y33" s="14">
        <f>828*1.2+0.4</f>
        <v>993.99999999999989</v>
      </c>
      <c r="Z33" s="14">
        <f>1753*1.2+0.4</f>
        <v>2104</v>
      </c>
    </row>
    <row r="34" spans="1:30" ht="16.5" thickBot="1" x14ac:dyDescent="0.3">
      <c r="A34">
        <v>3000</v>
      </c>
      <c r="B34">
        <f t="shared" si="0"/>
        <v>3900</v>
      </c>
      <c r="N34" s="6">
        <v>2004</v>
      </c>
      <c r="O34" s="14">
        <v>24</v>
      </c>
      <c r="P34" s="14">
        <v>42</v>
      </c>
      <c r="Q34" s="14">
        <v>78</v>
      </c>
      <c r="R34" s="13">
        <v>191</v>
      </c>
      <c r="S34" s="13">
        <v>404</v>
      </c>
      <c r="U34" s="6">
        <v>2005</v>
      </c>
      <c r="V34" s="14">
        <f>81*1.2+0.8</f>
        <v>98</v>
      </c>
      <c r="W34" s="14">
        <f>147*1.2+0.6</f>
        <v>177</v>
      </c>
      <c r="X34" s="14">
        <f>272*1.2+0.6</f>
        <v>327</v>
      </c>
      <c r="Y34" s="13">
        <f>666*1.2</f>
        <v>799.19999999999993</v>
      </c>
      <c r="Z34" s="13">
        <f>1401*1.2</f>
        <v>1681.2</v>
      </c>
    </row>
    <row r="35" spans="1:30" ht="16.5" thickBot="1" x14ac:dyDescent="0.3">
      <c r="A35">
        <v>840</v>
      </c>
      <c r="B35">
        <f t="shared" si="0"/>
        <v>1092</v>
      </c>
      <c r="N35" s="6">
        <v>2003</v>
      </c>
      <c r="O35" s="14">
        <v>21</v>
      </c>
      <c r="P35" s="13">
        <v>38</v>
      </c>
      <c r="Q35" s="14">
        <v>69</v>
      </c>
      <c r="R35" s="13">
        <v>170</v>
      </c>
      <c r="S35" s="14">
        <v>357</v>
      </c>
      <c r="U35" s="6">
        <v>2004</v>
      </c>
      <c r="V35" s="14">
        <f>73*1.2+0.4</f>
        <v>88</v>
      </c>
      <c r="W35" s="13">
        <f>134*1.2</f>
        <v>160.79999999999998</v>
      </c>
      <c r="X35" s="14">
        <f>242*1.2+0.6</f>
        <v>291</v>
      </c>
      <c r="Y35" s="13">
        <f>593*1.2</f>
        <v>711.6</v>
      </c>
      <c r="Z35" s="14">
        <f>1252*1.2+0.6</f>
        <v>1502.9999999999998</v>
      </c>
    </row>
    <row r="36" spans="1:30" ht="16.5" thickBot="1" x14ac:dyDescent="0.3">
      <c r="A36">
        <v>528</v>
      </c>
      <c r="B36">
        <f t="shared" si="0"/>
        <v>686.4</v>
      </c>
      <c r="N36" s="6">
        <v>2002</v>
      </c>
      <c r="O36" s="14">
        <v>18</v>
      </c>
      <c r="P36" s="14">
        <v>33</v>
      </c>
      <c r="Q36" s="14">
        <v>60</v>
      </c>
      <c r="R36" s="14">
        <v>147</v>
      </c>
      <c r="S36" s="13">
        <v>311</v>
      </c>
      <c r="U36" s="6">
        <v>2003</v>
      </c>
      <c r="V36" s="14">
        <f>66*1.2+0.8</f>
        <v>80</v>
      </c>
      <c r="W36" s="14">
        <f>118*1.2+0.4</f>
        <v>142</v>
      </c>
      <c r="X36" s="14">
        <f>218*1.2+0.4</f>
        <v>261.99999999999994</v>
      </c>
      <c r="Y36" s="14">
        <f>490*1.2</f>
        <v>588</v>
      </c>
      <c r="Z36" s="13">
        <f>1127*1.2</f>
        <v>1352.3999999999999</v>
      </c>
    </row>
    <row r="37" spans="1:30" ht="16.5" thickBot="1" x14ac:dyDescent="0.3">
      <c r="A37">
        <v>218.4</v>
      </c>
      <c r="B37">
        <f t="shared" si="0"/>
        <v>283.92</v>
      </c>
      <c r="N37" s="6">
        <v>2001</v>
      </c>
      <c r="O37" s="14">
        <v>15</v>
      </c>
      <c r="P37" s="13">
        <v>29</v>
      </c>
      <c r="Q37" s="14">
        <v>51</v>
      </c>
      <c r="R37" s="13">
        <v>125</v>
      </c>
      <c r="S37" s="14">
        <v>264</v>
      </c>
      <c r="U37" s="6">
        <v>2002</v>
      </c>
      <c r="V37" s="14">
        <f>61*1.2+0.8</f>
        <v>74</v>
      </c>
      <c r="W37" s="13">
        <f>105*1.2</f>
        <v>126</v>
      </c>
      <c r="X37" s="14">
        <f>199*1.2+0.2</f>
        <v>238.99999999999997</v>
      </c>
      <c r="Y37" s="13">
        <f>485*1.2</f>
        <v>582</v>
      </c>
      <c r="Z37" s="14">
        <f>1028*1.2+0.4</f>
        <v>1234</v>
      </c>
    </row>
    <row r="38" spans="1:30" ht="32.25" thickBot="1" x14ac:dyDescent="0.3">
      <c r="A38">
        <v>165</v>
      </c>
      <c r="B38">
        <f t="shared" si="0"/>
        <v>214.5</v>
      </c>
      <c r="N38" s="6" t="s">
        <v>28</v>
      </c>
      <c r="O38" s="13">
        <v>14</v>
      </c>
      <c r="P38" s="13">
        <v>26</v>
      </c>
      <c r="Q38" s="14">
        <v>45</v>
      </c>
      <c r="R38" s="13">
        <v>113</v>
      </c>
      <c r="S38" s="14">
        <v>237</v>
      </c>
      <c r="U38" s="6" t="s">
        <v>38</v>
      </c>
      <c r="V38" s="13">
        <f>52*1.2</f>
        <v>62.4</v>
      </c>
      <c r="W38" s="13">
        <f>95*1.2</f>
        <v>114</v>
      </c>
      <c r="X38" s="14">
        <f>176*1.2+0.8</f>
        <v>212</v>
      </c>
      <c r="Y38" s="13">
        <f>426*1.2</f>
        <v>511.2</v>
      </c>
      <c r="Z38" s="14">
        <f>901*1.2+0.8</f>
        <v>1082</v>
      </c>
    </row>
    <row r="39" spans="1:30" x14ac:dyDescent="0.25">
      <c r="A39">
        <v>1452</v>
      </c>
      <c r="B39">
        <f t="shared" si="0"/>
        <v>1887.6000000000001</v>
      </c>
    </row>
    <row r="40" spans="1:30" x14ac:dyDescent="0.25">
      <c r="A40">
        <v>220</v>
      </c>
      <c r="B40">
        <f t="shared" si="0"/>
        <v>286</v>
      </c>
    </row>
    <row r="41" spans="1:30" x14ac:dyDescent="0.25">
      <c r="A41">
        <v>165.6</v>
      </c>
      <c r="B41">
        <f t="shared" si="0"/>
        <v>215.28</v>
      </c>
    </row>
    <row r="42" spans="1:30" ht="15.75" thickBot="1" x14ac:dyDescent="0.3">
      <c r="A42">
        <v>261.60000000000002</v>
      </c>
      <c r="B42">
        <f t="shared" si="0"/>
        <v>340.08000000000004</v>
      </c>
    </row>
    <row r="43" spans="1:30" ht="31.5" x14ac:dyDescent="0.25">
      <c r="A43">
        <v>300</v>
      </c>
      <c r="B43">
        <f t="shared" si="0"/>
        <v>390</v>
      </c>
      <c r="P43" s="5" t="s">
        <v>17</v>
      </c>
      <c r="Q43" s="7" t="s">
        <v>19</v>
      </c>
      <c r="R43" s="7" t="s">
        <v>30</v>
      </c>
      <c r="S43" s="7" t="s">
        <v>21</v>
      </c>
      <c r="T43" s="7" t="s">
        <v>33</v>
      </c>
      <c r="U43" s="7" t="s">
        <v>35</v>
      </c>
      <c r="V43" s="7" t="s">
        <v>27</v>
      </c>
      <c r="X43" s="5" t="s">
        <v>17</v>
      </c>
      <c r="Y43" s="7" t="s">
        <v>19</v>
      </c>
      <c r="Z43" s="7" t="s">
        <v>30</v>
      </c>
      <c r="AA43" s="7" t="s">
        <v>21</v>
      </c>
      <c r="AB43" s="7" t="s">
        <v>33</v>
      </c>
      <c r="AC43" s="7" t="s">
        <v>35</v>
      </c>
      <c r="AD43" s="7" t="s">
        <v>27</v>
      </c>
    </row>
    <row r="44" spans="1:30" ht="16.5" thickBot="1" x14ac:dyDescent="0.3">
      <c r="A44">
        <v>92</v>
      </c>
      <c r="B44">
        <f t="shared" si="0"/>
        <v>119.60000000000001</v>
      </c>
      <c r="P44" s="6" t="s">
        <v>18</v>
      </c>
      <c r="Q44" s="8" t="s">
        <v>29</v>
      </c>
      <c r="R44" s="8" t="s">
        <v>31</v>
      </c>
      <c r="S44" s="8" t="s">
        <v>32</v>
      </c>
      <c r="T44" s="8" t="s">
        <v>34</v>
      </c>
      <c r="U44" s="8" t="s">
        <v>36</v>
      </c>
      <c r="V44" s="8" t="s">
        <v>36</v>
      </c>
      <c r="X44" s="6" t="s">
        <v>18</v>
      </c>
      <c r="Y44" s="8" t="s">
        <v>29</v>
      </c>
      <c r="Z44" s="8" t="s">
        <v>31</v>
      </c>
      <c r="AA44" s="8" t="s">
        <v>32</v>
      </c>
      <c r="AB44" s="8" t="s">
        <v>34</v>
      </c>
      <c r="AC44" s="8" t="s">
        <v>36</v>
      </c>
      <c r="AD44" s="8" t="s">
        <v>36</v>
      </c>
    </row>
    <row r="45" spans="1:30" ht="16.5" thickBot="1" x14ac:dyDescent="0.3">
      <c r="A45">
        <v>327</v>
      </c>
      <c r="B45">
        <f t="shared" si="0"/>
        <v>425.1</v>
      </c>
      <c r="P45" s="9">
        <v>2013</v>
      </c>
      <c r="Q45" s="10">
        <v>39</v>
      </c>
      <c r="R45" s="10">
        <v>108</v>
      </c>
      <c r="S45" s="10">
        <v>180</v>
      </c>
      <c r="T45" s="10">
        <v>156</v>
      </c>
      <c r="U45" s="10">
        <v>234</v>
      </c>
      <c r="V45" s="10">
        <v>648</v>
      </c>
      <c r="X45" s="9">
        <v>2014</v>
      </c>
      <c r="Y45" s="14">
        <f>149*1.2+0.2</f>
        <v>178.99999999999997</v>
      </c>
      <c r="Z45" s="14">
        <f>216*1.25</f>
        <v>270</v>
      </c>
      <c r="AA45" s="14">
        <f>300*1.3</f>
        <v>390</v>
      </c>
      <c r="AB45" s="14">
        <f>351*1.35+0.15</f>
        <v>474</v>
      </c>
      <c r="AC45" s="14">
        <f>972*1.4-0.8</f>
        <v>1360</v>
      </c>
      <c r="AD45" s="14">
        <f>1217*1.5+0.5</f>
        <v>1826</v>
      </c>
    </row>
    <row r="46" spans="1:30" ht="16.5" thickBot="1" x14ac:dyDescent="0.3">
      <c r="A46">
        <v>545</v>
      </c>
      <c r="B46">
        <f t="shared" si="0"/>
        <v>708.5</v>
      </c>
      <c r="P46" s="11">
        <f>+P45-1</f>
        <v>2012</v>
      </c>
      <c r="Q46" s="12">
        <v>33</v>
      </c>
      <c r="R46" s="12">
        <v>99</v>
      </c>
      <c r="S46" s="12">
        <v>162</v>
      </c>
      <c r="T46" s="12">
        <v>144</v>
      </c>
      <c r="U46" s="12">
        <v>216</v>
      </c>
      <c r="V46" s="12">
        <v>585</v>
      </c>
      <c r="X46" s="11">
        <v>2013</v>
      </c>
      <c r="Y46" s="14">
        <f>122*1.2+0.6</f>
        <v>147</v>
      </c>
      <c r="Z46" s="14">
        <f>200*1.25</f>
        <v>250</v>
      </c>
      <c r="AA46" s="14">
        <f>260*1.3</f>
        <v>338</v>
      </c>
      <c r="AB46" s="14">
        <f>324*1.35+0.6</f>
        <v>438.00000000000006</v>
      </c>
      <c r="AC46" s="14">
        <f>878*1.4+0.8</f>
        <v>1229.9999999999998</v>
      </c>
      <c r="AD46" s="14">
        <f>997*1.5+0.5</f>
        <v>1496</v>
      </c>
    </row>
    <row r="47" spans="1:30" ht="16.5" thickBot="1" x14ac:dyDescent="0.3">
      <c r="A47">
        <v>275</v>
      </c>
      <c r="B47">
        <f t="shared" si="0"/>
        <v>357.5</v>
      </c>
      <c r="P47" s="11">
        <f t="shared" ref="P47:P57" si="11">+P46-1</f>
        <v>2011</v>
      </c>
      <c r="Q47" s="8">
        <v>27</v>
      </c>
      <c r="R47" s="8">
        <v>83</v>
      </c>
      <c r="S47" s="8">
        <v>126</v>
      </c>
      <c r="T47" s="8">
        <v>120</v>
      </c>
      <c r="U47" s="8">
        <v>180</v>
      </c>
      <c r="V47" s="8">
        <v>450</v>
      </c>
      <c r="X47" s="9">
        <v>2012</v>
      </c>
      <c r="Y47" s="14">
        <f>110*1.2</f>
        <v>132</v>
      </c>
      <c r="Z47" s="13">
        <f>160*1.25</f>
        <v>200</v>
      </c>
      <c r="AA47" s="14">
        <f>200*1.3</f>
        <v>260</v>
      </c>
      <c r="AB47" s="14">
        <f>270*1.35+0.5</f>
        <v>365</v>
      </c>
      <c r="AC47" s="14">
        <f>675*1.4</f>
        <v>944.99999999999989</v>
      </c>
      <c r="AD47" s="14">
        <f>908*1.5</f>
        <v>1362</v>
      </c>
    </row>
    <row r="48" spans="1:30" ht="16.5" thickBot="1" x14ac:dyDescent="0.3">
      <c r="A48">
        <v>980</v>
      </c>
      <c r="B48">
        <f t="shared" si="0"/>
        <v>1274</v>
      </c>
      <c r="P48" s="11">
        <f t="shared" si="11"/>
        <v>2010</v>
      </c>
      <c r="Q48" s="8">
        <v>23</v>
      </c>
      <c r="R48" s="8">
        <v>74</v>
      </c>
      <c r="S48" s="8">
        <v>117</v>
      </c>
      <c r="T48" s="8">
        <v>111</v>
      </c>
      <c r="U48" s="8">
        <v>167</v>
      </c>
      <c r="V48" s="8">
        <v>405</v>
      </c>
      <c r="X48" s="11">
        <v>2011</v>
      </c>
      <c r="Y48" s="13">
        <f>100*1.2</f>
        <v>120</v>
      </c>
      <c r="Z48" s="13">
        <f>140*1.25</f>
        <v>175</v>
      </c>
      <c r="AA48" s="13">
        <f>190*1.3</f>
        <v>247</v>
      </c>
      <c r="AB48" s="13">
        <f>251*1.35</f>
        <v>338.85</v>
      </c>
      <c r="AC48" s="13">
        <f>608*1.4</f>
        <v>851.19999999999993</v>
      </c>
      <c r="AD48" s="13">
        <f>808*1.5</f>
        <v>1212</v>
      </c>
    </row>
    <row r="49" spans="1:30" ht="16.5" thickBot="1" x14ac:dyDescent="0.3">
      <c r="A49">
        <v>175</v>
      </c>
      <c r="B49">
        <f t="shared" si="0"/>
        <v>227.5</v>
      </c>
      <c r="P49" s="11">
        <f t="shared" si="11"/>
        <v>2009</v>
      </c>
      <c r="Q49" s="8"/>
      <c r="R49" s="8">
        <v>65</v>
      </c>
      <c r="S49" s="8">
        <v>108</v>
      </c>
      <c r="T49" s="8">
        <v>96</v>
      </c>
      <c r="U49" s="8">
        <v>144</v>
      </c>
      <c r="V49" s="8">
        <v>360</v>
      </c>
      <c r="X49" s="9">
        <v>2010</v>
      </c>
      <c r="Y49" s="13"/>
      <c r="Z49" s="13">
        <f>120*1.25</f>
        <v>150</v>
      </c>
      <c r="AA49" s="13">
        <f>180*1.3</f>
        <v>234</v>
      </c>
      <c r="AB49" s="13">
        <f>216*1.35</f>
        <v>291.60000000000002</v>
      </c>
      <c r="AC49" s="13">
        <f>540*1.4</f>
        <v>756</v>
      </c>
      <c r="AD49" s="13">
        <f>725*1.5</f>
        <v>1087.5</v>
      </c>
    </row>
    <row r="50" spans="1:30" ht="16.5" thickBot="1" x14ac:dyDescent="0.3">
      <c r="P50" s="11">
        <f t="shared" si="11"/>
        <v>2008</v>
      </c>
      <c r="Q50" s="8"/>
      <c r="R50" s="8">
        <v>59</v>
      </c>
      <c r="S50" s="8">
        <v>90</v>
      </c>
      <c r="T50" s="8">
        <v>84</v>
      </c>
      <c r="U50" s="8">
        <v>126</v>
      </c>
      <c r="V50" s="8">
        <v>315</v>
      </c>
      <c r="X50" s="11">
        <v>2009</v>
      </c>
      <c r="Y50" s="13"/>
      <c r="Z50" s="13">
        <f>110*1.25</f>
        <v>137.5</v>
      </c>
      <c r="AA50" s="13">
        <f>170*1.3</f>
        <v>221</v>
      </c>
      <c r="AB50" s="13">
        <f>189*1.35</f>
        <v>255.15</v>
      </c>
      <c r="AC50" s="13">
        <f>473*1.4</f>
        <v>662.19999999999993</v>
      </c>
      <c r="AD50" s="13">
        <f>661*1.5</f>
        <v>991.5</v>
      </c>
    </row>
    <row r="51" spans="1:30" ht="16.5" thickBot="1" x14ac:dyDescent="0.3">
      <c r="P51" s="11">
        <f t="shared" si="11"/>
        <v>2007</v>
      </c>
      <c r="Q51" s="8"/>
      <c r="R51" s="8">
        <v>53</v>
      </c>
      <c r="S51" s="8">
        <v>81</v>
      </c>
      <c r="T51" s="8">
        <v>75</v>
      </c>
      <c r="U51" s="8">
        <v>113</v>
      </c>
      <c r="V51" s="8">
        <v>279</v>
      </c>
      <c r="X51" s="9">
        <v>2008</v>
      </c>
      <c r="Y51" s="13"/>
      <c r="Z51" s="13">
        <f>100*1.25</f>
        <v>125</v>
      </c>
      <c r="AA51" s="13">
        <f>160*1.3</f>
        <v>208</v>
      </c>
      <c r="AB51" s="13">
        <f>170*1.35</f>
        <v>229.50000000000003</v>
      </c>
      <c r="AC51" s="13">
        <f>419*1.4</f>
        <v>586.59999999999991</v>
      </c>
      <c r="AD51" s="13">
        <f>605*1.5</f>
        <v>907.5</v>
      </c>
    </row>
    <row r="52" spans="1:30" ht="16.5" thickBot="1" x14ac:dyDescent="0.3">
      <c r="P52" s="11">
        <f t="shared" si="11"/>
        <v>2006</v>
      </c>
      <c r="Q52" s="8"/>
      <c r="R52" s="8">
        <v>44</v>
      </c>
      <c r="S52" s="8">
        <v>72</v>
      </c>
      <c r="T52" s="8">
        <v>66</v>
      </c>
      <c r="U52" s="8">
        <v>99</v>
      </c>
      <c r="V52" s="8">
        <v>252</v>
      </c>
      <c r="X52" s="11">
        <v>2007</v>
      </c>
      <c r="Y52" s="13"/>
      <c r="Z52" s="13">
        <f>90*1.25</f>
        <v>112.5</v>
      </c>
      <c r="AA52" s="13">
        <f>150*1.3</f>
        <v>195</v>
      </c>
      <c r="AB52" s="13">
        <f>149*1.35</f>
        <v>201.15</v>
      </c>
      <c r="AC52" s="13">
        <f>378*1.4</f>
        <v>529.19999999999993</v>
      </c>
      <c r="AD52" s="13">
        <f>564*1.5</f>
        <v>846</v>
      </c>
    </row>
    <row r="53" spans="1:30" ht="16.5" thickBot="1" x14ac:dyDescent="0.3">
      <c r="P53" s="11">
        <f t="shared" si="11"/>
        <v>2005</v>
      </c>
      <c r="Q53" s="8"/>
      <c r="R53" s="8">
        <v>38</v>
      </c>
      <c r="S53" s="8">
        <v>63</v>
      </c>
      <c r="T53" s="8">
        <v>60</v>
      </c>
      <c r="U53" s="8">
        <v>90</v>
      </c>
      <c r="V53" s="8">
        <v>225</v>
      </c>
      <c r="X53" s="9">
        <v>2006</v>
      </c>
      <c r="Y53" s="13"/>
      <c r="Z53" s="13">
        <f>80*1.25</f>
        <v>100</v>
      </c>
      <c r="AA53" s="13">
        <f>140*1.3</f>
        <v>182</v>
      </c>
      <c r="AB53" s="13">
        <f>135*1.35</f>
        <v>182.25</v>
      </c>
      <c r="AC53" s="13">
        <f>338*1.4</f>
        <v>473.2</v>
      </c>
      <c r="AD53" s="13">
        <f>507*1.5</f>
        <v>760.5</v>
      </c>
    </row>
    <row r="54" spans="1:30" ht="16.5" thickBot="1" x14ac:dyDescent="0.3">
      <c r="P54" s="11">
        <f t="shared" si="11"/>
        <v>2004</v>
      </c>
      <c r="Q54" s="8"/>
      <c r="R54" s="8">
        <v>35</v>
      </c>
      <c r="S54" s="8">
        <v>54</v>
      </c>
      <c r="T54" s="8">
        <v>51</v>
      </c>
      <c r="U54" s="8">
        <v>77</v>
      </c>
      <c r="V54" s="8">
        <v>207</v>
      </c>
      <c r="X54" s="11">
        <v>2005</v>
      </c>
      <c r="Y54" s="13"/>
      <c r="Z54" s="13">
        <f>70*1.25</f>
        <v>87.5</v>
      </c>
      <c r="AA54" s="13">
        <f>130*1.3</f>
        <v>169</v>
      </c>
      <c r="AB54" s="13">
        <f>116*1.35</f>
        <v>156.60000000000002</v>
      </c>
      <c r="AC54" s="13">
        <f>311*1.4</f>
        <v>435.4</v>
      </c>
      <c r="AD54" s="13">
        <f>434*1.5</f>
        <v>651</v>
      </c>
    </row>
    <row r="55" spans="1:30" ht="16.5" thickBot="1" x14ac:dyDescent="0.3">
      <c r="P55" s="11">
        <f t="shared" si="11"/>
        <v>2003</v>
      </c>
      <c r="Q55" s="8"/>
      <c r="R55" s="8">
        <v>32</v>
      </c>
      <c r="S55" s="8">
        <v>50</v>
      </c>
      <c r="T55" s="8">
        <v>42</v>
      </c>
      <c r="U55" s="8">
        <v>63</v>
      </c>
      <c r="V55" s="8">
        <v>180</v>
      </c>
      <c r="X55" s="9">
        <v>2004</v>
      </c>
      <c r="Y55" s="13"/>
      <c r="Z55" s="13">
        <f>60*1.25</f>
        <v>75</v>
      </c>
      <c r="AA55" s="13">
        <f>120*1.3</f>
        <v>156</v>
      </c>
      <c r="AB55" s="13">
        <f>95*1.35</f>
        <v>128.25</v>
      </c>
      <c r="AC55" s="13">
        <f>270*1.4</f>
        <v>378</v>
      </c>
      <c r="AD55" s="13">
        <f>407*1.5</f>
        <v>610.5</v>
      </c>
    </row>
    <row r="56" spans="1:30" ht="16.5" thickBot="1" x14ac:dyDescent="0.3">
      <c r="P56" s="11">
        <f t="shared" si="11"/>
        <v>2002</v>
      </c>
      <c r="Q56" s="8"/>
      <c r="R56" s="8">
        <v>27</v>
      </c>
      <c r="S56" s="8">
        <v>41</v>
      </c>
      <c r="T56" s="8">
        <v>37</v>
      </c>
      <c r="U56" s="8">
        <v>56</v>
      </c>
      <c r="V56" s="8">
        <v>153</v>
      </c>
      <c r="X56" s="11">
        <v>2003</v>
      </c>
      <c r="Y56" s="13"/>
      <c r="Z56" s="13">
        <f>50*1.25</f>
        <v>62.5</v>
      </c>
      <c r="AA56" s="13">
        <f>110*1.3</f>
        <v>143</v>
      </c>
      <c r="AB56" s="13">
        <f>84*1.35</f>
        <v>113.4</v>
      </c>
      <c r="AC56" s="13">
        <f>230*1.4</f>
        <v>322</v>
      </c>
      <c r="AD56" s="13">
        <f>346*1.5</f>
        <v>519</v>
      </c>
    </row>
    <row r="57" spans="1:30" ht="16.5" thickBot="1" x14ac:dyDescent="0.3">
      <c r="P57" s="11">
        <f t="shared" si="11"/>
        <v>2001</v>
      </c>
      <c r="Q57" s="8"/>
      <c r="R57" s="8">
        <v>21</v>
      </c>
      <c r="S57" s="8">
        <v>36</v>
      </c>
      <c r="T57" s="8">
        <v>33</v>
      </c>
      <c r="U57" s="8">
        <v>50</v>
      </c>
      <c r="V57" s="8">
        <v>135</v>
      </c>
      <c r="X57" s="11">
        <v>2002</v>
      </c>
      <c r="Y57" s="13"/>
      <c r="Z57" s="13">
        <f>40*1.25</f>
        <v>50</v>
      </c>
      <c r="AA57" s="13">
        <f>100*1.3</f>
        <v>130</v>
      </c>
      <c r="AB57" s="13">
        <f>75*1.35</f>
        <v>101.25</v>
      </c>
      <c r="AC57" s="13">
        <f>203*1.4</f>
        <v>284.2</v>
      </c>
      <c r="AD57" s="13">
        <f>291*1.5</f>
        <v>436.5</v>
      </c>
    </row>
    <row r="58" spans="1:30" ht="32.25" thickBot="1" x14ac:dyDescent="0.3">
      <c r="P58" s="6" t="s">
        <v>28</v>
      </c>
      <c r="Q58" s="8"/>
      <c r="R58" s="8">
        <v>18</v>
      </c>
      <c r="S58" s="8">
        <v>32</v>
      </c>
      <c r="T58" s="8">
        <v>28</v>
      </c>
      <c r="U58" s="8">
        <v>42</v>
      </c>
      <c r="V58" s="8">
        <v>117</v>
      </c>
      <c r="X58" s="6" t="s">
        <v>38</v>
      </c>
      <c r="Y58" s="13"/>
      <c r="Z58" s="13">
        <f>30*1.25</f>
        <v>37.5</v>
      </c>
      <c r="AA58" s="13">
        <f>90*1.3</f>
        <v>117</v>
      </c>
      <c r="AB58" s="13">
        <f>63*1.35</f>
        <v>85.050000000000011</v>
      </c>
      <c r="AC58" s="13">
        <f>176*1.4</f>
        <v>246.39999999999998</v>
      </c>
      <c r="AD58" s="13">
        <f>262*1.5</f>
        <v>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AD58"/>
  <sheetViews>
    <sheetView workbookViewId="0">
      <selection activeCell="J9" sqref="J9"/>
    </sheetView>
  </sheetViews>
  <sheetFormatPr baseColWidth="10" defaultRowHeight="15" x14ac:dyDescent="0.25"/>
  <cols>
    <col min="6" max="6" width="17.140625" customWidth="1"/>
    <col min="7" max="8" width="12.85546875" customWidth="1"/>
    <col min="9" max="9" width="18.42578125" bestFit="1" customWidth="1"/>
    <col min="10" max="10" width="13.28515625" customWidth="1"/>
    <col min="12" max="12" width="18.140625" bestFit="1" customWidth="1"/>
    <col min="13" max="13" width="13.28515625" bestFit="1" customWidth="1"/>
    <col min="14" max="18" width="14.5703125" customWidth="1"/>
    <col min="19" max="19" width="12.7109375" bestFit="1" customWidth="1"/>
    <col min="27" max="27" width="14.140625" bestFit="1" customWidth="1"/>
  </cols>
  <sheetData>
    <row r="5" spans="4:13" x14ac:dyDescent="0.25">
      <c r="G5" t="s">
        <v>5</v>
      </c>
    </row>
    <row r="7" spans="4:13" x14ac:dyDescent="0.25">
      <c r="F7" t="s">
        <v>7</v>
      </c>
      <c r="J7" t="s">
        <v>8</v>
      </c>
    </row>
    <row r="8" spans="4:13" x14ac:dyDescent="0.25">
      <c r="D8" t="s">
        <v>40</v>
      </c>
      <c r="E8" s="4" t="s">
        <v>44</v>
      </c>
      <c r="F8" s="4" t="s">
        <v>47</v>
      </c>
      <c r="G8" s="4" t="s">
        <v>2</v>
      </c>
      <c r="H8" s="4" t="s">
        <v>9</v>
      </c>
      <c r="I8" s="4" t="s">
        <v>45</v>
      </c>
      <c r="J8" s="4" t="s">
        <v>46</v>
      </c>
      <c r="K8" s="4" t="s">
        <v>2</v>
      </c>
      <c r="L8" s="4" t="s">
        <v>4</v>
      </c>
      <c r="M8" s="4" t="s">
        <v>9</v>
      </c>
    </row>
    <row r="9" spans="4:13" x14ac:dyDescent="0.25">
      <c r="D9" s="4">
        <v>1</v>
      </c>
      <c r="E9">
        <v>126.9</v>
      </c>
      <c r="F9" s="16">
        <f>+E9*1.35</f>
        <v>171.31500000000003</v>
      </c>
      <c r="G9" s="18">
        <f>+F9-E9</f>
        <v>44.41500000000002</v>
      </c>
      <c r="H9" s="3">
        <f>+(F9/E9)-1</f>
        <v>0.35000000000000009</v>
      </c>
      <c r="I9" s="2">
        <f>1618.21*1.35</f>
        <v>2184.5835000000002</v>
      </c>
      <c r="J9" s="20">
        <f>+I9*1.35</f>
        <v>2949.1877250000002</v>
      </c>
      <c r="K9" s="17">
        <f>+J9-I9</f>
        <v>764.60422500000004</v>
      </c>
      <c r="L9" s="19">
        <f>+K9/12</f>
        <v>63.717018750000001</v>
      </c>
      <c r="M9" s="3">
        <f>+(J9/I9)-1</f>
        <v>0.35000000000000009</v>
      </c>
    </row>
    <row r="10" spans="4:13" x14ac:dyDescent="0.25">
      <c r="D10" s="4">
        <v>2</v>
      </c>
      <c r="E10">
        <v>105.3</v>
      </c>
      <c r="F10" s="16">
        <f t="shared" ref="F10:F20" si="0">+E10*1.35</f>
        <v>142.155</v>
      </c>
      <c r="G10" s="18">
        <f t="shared" ref="G10:G20" si="1">+F10-E10</f>
        <v>36.855000000000004</v>
      </c>
      <c r="H10" s="3">
        <f t="shared" ref="H10:H20" si="2">+(F10/E10)-1</f>
        <v>0.35000000000000009</v>
      </c>
      <c r="I10" s="2">
        <v>2052.19</v>
      </c>
      <c r="J10" s="20">
        <f>+I10*1.35</f>
        <v>2770.4565000000002</v>
      </c>
      <c r="K10" s="17">
        <f t="shared" ref="K10:K20" si="3">+J10-I10</f>
        <v>718.26650000000018</v>
      </c>
      <c r="L10" s="19">
        <f t="shared" ref="L10:L20" si="4">+K10/12</f>
        <v>59.855541666666682</v>
      </c>
      <c r="M10" s="3">
        <f t="shared" ref="M10:M20" si="5">+(J10/I10)-1</f>
        <v>0.35000000000000009</v>
      </c>
    </row>
    <row r="11" spans="4:13" x14ac:dyDescent="0.25">
      <c r="D11" s="4">
        <v>3</v>
      </c>
      <c r="E11">
        <v>87.5</v>
      </c>
      <c r="F11" s="16">
        <f t="shared" si="0"/>
        <v>118.12500000000001</v>
      </c>
      <c r="G11" s="18">
        <f t="shared" si="1"/>
        <v>30.625000000000014</v>
      </c>
      <c r="H11" s="3">
        <f t="shared" si="2"/>
        <v>0.35000000000000009</v>
      </c>
      <c r="I11" s="2">
        <v>1688.09</v>
      </c>
      <c r="J11" s="20">
        <f>+I11*1.35</f>
        <v>2278.9214999999999</v>
      </c>
      <c r="K11" s="17">
        <f t="shared" si="3"/>
        <v>590.83150000000001</v>
      </c>
      <c r="L11" s="19">
        <f t="shared" si="4"/>
        <v>49.235958333333336</v>
      </c>
      <c r="M11" s="3">
        <f t="shared" si="5"/>
        <v>0.35000000000000009</v>
      </c>
    </row>
    <row r="12" spans="4:13" x14ac:dyDescent="0.25">
      <c r="D12" s="4">
        <v>4</v>
      </c>
      <c r="E12">
        <v>77.5</v>
      </c>
      <c r="F12" s="16">
        <f t="shared" si="0"/>
        <v>104.625</v>
      </c>
      <c r="G12" s="18">
        <f t="shared" si="1"/>
        <v>27.125</v>
      </c>
      <c r="H12" s="3">
        <f t="shared" si="2"/>
        <v>0.35000000000000009</v>
      </c>
      <c r="I12" s="2">
        <v>1390.19</v>
      </c>
      <c r="J12" s="20">
        <f t="shared" ref="J12:J20" si="6">+I12*1.35</f>
        <v>1876.7565000000002</v>
      </c>
      <c r="K12" s="17">
        <f t="shared" si="3"/>
        <v>486.56650000000013</v>
      </c>
      <c r="L12" s="19">
        <f t="shared" si="4"/>
        <v>40.547208333333344</v>
      </c>
      <c r="M12" s="3">
        <f t="shared" si="5"/>
        <v>0.35000000000000009</v>
      </c>
    </row>
    <row r="13" spans="4:13" x14ac:dyDescent="0.25">
      <c r="D13" s="4">
        <v>5</v>
      </c>
      <c r="E13">
        <v>58.75</v>
      </c>
      <c r="F13" s="16">
        <f t="shared" si="0"/>
        <v>79.3125</v>
      </c>
      <c r="G13" s="18">
        <f t="shared" si="1"/>
        <v>20.5625</v>
      </c>
      <c r="H13" s="3">
        <f t="shared" si="2"/>
        <v>0.35000000000000009</v>
      </c>
      <c r="I13" s="2">
        <v>1125.4100000000001</v>
      </c>
      <c r="J13" s="20">
        <f>+I13*1.15</f>
        <v>1294.2215000000001</v>
      </c>
      <c r="K13" s="17">
        <f t="shared" si="3"/>
        <v>168.81150000000002</v>
      </c>
      <c r="L13" s="19">
        <f t="shared" si="4"/>
        <v>14.067625000000001</v>
      </c>
      <c r="M13" s="3">
        <f t="shared" si="5"/>
        <v>0.14999999999999991</v>
      </c>
    </row>
    <row r="14" spans="4:13" x14ac:dyDescent="0.25">
      <c r="D14" s="4">
        <v>6</v>
      </c>
      <c r="E14">
        <v>38.75</v>
      </c>
      <c r="F14" s="16">
        <f t="shared" si="0"/>
        <v>52.3125</v>
      </c>
      <c r="G14" s="18">
        <f t="shared" si="1"/>
        <v>13.5625</v>
      </c>
      <c r="H14" s="3">
        <f t="shared" si="2"/>
        <v>0.35000000000000009</v>
      </c>
      <c r="I14" s="2">
        <v>893.7</v>
      </c>
      <c r="J14" s="20">
        <f>+I14*1</f>
        <v>893.7</v>
      </c>
      <c r="K14" s="17">
        <f t="shared" si="3"/>
        <v>0</v>
      </c>
      <c r="L14" s="19">
        <f t="shared" si="4"/>
        <v>0</v>
      </c>
      <c r="M14" s="3">
        <f t="shared" si="5"/>
        <v>0</v>
      </c>
    </row>
    <row r="15" spans="4:13" hidden="1" x14ac:dyDescent="0.25">
      <c r="D15" s="4">
        <v>7</v>
      </c>
      <c r="E15">
        <v>38.75</v>
      </c>
      <c r="F15" s="16">
        <f t="shared" si="0"/>
        <v>52.3125</v>
      </c>
      <c r="G15" s="18">
        <f t="shared" si="1"/>
        <v>13.5625</v>
      </c>
      <c r="H15" s="3">
        <f t="shared" si="2"/>
        <v>0.35000000000000009</v>
      </c>
      <c r="I15" s="2">
        <v>490.37</v>
      </c>
      <c r="J15" s="20">
        <f t="shared" si="6"/>
        <v>661.99950000000001</v>
      </c>
      <c r="K15" s="17">
        <f t="shared" si="3"/>
        <v>171.62950000000001</v>
      </c>
      <c r="L15" s="19">
        <f t="shared" si="4"/>
        <v>14.302458333333334</v>
      </c>
      <c r="M15" s="3">
        <f t="shared" si="5"/>
        <v>0.35000000000000009</v>
      </c>
    </row>
    <row r="16" spans="4:13" hidden="1" x14ac:dyDescent="0.25">
      <c r="D16" s="4">
        <v>8</v>
      </c>
      <c r="E16">
        <v>38.75</v>
      </c>
      <c r="F16" s="16">
        <f t="shared" si="0"/>
        <v>52.3125</v>
      </c>
      <c r="G16" s="18">
        <f t="shared" si="1"/>
        <v>13.5625</v>
      </c>
      <c r="H16" s="3">
        <f t="shared" si="2"/>
        <v>0.35000000000000009</v>
      </c>
      <c r="I16" s="2">
        <v>490.37</v>
      </c>
      <c r="J16" s="20">
        <f t="shared" si="6"/>
        <v>661.99950000000001</v>
      </c>
      <c r="K16" s="17">
        <f t="shared" si="3"/>
        <v>171.62950000000001</v>
      </c>
      <c r="L16" s="19">
        <f t="shared" si="4"/>
        <v>14.302458333333334</v>
      </c>
      <c r="M16" s="3">
        <f t="shared" si="5"/>
        <v>0.35000000000000009</v>
      </c>
    </row>
    <row r="17" spans="4:26" hidden="1" x14ac:dyDescent="0.25">
      <c r="D17" s="4">
        <v>9</v>
      </c>
      <c r="E17">
        <v>18.75</v>
      </c>
      <c r="F17" s="16">
        <f t="shared" si="0"/>
        <v>25.3125</v>
      </c>
      <c r="G17" s="18">
        <f t="shared" si="1"/>
        <v>6.5625</v>
      </c>
      <c r="H17" s="3">
        <f t="shared" si="2"/>
        <v>0.35000000000000009</v>
      </c>
      <c r="I17" s="2">
        <v>490.37</v>
      </c>
      <c r="J17" s="20">
        <f t="shared" si="6"/>
        <v>661.99950000000001</v>
      </c>
      <c r="K17" s="17">
        <f t="shared" si="3"/>
        <v>171.62950000000001</v>
      </c>
      <c r="L17" s="19">
        <f t="shared" si="4"/>
        <v>14.302458333333334</v>
      </c>
      <c r="M17" s="3">
        <f t="shared" si="5"/>
        <v>0.35000000000000009</v>
      </c>
    </row>
    <row r="18" spans="4:26" x14ac:dyDescent="0.25">
      <c r="D18" s="4">
        <v>7</v>
      </c>
      <c r="E18">
        <v>97.5</v>
      </c>
      <c r="F18" s="16">
        <f t="shared" si="0"/>
        <v>131.625</v>
      </c>
      <c r="G18" s="18">
        <f t="shared" si="1"/>
        <v>34.125</v>
      </c>
      <c r="H18" s="3">
        <f t="shared" si="2"/>
        <v>0.35000000000000009</v>
      </c>
      <c r="I18" s="2">
        <v>2052.19</v>
      </c>
      <c r="J18" s="20">
        <f t="shared" si="6"/>
        <v>2770.4565000000002</v>
      </c>
      <c r="K18" s="17">
        <f t="shared" si="3"/>
        <v>718.26650000000018</v>
      </c>
      <c r="L18" s="19">
        <f t="shared" si="4"/>
        <v>59.855541666666682</v>
      </c>
      <c r="M18" s="3">
        <f t="shared" si="5"/>
        <v>0.35000000000000009</v>
      </c>
    </row>
    <row r="19" spans="4:26" x14ac:dyDescent="0.25">
      <c r="D19" s="4">
        <v>8</v>
      </c>
      <c r="E19">
        <v>87.5</v>
      </c>
      <c r="F19" s="16">
        <f t="shared" si="0"/>
        <v>118.12500000000001</v>
      </c>
      <c r="G19" s="18">
        <f t="shared" si="1"/>
        <v>30.625000000000014</v>
      </c>
      <c r="H19" s="3">
        <f t="shared" si="2"/>
        <v>0.35000000000000009</v>
      </c>
      <c r="I19" s="2">
        <v>1688.09</v>
      </c>
      <c r="J19" s="20">
        <f t="shared" si="6"/>
        <v>2278.9214999999999</v>
      </c>
      <c r="K19" s="17">
        <f t="shared" si="3"/>
        <v>590.83150000000001</v>
      </c>
      <c r="L19" s="19">
        <f t="shared" si="4"/>
        <v>49.235958333333336</v>
      </c>
      <c r="M19" s="3">
        <f t="shared" si="5"/>
        <v>0.35000000000000009</v>
      </c>
    </row>
    <row r="20" spans="4:26" x14ac:dyDescent="0.25">
      <c r="D20" s="4">
        <v>9</v>
      </c>
      <c r="E20">
        <v>117.5</v>
      </c>
      <c r="F20" s="16">
        <f t="shared" si="0"/>
        <v>158.625</v>
      </c>
      <c r="G20" s="18">
        <f t="shared" si="1"/>
        <v>41.125</v>
      </c>
      <c r="H20" s="3">
        <f t="shared" si="2"/>
        <v>0.35000000000000009</v>
      </c>
      <c r="I20" s="2">
        <v>2184.58</v>
      </c>
      <c r="J20" s="20">
        <f t="shared" si="6"/>
        <v>2949.183</v>
      </c>
      <c r="K20" s="17">
        <f t="shared" si="3"/>
        <v>764.60300000000007</v>
      </c>
      <c r="L20" s="19">
        <f t="shared" si="4"/>
        <v>63.71691666666667</v>
      </c>
      <c r="M20" s="3">
        <f t="shared" si="5"/>
        <v>0.35000000000000009</v>
      </c>
    </row>
    <row r="22" spans="4:26" ht="15.75" thickBot="1" x14ac:dyDescent="0.3"/>
    <row r="23" spans="4:26" ht="31.5" x14ac:dyDescent="0.25">
      <c r="G23" t="s">
        <v>10</v>
      </c>
      <c r="K23" t="s">
        <v>16</v>
      </c>
      <c r="N23" s="5" t="s">
        <v>17</v>
      </c>
      <c r="O23" s="7" t="s">
        <v>19</v>
      </c>
      <c r="P23" s="7" t="s">
        <v>21</v>
      </c>
      <c r="Q23" s="7" t="s">
        <v>23</v>
      </c>
      <c r="R23" s="7" t="s">
        <v>25</v>
      </c>
      <c r="S23" s="7" t="s">
        <v>27</v>
      </c>
      <c r="U23" s="5" t="s">
        <v>17</v>
      </c>
      <c r="V23" s="7" t="s">
        <v>19</v>
      </c>
      <c r="W23" s="7" t="s">
        <v>21</v>
      </c>
      <c r="X23" s="7" t="s">
        <v>23</v>
      </c>
      <c r="Y23" s="7" t="s">
        <v>25</v>
      </c>
      <c r="Z23" s="7" t="s">
        <v>27</v>
      </c>
    </row>
    <row r="24" spans="4:26" ht="32.25" thickBot="1" x14ac:dyDescent="0.3">
      <c r="F24" t="s">
        <v>15</v>
      </c>
      <c r="I24">
        <v>3</v>
      </c>
      <c r="K24">
        <f>+I24*3</f>
        <v>9</v>
      </c>
      <c r="N24" s="6" t="s">
        <v>18</v>
      </c>
      <c r="O24" s="8" t="s">
        <v>20</v>
      </c>
      <c r="P24" s="8" t="s">
        <v>22</v>
      </c>
      <c r="Q24" s="8" t="s">
        <v>24</v>
      </c>
      <c r="R24" s="8" t="s">
        <v>26</v>
      </c>
      <c r="S24" s="8" t="s">
        <v>26</v>
      </c>
      <c r="U24" s="6" t="s">
        <v>18</v>
      </c>
      <c r="V24" s="8" t="s">
        <v>20</v>
      </c>
      <c r="W24" s="8" t="s">
        <v>22</v>
      </c>
      <c r="X24" s="8" t="s">
        <v>24</v>
      </c>
      <c r="Y24" s="8" t="s">
        <v>26</v>
      </c>
      <c r="Z24" s="8" t="s">
        <v>26</v>
      </c>
    </row>
    <row r="25" spans="4:26" ht="16.5" thickBot="1" x14ac:dyDescent="0.3">
      <c r="F25" t="s">
        <v>11</v>
      </c>
      <c r="I25">
        <v>12</v>
      </c>
      <c r="K25">
        <f t="shared" ref="K25:K28" si="7">+I25*3</f>
        <v>36</v>
      </c>
      <c r="N25" s="6">
        <v>2013</v>
      </c>
      <c r="O25" s="14">
        <v>72</v>
      </c>
      <c r="P25" s="14">
        <v>126</v>
      </c>
      <c r="Q25" s="14">
        <v>225</v>
      </c>
      <c r="R25" s="14">
        <v>558</v>
      </c>
      <c r="S25" s="14">
        <v>1170</v>
      </c>
      <c r="U25" s="6">
        <v>2014</v>
      </c>
      <c r="V25" s="14">
        <v>320</v>
      </c>
      <c r="W25" s="14">
        <f>463*1.2+0.4</f>
        <v>556</v>
      </c>
      <c r="X25" s="14">
        <f>804*1.2+0.2</f>
        <v>965</v>
      </c>
      <c r="Y25" s="14">
        <f>1945*1.2</f>
        <v>2334</v>
      </c>
      <c r="Z25" s="14">
        <f>4037*1.2+0.6</f>
        <v>4845</v>
      </c>
    </row>
    <row r="26" spans="4:26" ht="16.5" thickBot="1" x14ac:dyDescent="0.3">
      <c r="F26" t="s">
        <v>12</v>
      </c>
      <c r="I26">
        <v>5</v>
      </c>
      <c r="K26">
        <f t="shared" si="7"/>
        <v>15</v>
      </c>
      <c r="N26" s="6">
        <v>2012</v>
      </c>
      <c r="O26" s="14">
        <v>63</v>
      </c>
      <c r="P26" s="14">
        <v>114</v>
      </c>
      <c r="Q26" s="13">
        <v>212</v>
      </c>
      <c r="R26" s="13">
        <v>515</v>
      </c>
      <c r="S26" s="15">
        <v>1088</v>
      </c>
      <c r="U26" s="6">
        <v>2013</v>
      </c>
      <c r="V26" s="14">
        <v>260</v>
      </c>
      <c r="W26" s="14">
        <f>380*1.2</f>
        <v>456</v>
      </c>
      <c r="X26" s="13">
        <f>659*1.2</f>
        <v>790.8</v>
      </c>
      <c r="Y26" s="13">
        <f>1595*1.2</f>
        <v>1914</v>
      </c>
      <c r="Z26" s="15">
        <f>3311*1.2</f>
        <v>3973.2</v>
      </c>
    </row>
    <row r="27" spans="4:26" ht="16.5" thickBot="1" x14ac:dyDescent="0.3">
      <c r="F27" t="s">
        <v>13</v>
      </c>
      <c r="I27">
        <v>5</v>
      </c>
      <c r="K27">
        <f t="shared" si="7"/>
        <v>15</v>
      </c>
      <c r="N27" s="6">
        <v>2011</v>
      </c>
      <c r="O27" s="14">
        <v>51</v>
      </c>
      <c r="P27" s="13">
        <v>92</v>
      </c>
      <c r="Q27" s="13">
        <v>170</v>
      </c>
      <c r="R27" s="13">
        <v>413</v>
      </c>
      <c r="S27" s="14">
        <v>870</v>
      </c>
      <c r="U27" s="6">
        <v>2012</v>
      </c>
      <c r="V27" s="14">
        <v>230</v>
      </c>
      <c r="W27" s="13">
        <f>345*1.2</f>
        <v>414</v>
      </c>
      <c r="X27" s="13">
        <f>600*1.2</f>
        <v>720</v>
      </c>
      <c r="Y27" s="13">
        <f>1450*1.2</f>
        <v>1740</v>
      </c>
      <c r="Z27" s="14">
        <f>3010*1.2</f>
        <v>3612</v>
      </c>
    </row>
    <row r="28" spans="4:26" ht="16.5" thickBot="1" x14ac:dyDescent="0.3">
      <c r="F28" t="s">
        <v>14</v>
      </c>
      <c r="I28">
        <v>15</v>
      </c>
      <c r="K28">
        <f t="shared" si="7"/>
        <v>45</v>
      </c>
      <c r="N28" s="9">
        <v>2010</v>
      </c>
      <c r="O28" s="14">
        <v>45</v>
      </c>
      <c r="P28" s="13">
        <v>83</v>
      </c>
      <c r="Q28" s="14">
        <v>150</v>
      </c>
      <c r="R28" s="13">
        <v>368</v>
      </c>
      <c r="S28" s="14">
        <v>777</v>
      </c>
      <c r="U28" s="6">
        <v>2011</v>
      </c>
      <c r="V28" s="14">
        <v>212</v>
      </c>
      <c r="W28" s="13">
        <f>308*1.2</f>
        <v>369.59999999999997</v>
      </c>
      <c r="X28" s="14">
        <f>534*1.2+0.2</f>
        <v>641</v>
      </c>
      <c r="Y28" s="13">
        <f>1289*1.2</f>
        <v>1546.8</v>
      </c>
      <c r="Z28" s="14">
        <f>2679*1.2+0.2</f>
        <v>3214.9999999999995</v>
      </c>
    </row>
    <row r="29" spans="4:26" ht="16.5" thickBot="1" x14ac:dyDescent="0.3">
      <c r="N29" s="11">
        <v>2009</v>
      </c>
      <c r="O29" s="13">
        <v>41</v>
      </c>
      <c r="P29" s="13">
        <v>74</v>
      </c>
      <c r="Q29" s="14">
        <v>135</v>
      </c>
      <c r="R29" s="13">
        <v>305</v>
      </c>
      <c r="S29" s="14">
        <v>699</v>
      </c>
      <c r="U29" s="6">
        <v>2010</v>
      </c>
      <c r="V29" s="13">
        <v>190</v>
      </c>
      <c r="W29" s="13">
        <f>277*1.2</f>
        <v>332.4</v>
      </c>
      <c r="X29" s="14">
        <f>478*1.2+0.4</f>
        <v>574</v>
      </c>
      <c r="Y29" s="13">
        <f>1159*1.2</f>
        <v>1390.8</v>
      </c>
      <c r="Z29" s="14">
        <f>2408*1.2+0.4</f>
        <v>2890</v>
      </c>
    </row>
    <row r="30" spans="4:26" ht="16.5" thickBot="1" x14ac:dyDescent="0.3">
      <c r="I30">
        <f>SUM(I24:I27)</f>
        <v>25</v>
      </c>
      <c r="K30">
        <f>SUM(K24:K27)</f>
        <v>75</v>
      </c>
      <c r="N30" s="6">
        <v>2008</v>
      </c>
      <c r="O30" s="13">
        <v>38</v>
      </c>
      <c r="P30" s="14">
        <v>66</v>
      </c>
      <c r="Q30" s="13">
        <v>125</v>
      </c>
      <c r="R30" s="13">
        <v>302</v>
      </c>
      <c r="S30" s="13">
        <v>638</v>
      </c>
      <c r="U30" s="6">
        <v>2009</v>
      </c>
      <c r="V30" s="13">
        <v>170</v>
      </c>
      <c r="W30" s="14">
        <f>250*1.2</f>
        <v>300</v>
      </c>
      <c r="X30" s="13">
        <f>438*1.2</f>
        <v>525.6</v>
      </c>
      <c r="Y30" s="13">
        <f>1060*1.2</f>
        <v>1272</v>
      </c>
      <c r="Z30" s="13">
        <f>2197*1.2</f>
        <v>2636.4</v>
      </c>
    </row>
    <row r="31" spans="4:26" ht="16.5" thickBot="1" x14ac:dyDescent="0.3">
      <c r="I31">
        <f>+I28*5</f>
        <v>75</v>
      </c>
      <c r="K31">
        <f>+K28*5</f>
        <v>225</v>
      </c>
      <c r="N31" s="6">
        <v>2007</v>
      </c>
      <c r="O31" s="14">
        <v>33</v>
      </c>
      <c r="P31" s="13">
        <v>59</v>
      </c>
      <c r="Q31" s="13">
        <v>110</v>
      </c>
      <c r="R31" s="14">
        <v>264</v>
      </c>
      <c r="S31" s="13">
        <v>560</v>
      </c>
      <c r="U31" s="6">
        <v>2008</v>
      </c>
      <c r="V31" s="14">
        <v>160</v>
      </c>
      <c r="W31" s="13">
        <f>232*1.2</f>
        <v>278.39999999999998</v>
      </c>
      <c r="X31" s="13">
        <f>401*1.2</f>
        <v>481.2</v>
      </c>
      <c r="Y31" s="14">
        <f>967*1.2+0.6</f>
        <v>1160.9999999999998</v>
      </c>
      <c r="Z31" s="13">
        <f>2006*1.2</f>
        <v>2407.1999999999998</v>
      </c>
    </row>
    <row r="32" spans="4:26" ht="16.5" thickBot="1" x14ac:dyDescent="0.3">
      <c r="I32">
        <f>+I31+I30</f>
        <v>100</v>
      </c>
      <c r="K32">
        <f>+K31+K30</f>
        <v>300</v>
      </c>
      <c r="N32" s="6">
        <v>2006</v>
      </c>
      <c r="O32" s="13">
        <v>29</v>
      </c>
      <c r="P32" s="13">
        <v>53</v>
      </c>
      <c r="Q32" s="14">
        <v>96</v>
      </c>
      <c r="R32" s="13">
        <v>236</v>
      </c>
      <c r="S32" s="13">
        <v>497</v>
      </c>
      <c r="U32" s="6">
        <v>2007</v>
      </c>
      <c r="V32" s="13">
        <f>117*1.2</f>
        <v>140.4</v>
      </c>
      <c r="W32" s="13">
        <f>203*1.2</f>
        <v>243.6</v>
      </c>
      <c r="X32" s="14">
        <f>363*1.2+0.4</f>
        <v>435.99999999999994</v>
      </c>
      <c r="Y32" s="13">
        <f>899*1.2</f>
        <v>1078.8</v>
      </c>
      <c r="Z32" s="13">
        <f>1884*1.2</f>
        <v>2260.7999999999997</v>
      </c>
    </row>
    <row r="33" spans="14:30" ht="16.5" thickBot="1" x14ac:dyDescent="0.3">
      <c r="N33" s="6">
        <v>2005</v>
      </c>
      <c r="O33" s="13">
        <v>26</v>
      </c>
      <c r="P33" s="14">
        <v>48</v>
      </c>
      <c r="Q33" s="14">
        <v>87</v>
      </c>
      <c r="R33" s="14">
        <v>213</v>
      </c>
      <c r="S33" s="14">
        <v>450</v>
      </c>
      <c r="U33" s="6">
        <v>2006</v>
      </c>
      <c r="V33" s="13">
        <f>101*1.2</f>
        <v>121.19999999999999</v>
      </c>
      <c r="W33" s="14">
        <f>184*1.2+0.2</f>
        <v>220.99999999999997</v>
      </c>
      <c r="X33" s="14">
        <f>341*1.2+0.8</f>
        <v>410</v>
      </c>
      <c r="Y33" s="14">
        <f>828*1.2+0.4</f>
        <v>993.99999999999989</v>
      </c>
      <c r="Z33" s="14">
        <f>1753*1.2+0.4</f>
        <v>2104</v>
      </c>
    </row>
    <row r="34" spans="14:30" ht="16.5" thickBot="1" x14ac:dyDescent="0.3">
      <c r="N34" s="6">
        <v>2004</v>
      </c>
      <c r="O34" s="14">
        <v>24</v>
      </c>
      <c r="P34" s="14">
        <v>42</v>
      </c>
      <c r="Q34" s="14">
        <v>78</v>
      </c>
      <c r="R34" s="13">
        <v>191</v>
      </c>
      <c r="S34" s="13">
        <v>404</v>
      </c>
      <c r="U34" s="6">
        <v>2005</v>
      </c>
      <c r="V34" s="14">
        <f>81*1.2+0.8</f>
        <v>98</v>
      </c>
      <c r="W34" s="14">
        <f>147*1.2+0.6</f>
        <v>177</v>
      </c>
      <c r="X34" s="14">
        <f>272*1.2+0.6</f>
        <v>327</v>
      </c>
      <c r="Y34" s="13">
        <f>666*1.2</f>
        <v>799.19999999999993</v>
      </c>
      <c r="Z34" s="13">
        <f>1401*1.2</f>
        <v>1681.2</v>
      </c>
    </row>
    <row r="35" spans="14:30" ht="16.5" thickBot="1" x14ac:dyDescent="0.3">
      <c r="N35" s="6">
        <v>2003</v>
      </c>
      <c r="O35" s="14">
        <v>21</v>
      </c>
      <c r="P35" s="13">
        <v>38</v>
      </c>
      <c r="Q35" s="14">
        <v>69</v>
      </c>
      <c r="R35" s="13">
        <v>170</v>
      </c>
      <c r="S35" s="14">
        <v>357</v>
      </c>
      <c r="U35" s="6">
        <v>2004</v>
      </c>
      <c r="V35" s="14">
        <f>73*1.2+0.4</f>
        <v>88</v>
      </c>
      <c r="W35" s="13">
        <f>134*1.2</f>
        <v>160.79999999999998</v>
      </c>
      <c r="X35" s="14">
        <f>242*1.2+0.6</f>
        <v>291</v>
      </c>
      <c r="Y35" s="13">
        <f>593*1.2</f>
        <v>711.6</v>
      </c>
      <c r="Z35" s="14">
        <f>1252*1.2+0.6</f>
        <v>1502.9999999999998</v>
      </c>
    </row>
    <row r="36" spans="14:30" ht="16.5" thickBot="1" x14ac:dyDescent="0.3">
      <c r="N36" s="6">
        <v>2002</v>
      </c>
      <c r="O36" s="14">
        <v>18</v>
      </c>
      <c r="P36" s="14">
        <v>33</v>
      </c>
      <c r="Q36" s="14">
        <v>60</v>
      </c>
      <c r="R36" s="14">
        <v>147</v>
      </c>
      <c r="S36" s="13">
        <v>311</v>
      </c>
      <c r="U36" s="6">
        <v>2003</v>
      </c>
      <c r="V36" s="14">
        <f>66*1.2+0.8</f>
        <v>80</v>
      </c>
      <c r="W36" s="14">
        <f>118*1.2+0.4</f>
        <v>142</v>
      </c>
      <c r="X36" s="14">
        <f>218*1.2+0.4</f>
        <v>261.99999999999994</v>
      </c>
      <c r="Y36" s="14">
        <f>490*1.2</f>
        <v>588</v>
      </c>
      <c r="Z36" s="13">
        <f>1127*1.2</f>
        <v>1352.3999999999999</v>
      </c>
    </row>
    <row r="37" spans="14:30" ht="16.5" thickBot="1" x14ac:dyDescent="0.3">
      <c r="N37" s="6">
        <v>2001</v>
      </c>
      <c r="O37" s="14">
        <v>15</v>
      </c>
      <c r="P37" s="13">
        <v>29</v>
      </c>
      <c r="Q37" s="14">
        <v>51</v>
      </c>
      <c r="R37" s="13">
        <v>125</v>
      </c>
      <c r="S37" s="14">
        <v>264</v>
      </c>
      <c r="U37" s="6">
        <v>2002</v>
      </c>
      <c r="V37" s="14">
        <f>61*1.2+0.8</f>
        <v>74</v>
      </c>
      <c r="W37" s="13">
        <f>105*1.2</f>
        <v>126</v>
      </c>
      <c r="X37" s="14">
        <f>199*1.2+0.2</f>
        <v>238.99999999999997</v>
      </c>
      <c r="Y37" s="13">
        <f>485*1.2</f>
        <v>582</v>
      </c>
      <c r="Z37" s="14">
        <f>1028*1.2+0.4</f>
        <v>1234</v>
      </c>
    </row>
    <row r="38" spans="14:30" ht="32.25" thickBot="1" x14ac:dyDescent="0.3">
      <c r="N38" s="6" t="s">
        <v>28</v>
      </c>
      <c r="O38" s="13">
        <v>14</v>
      </c>
      <c r="P38" s="13">
        <v>26</v>
      </c>
      <c r="Q38" s="14">
        <v>45</v>
      </c>
      <c r="R38" s="13">
        <v>113</v>
      </c>
      <c r="S38" s="14">
        <v>237</v>
      </c>
      <c r="U38" s="6" t="s">
        <v>38</v>
      </c>
      <c r="V38" s="13">
        <f>52*1.2</f>
        <v>62.4</v>
      </c>
      <c r="W38" s="13">
        <f>95*1.2</f>
        <v>114</v>
      </c>
      <c r="X38" s="14">
        <f>176*1.2+0.8</f>
        <v>212</v>
      </c>
      <c r="Y38" s="13">
        <f>426*1.2</f>
        <v>511.2</v>
      </c>
      <c r="Z38" s="14">
        <f>901*1.2+0.8</f>
        <v>1082</v>
      </c>
    </row>
    <row r="42" spans="14:30" ht="15.75" thickBot="1" x14ac:dyDescent="0.3"/>
    <row r="43" spans="14:30" ht="31.5" x14ac:dyDescent="0.25">
      <c r="P43" s="5" t="s">
        <v>17</v>
      </c>
      <c r="Q43" s="7" t="s">
        <v>19</v>
      </c>
      <c r="R43" s="7" t="s">
        <v>30</v>
      </c>
      <c r="S43" s="7" t="s">
        <v>21</v>
      </c>
      <c r="T43" s="7" t="s">
        <v>33</v>
      </c>
      <c r="U43" s="7" t="s">
        <v>35</v>
      </c>
      <c r="V43" s="7" t="s">
        <v>27</v>
      </c>
      <c r="X43" s="5" t="s">
        <v>17</v>
      </c>
      <c r="Y43" s="7" t="s">
        <v>19</v>
      </c>
      <c r="Z43" s="7" t="s">
        <v>30</v>
      </c>
      <c r="AA43" s="7" t="s">
        <v>21</v>
      </c>
      <c r="AB43" s="7" t="s">
        <v>33</v>
      </c>
      <c r="AC43" s="7" t="s">
        <v>35</v>
      </c>
      <c r="AD43" s="7" t="s">
        <v>27</v>
      </c>
    </row>
    <row r="44" spans="14:30" ht="16.5" thickBot="1" x14ac:dyDescent="0.3">
      <c r="P44" s="6" t="s">
        <v>18</v>
      </c>
      <c r="Q44" s="8" t="s">
        <v>29</v>
      </c>
      <c r="R44" s="8" t="s">
        <v>31</v>
      </c>
      <c r="S44" s="8" t="s">
        <v>32</v>
      </c>
      <c r="T44" s="8" t="s">
        <v>34</v>
      </c>
      <c r="U44" s="8" t="s">
        <v>36</v>
      </c>
      <c r="V44" s="8" t="s">
        <v>36</v>
      </c>
      <c r="X44" s="6" t="s">
        <v>18</v>
      </c>
      <c r="Y44" s="8" t="s">
        <v>29</v>
      </c>
      <c r="Z44" s="8" t="s">
        <v>31</v>
      </c>
      <c r="AA44" s="8" t="s">
        <v>32</v>
      </c>
      <c r="AB44" s="8" t="s">
        <v>34</v>
      </c>
      <c r="AC44" s="8" t="s">
        <v>36</v>
      </c>
      <c r="AD44" s="8" t="s">
        <v>36</v>
      </c>
    </row>
    <row r="45" spans="14:30" ht="16.5" thickBot="1" x14ac:dyDescent="0.3">
      <c r="P45" s="9">
        <v>2013</v>
      </c>
      <c r="Q45" s="10">
        <v>39</v>
      </c>
      <c r="R45" s="10">
        <v>108</v>
      </c>
      <c r="S45" s="10">
        <v>180</v>
      </c>
      <c r="T45" s="10">
        <v>156</v>
      </c>
      <c r="U45" s="10">
        <v>234</v>
      </c>
      <c r="V45" s="10">
        <v>648</v>
      </c>
      <c r="X45" s="9">
        <v>2014</v>
      </c>
      <c r="Y45" s="14">
        <f>149*1.2+0.2</f>
        <v>178.99999999999997</v>
      </c>
      <c r="Z45" s="14">
        <f>216*1.25</f>
        <v>270</v>
      </c>
      <c r="AA45" s="14">
        <f>300*1.3</f>
        <v>390</v>
      </c>
      <c r="AB45" s="14">
        <f>351*1.35+0.15</f>
        <v>474</v>
      </c>
      <c r="AC45" s="14">
        <f>972*1.4-0.8</f>
        <v>1360</v>
      </c>
      <c r="AD45" s="14">
        <f>1217*1.5+0.5</f>
        <v>1826</v>
      </c>
    </row>
    <row r="46" spans="14:30" ht="16.5" thickBot="1" x14ac:dyDescent="0.3">
      <c r="P46" s="11">
        <f>+P45-1</f>
        <v>2012</v>
      </c>
      <c r="Q46" s="12">
        <v>33</v>
      </c>
      <c r="R46" s="12">
        <v>99</v>
      </c>
      <c r="S46" s="12">
        <v>162</v>
      </c>
      <c r="T46" s="12">
        <v>144</v>
      </c>
      <c r="U46" s="12">
        <v>216</v>
      </c>
      <c r="V46" s="12">
        <v>585</v>
      </c>
      <c r="X46" s="11">
        <v>2013</v>
      </c>
      <c r="Y46" s="14">
        <f>122*1.2+0.6</f>
        <v>147</v>
      </c>
      <c r="Z46" s="14">
        <f>200*1.25</f>
        <v>250</v>
      </c>
      <c r="AA46" s="14">
        <f>260*1.3</f>
        <v>338</v>
      </c>
      <c r="AB46" s="14">
        <f>324*1.35+0.6</f>
        <v>438.00000000000006</v>
      </c>
      <c r="AC46" s="14">
        <f>878*1.4+0.8</f>
        <v>1229.9999999999998</v>
      </c>
      <c r="AD46" s="14">
        <f>997*1.5+0.5</f>
        <v>1496</v>
      </c>
    </row>
    <row r="47" spans="14:30" ht="16.5" thickBot="1" x14ac:dyDescent="0.3">
      <c r="P47" s="11">
        <f t="shared" ref="P47:P57" si="8">+P46-1</f>
        <v>2011</v>
      </c>
      <c r="Q47" s="8">
        <v>27</v>
      </c>
      <c r="R47" s="8">
        <v>83</v>
      </c>
      <c r="S47" s="8">
        <v>126</v>
      </c>
      <c r="T47" s="8">
        <v>120</v>
      </c>
      <c r="U47" s="8">
        <v>180</v>
      </c>
      <c r="V47" s="8">
        <v>450</v>
      </c>
      <c r="X47" s="9">
        <v>2012</v>
      </c>
      <c r="Y47" s="14">
        <f>110*1.2</f>
        <v>132</v>
      </c>
      <c r="Z47" s="13">
        <f>160*1.25</f>
        <v>200</v>
      </c>
      <c r="AA47" s="14">
        <f>200*1.3</f>
        <v>260</v>
      </c>
      <c r="AB47" s="14">
        <f>270*1.35+0.5</f>
        <v>365</v>
      </c>
      <c r="AC47" s="14">
        <f>675*1.4</f>
        <v>944.99999999999989</v>
      </c>
      <c r="AD47" s="14">
        <f>908*1.5</f>
        <v>1362</v>
      </c>
    </row>
    <row r="48" spans="14:30" ht="16.5" thickBot="1" x14ac:dyDescent="0.3">
      <c r="P48" s="11">
        <f t="shared" si="8"/>
        <v>2010</v>
      </c>
      <c r="Q48" s="8">
        <v>23</v>
      </c>
      <c r="R48" s="8">
        <v>74</v>
      </c>
      <c r="S48" s="8">
        <v>117</v>
      </c>
      <c r="T48" s="8">
        <v>111</v>
      </c>
      <c r="U48" s="8">
        <v>167</v>
      </c>
      <c r="V48" s="8">
        <v>405</v>
      </c>
      <c r="X48" s="11">
        <v>2011</v>
      </c>
      <c r="Y48" s="13">
        <f>100*1.2</f>
        <v>120</v>
      </c>
      <c r="Z48" s="13">
        <f>140*1.25</f>
        <v>175</v>
      </c>
      <c r="AA48" s="13">
        <f>190*1.3</f>
        <v>247</v>
      </c>
      <c r="AB48" s="13">
        <f>251*1.35</f>
        <v>338.85</v>
      </c>
      <c r="AC48" s="13">
        <f>608*1.4</f>
        <v>851.19999999999993</v>
      </c>
      <c r="AD48" s="13">
        <f>808*1.5</f>
        <v>1212</v>
      </c>
    </row>
    <row r="49" spans="16:30" ht="16.5" thickBot="1" x14ac:dyDescent="0.3">
      <c r="P49" s="11">
        <f t="shared" si="8"/>
        <v>2009</v>
      </c>
      <c r="Q49" s="8"/>
      <c r="R49" s="8">
        <v>65</v>
      </c>
      <c r="S49" s="8">
        <v>108</v>
      </c>
      <c r="T49" s="8">
        <v>96</v>
      </c>
      <c r="U49" s="8">
        <v>144</v>
      </c>
      <c r="V49" s="8">
        <v>360</v>
      </c>
      <c r="X49" s="9">
        <v>2010</v>
      </c>
      <c r="Y49" s="13"/>
      <c r="Z49" s="13">
        <f>120*1.25</f>
        <v>150</v>
      </c>
      <c r="AA49" s="13">
        <f>180*1.3</f>
        <v>234</v>
      </c>
      <c r="AB49" s="13">
        <f>216*1.35</f>
        <v>291.60000000000002</v>
      </c>
      <c r="AC49" s="13">
        <f>540*1.4</f>
        <v>756</v>
      </c>
      <c r="AD49" s="13">
        <f>725*1.5</f>
        <v>1087.5</v>
      </c>
    </row>
    <row r="50" spans="16:30" ht="16.5" thickBot="1" x14ac:dyDescent="0.3">
      <c r="P50" s="11">
        <f t="shared" si="8"/>
        <v>2008</v>
      </c>
      <c r="Q50" s="8"/>
      <c r="R50" s="8">
        <v>59</v>
      </c>
      <c r="S50" s="8">
        <v>90</v>
      </c>
      <c r="T50" s="8">
        <v>84</v>
      </c>
      <c r="U50" s="8">
        <v>126</v>
      </c>
      <c r="V50" s="8">
        <v>315</v>
      </c>
      <c r="X50" s="11">
        <v>2009</v>
      </c>
      <c r="Y50" s="13"/>
      <c r="Z50" s="13">
        <f>110*1.25</f>
        <v>137.5</v>
      </c>
      <c r="AA50" s="13">
        <f>170*1.3</f>
        <v>221</v>
      </c>
      <c r="AB50" s="13">
        <f>189*1.35</f>
        <v>255.15</v>
      </c>
      <c r="AC50" s="13">
        <f>473*1.4</f>
        <v>662.19999999999993</v>
      </c>
      <c r="AD50" s="13">
        <f>661*1.5</f>
        <v>991.5</v>
      </c>
    </row>
    <row r="51" spans="16:30" ht="16.5" thickBot="1" x14ac:dyDescent="0.3">
      <c r="P51" s="11">
        <f t="shared" si="8"/>
        <v>2007</v>
      </c>
      <c r="Q51" s="8"/>
      <c r="R51" s="8">
        <v>53</v>
      </c>
      <c r="S51" s="8">
        <v>81</v>
      </c>
      <c r="T51" s="8">
        <v>75</v>
      </c>
      <c r="U51" s="8">
        <v>113</v>
      </c>
      <c r="V51" s="8">
        <v>279</v>
      </c>
      <c r="X51" s="9">
        <v>2008</v>
      </c>
      <c r="Y51" s="13"/>
      <c r="Z51" s="13">
        <f>100*1.25</f>
        <v>125</v>
      </c>
      <c r="AA51" s="13">
        <f>160*1.3</f>
        <v>208</v>
      </c>
      <c r="AB51" s="13">
        <f>170*1.35</f>
        <v>229.50000000000003</v>
      </c>
      <c r="AC51" s="13">
        <f>419*1.4</f>
        <v>586.59999999999991</v>
      </c>
      <c r="AD51" s="13">
        <f>605*1.5</f>
        <v>907.5</v>
      </c>
    </row>
    <row r="52" spans="16:30" ht="16.5" thickBot="1" x14ac:dyDescent="0.3">
      <c r="P52" s="11">
        <f t="shared" si="8"/>
        <v>2006</v>
      </c>
      <c r="Q52" s="8"/>
      <c r="R52" s="8">
        <v>44</v>
      </c>
      <c r="S52" s="8">
        <v>72</v>
      </c>
      <c r="T52" s="8">
        <v>66</v>
      </c>
      <c r="U52" s="8">
        <v>99</v>
      </c>
      <c r="V52" s="8">
        <v>252</v>
      </c>
      <c r="X52" s="11">
        <v>2007</v>
      </c>
      <c r="Y52" s="13"/>
      <c r="Z52" s="13">
        <f>90*1.25</f>
        <v>112.5</v>
      </c>
      <c r="AA52" s="13">
        <f>150*1.3</f>
        <v>195</v>
      </c>
      <c r="AB52" s="13">
        <f>149*1.35</f>
        <v>201.15</v>
      </c>
      <c r="AC52" s="13">
        <f>378*1.4</f>
        <v>529.19999999999993</v>
      </c>
      <c r="AD52" s="13">
        <f>564*1.5</f>
        <v>846</v>
      </c>
    </row>
    <row r="53" spans="16:30" ht="16.5" thickBot="1" x14ac:dyDescent="0.3">
      <c r="P53" s="11">
        <f t="shared" si="8"/>
        <v>2005</v>
      </c>
      <c r="Q53" s="8"/>
      <c r="R53" s="8">
        <v>38</v>
      </c>
      <c r="S53" s="8">
        <v>63</v>
      </c>
      <c r="T53" s="8">
        <v>60</v>
      </c>
      <c r="U53" s="8">
        <v>90</v>
      </c>
      <c r="V53" s="8">
        <v>225</v>
      </c>
      <c r="X53" s="9">
        <v>2006</v>
      </c>
      <c r="Y53" s="13"/>
      <c r="Z53" s="13">
        <f>80*1.25</f>
        <v>100</v>
      </c>
      <c r="AA53" s="13">
        <f>140*1.3</f>
        <v>182</v>
      </c>
      <c r="AB53" s="13">
        <f>135*1.35</f>
        <v>182.25</v>
      </c>
      <c r="AC53" s="13">
        <f>338*1.4</f>
        <v>473.2</v>
      </c>
      <c r="AD53" s="13">
        <f>507*1.5</f>
        <v>760.5</v>
      </c>
    </row>
    <row r="54" spans="16:30" ht="16.5" thickBot="1" x14ac:dyDescent="0.3">
      <c r="P54" s="11">
        <f t="shared" si="8"/>
        <v>2004</v>
      </c>
      <c r="Q54" s="8"/>
      <c r="R54" s="8">
        <v>35</v>
      </c>
      <c r="S54" s="8">
        <v>54</v>
      </c>
      <c r="T54" s="8">
        <v>51</v>
      </c>
      <c r="U54" s="8">
        <v>77</v>
      </c>
      <c r="V54" s="8">
        <v>207</v>
      </c>
      <c r="X54" s="11">
        <v>2005</v>
      </c>
      <c r="Y54" s="13"/>
      <c r="Z54" s="13">
        <f>70*1.25</f>
        <v>87.5</v>
      </c>
      <c r="AA54" s="13">
        <f>130*1.3</f>
        <v>169</v>
      </c>
      <c r="AB54" s="13">
        <f>116*1.35</f>
        <v>156.60000000000002</v>
      </c>
      <c r="AC54" s="13">
        <f>311*1.4</f>
        <v>435.4</v>
      </c>
      <c r="AD54" s="13">
        <f>434*1.5</f>
        <v>651</v>
      </c>
    </row>
    <row r="55" spans="16:30" ht="16.5" thickBot="1" x14ac:dyDescent="0.3">
      <c r="P55" s="11">
        <f t="shared" si="8"/>
        <v>2003</v>
      </c>
      <c r="Q55" s="8"/>
      <c r="R55" s="8">
        <v>32</v>
      </c>
      <c r="S55" s="8">
        <v>50</v>
      </c>
      <c r="T55" s="8">
        <v>42</v>
      </c>
      <c r="U55" s="8">
        <v>63</v>
      </c>
      <c r="V55" s="8">
        <v>180</v>
      </c>
      <c r="X55" s="9">
        <v>2004</v>
      </c>
      <c r="Y55" s="13"/>
      <c r="Z55" s="13">
        <f>60*1.25</f>
        <v>75</v>
      </c>
      <c r="AA55" s="13">
        <f>120*1.3</f>
        <v>156</v>
      </c>
      <c r="AB55" s="13">
        <f>95*1.35</f>
        <v>128.25</v>
      </c>
      <c r="AC55" s="13">
        <f>270*1.4</f>
        <v>378</v>
      </c>
      <c r="AD55" s="13">
        <f>407*1.5</f>
        <v>610.5</v>
      </c>
    </row>
    <row r="56" spans="16:30" ht="16.5" thickBot="1" x14ac:dyDescent="0.3">
      <c r="P56" s="11">
        <f t="shared" si="8"/>
        <v>2002</v>
      </c>
      <c r="Q56" s="8"/>
      <c r="R56" s="8">
        <v>27</v>
      </c>
      <c r="S56" s="8">
        <v>41</v>
      </c>
      <c r="T56" s="8">
        <v>37</v>
      </c>
      <c r="U56" s="8">
        <v>56</v>
      </c>
      <c r="V56" s="8">
        <v>153</v>
      </c>
      <c r="X56" s="11">
        <v>2003</v>
      </c>
      <c r="Y56" s="13"/>
      <c r="Z56" s="13">
        <f>50*1.25</f>
        <v>62.5</v>
      </c>
      <c r="AA56" s="13">
        <f>110*1.3</f>
        <v>143</v>
      </c>
      <c r="AB56" s="13">
        <f>84*1.35</f>
        <v>113.4</v>
      </c>
      <c r="AC56" s="13">
        <f>230*1.4</f>
        <v>322</v>
      </c>
      <c r="AD56" s="13">
        <f>346*1.5</f>
        <v>519</v>
      </c>
    </row>
    <row r="57" spans="16:30" ht="16.5" thickBot="1" x14ac:dyDescent="0.3">
      <c r="P57" s="11">
        <f t="shared" si="8"/>
        <v>2001</v>
      </c>
      <c r="Q57" s="8"/>
      <c r="R57" s="8">
        <v>21</v>
      </c>
      <c r="S57" s="8">
        <v>36</v>
      </c>
      <c r="T57" s="8">
        <v>33</v>
      </c>
      <c r="U57" s="8">
        <v>50</v>
      </c>
      <c r="V57" s="8">
        <v>135</v>
      </c>
      <c r="X57" s="11">
        <v>2002</v>
      </c>
      <c r="Y57" s="13"/>
      <c r="Z57" s="13">
        <f>40*1.25</f>
        <v>50</v>
      </c>
      <c r="AA57" s="13">
        <f>100*1.3</f>
        <v>130</v>
      </c>
      <c r="AB57" s="13">
        <f>75*1.35</f>
        <v>101.25</v>
      </c>
      <c r="AC57" s="13">
        <f>203*1.4</f>
        <v>284.2</v>
      </c>
      <c r="AD57" s="13">
        <f>291*1.5</f>
        <v>436.5</v>
      </c>
    </row>
    <row r="58" spans="16:30" ht="32.25" thickBot="1" x14ac:dyDescent="0.3">
      <c r="P58" s="6" t="s">
        <v>28</v>
      </c>
      <c r="Q58" s="8"/>
      <c r="R58" s="8">
        <v>18</v>
      </c>
      <c r="S58" s="8">
        <v>32</v>
      </c>
      <c r="T58" s="8">
        <v>28</v>
      </c>
      <c r="U58" s="8">
        <v>42</v>
      </c>
      <c r="V58" s="8">
        <v>117</v>
      </c>
      <c r="X58" s="6" t="s">
        <v>38</v>
      </c>
      <c r="Y58" s="13"/>
      <c r="Z58" s="13">
        <f>30*1.25</f>
        <v>37.5</v>
      </c>
      <c r="AA58" s="13">
        <f>90*1.3</f>
        <v>117</v>
      </c>
      <c r="AB58" s="13">
        <f>63*1.35</f>
        <v>85.050000000000011</v>
      </c>
      <c r="AC58" s="13">
        <f>176*1.4</f>
        <v>246.39999999999998</v>
      </c>
      <c r="AD58" s="13">
        <f>262*1.5</f>
        <v>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M20"/>
  <sheetViews>
    <sheetView topLeftCell="A4" workbookViewId="0">
      <selection activeCell="F30" sqref="F30"/>
    </sheetView>
  </sheetViews>
  <sheetFormatPr baseColWidth="10" defaultRowHeight="15" x14ac:dyDescent="0.25"/>
  <cols>
    <col min="5" max="5" width="17.5703125" customWidth="1"/>
    <col min="6" max="6" width="17.140625" customWidth="1"/>
    <col min="7" max="8" width="12.85546875" customWidth="1"/>
    <col min="9" max="9" width="18.42578125" bestFit="1" customWidth="1"/>
    <col min="10" max="10" width="13.28515625" customWidth="1"/>
    <col min="12" max="12" width="18.140625" bestFit="1" customWidth="1"/>
    <col min="13" max="13" width="13.28515625" bestFit="1" customWidth="1"/>
    <col min="14" max="18" width="14.5703125" customWidth="1"/>
    <col min="19" max="19" width="12.7109375" bestFit="1" customWidth="1"/>
    <col min="27" max="27" width="14.140625" bestFit="1" customWidth="1"/>
  </cols>
  <sheetData>
    <row r="5" spans="4:13" x14ac:dyDescent="0.25">
      <c r="G5" t="s">
        <v>5</v>
      </c>
    </row>
    <row r="7" spans="4:13" x14ac:dyDescent="0.25">
      <c r="F7" t="s">
        <v>7</v>
      </c>
      <c r="J7" t="s">
        <v>8</v>
      </c>
    </row>
    <row r="8" spans="4:13" x14ac:dyDescent="0.25">
      <c r="D8" t="s">
        <v>40</v>
      </c>
      <c r="E8" s="4" t="s">
        <v>47</v>
      </c>
      <c r="F8" s="4" t="s">
        <v>48</v>
      </c>
      <c r="G8" s="4" t="s">
        <v>2</v>
      </c>
      <c r="H8" s="4" t="s">
        <v>9</v>
      </c>
      <c r="I8" s="4" t="s">
        <v>50</v>
      </c>
      <c r="J8" s="4" t="s">
        <v>49</v>
      </c>
      <c r="K8" s="4" t="s">
        <v>2</v>
      </c>
      <c r="L8" s="4" t="s">
        <v>4</v>
      </c>
      <c r="M8" s="4" t="s">
        <v>9</v>
      </c>
    </row>
    <row r="9" spans="4:13" x14ac:dyDescent="0.25">
      <c r="D9" s="4">
        <v>1</v>
      </c>
      <c r="E9">
        <v>171</v>
      </c>
      <c r="F9" s="16">
        <f>+E9*1.36</f>
        <v>232.56000000000003</v>
      </c>
      <c r="G9" s="18">
        <f>+F9-E9</f>
        <v>61.560000000000031</v>
      </c>
      <c r="H9" s="3">
        <f>+(F9/E9)-1</f>
        <v>0.3600000000000001</v>
      </c>
      <c r="I9" s="2">
        <f>(1618.21*1.35)*1.35</f>
        <v>2949.1877250000002</v>
      </c>
      <c r="J9" s="20">
        <f>+I9*1.36</f>
        <v>4010.8953060000008</v>
      </c>
      <c r="K9" s="17">
        <f>+J9-I9</f>
        <v>1061.7075810000006</v>
      </c>
      <c r="L9" s="19">
        <f>+K9/12</f>
        <v>88.475631750000048</v>
      </c>
      <c r="M9" s="3">
        <f>+(J9/I9)-1</f>
        <v>0.3600000000000001</v>
      </c>
    </row>
    <row r="10" spans="4:13" x14ac:dyDescent="0.25">
      <c r="D10" s="4">
        <v>2</v>
      </c>
      <c r="E10">
        <v>142</v>
      </c>
      <c r="F10" s="16">
        <f t="shared" ref="F10:F20" si="0">+E10*1.36</f>
        <v>193.12</v>
      </c>
      <c r="G10" s="18">
        <f t="shared" ref="G10:G20" si="1">+F10-E10</f>
        <v>51.120000000000005</v>
      </c>
      <c r="H10" s="3">
        <f t="shared" ref="H10:H20" si="2">+(F10/E10)-1</f>
        <v>0.3600000000000001</v>
      </c>
      <c r="I10" s="2">
        <f>2052.19*1.35</f>
        <v>2770.4565000000002</v>
      </c>
      <c r="J10" s="20">
        <f t="shared" ref="J10:J20" si="3">+I10*1.36</f>
        <v>3767.8208400000008</v>
      </c>
      <c r="K10" s="17">
        <f t="shared" ref="K10:K20" si="4">+J10-I10</f>
        <v>997.36434000000054</v>
      </c>
      <c r="L10" s="19">
        <f t="shared" ref="L10:L20" si="5">+K10/12</f>
        <v>83.11369500000005</v>
      </c>
      <c r="M10" s="3">
        <f t="shared" ref="M10:M20" si="6">+(J10/I10)-1</f>
        <v>0.3600000000000001</v>
      </c>
    </row>
    <row r="11" spans="4:13" x14ac:dyDescent="0.25">
      <c r="D11" s="4">
        <v>3</v>
      </c>
      <c r="E11">
        <v>118</v>
      </c>
      <c r="F11" s="16">
        <f t="shared" si="0"/>
        <v>160.48000000000002</v>
      </c>
      <c r="G11" s="18">
        <f t="shared" si="1"/>
        <v>42.480000000000018</v>
      </c>
      <c r="H11" s="3">
        <f t="shared" si="2"/>
        <v>0.3600000000000001</v>
      </c>
      <c r="I11" s="2">
        <f>1688.09*1.35</f>
        <v>2278.9214999999999</v>
      </c>
      <c r="J11" s="20">
        <f t="shared" si="3"/>
        <v>3099.3332399999999</v>
      </c>
      <c r="K11" s="17">
        <f t="shared" si="4"/>
        <v>820.41174000000001</v>
      </c>
      <c r="L11" s="19">
        <f t="shared" si="5"/>
        <v>68.367644999999996</v>
      </c>
      <c r="M11" s="3">
        <f t="shared" si="6"/>
        <v>0.3600000000000001</v>
      </c>
    </row>
    <row r="12" spans="4:13" x14ac:dyDescent="0.25">
      <c r="D12" s="4">
        <v>4</v>
      </c>
      <c r="E12">
        <v>105</v>
      </c>
      <c r="F12" s="16">
        <f t="shared" si="0"/>
        <v>142.80000000000001</v>
      </c>
      <c r="G12" s="18">
        <f t="shared" si="1"/>
        <v>37.800000000000011</v>
      </c>
      <c r="H12" s="3">
        <f t="shared" si="2"/>
        <v>0.3600000000000001</v>
      </c>
      <c r="I12" s="2">
        <f>1390.19*1.35</f>
        <v>1876.7565000000002</v>
      </c>
      <c r="J12" s="20">
        <f t="shared" si="3"/>
        <v>2552.3888400000005</v>
      </c>
      <c r="K12" s="17">
        <f t="shared" si="4"/>
        <v>675.63234000000034</v>
      </c>
      <c r="L12" s="19">
        <f t="shared" si="5"/>
        <v>56.302695000000028</v>
      </c>
      <c r="M12" s="3">
        <f t="shared" si="6"/>
        <v>0.3600000000000001</v>
      </c>
    </row>
    <row r="13" spans="4:13" x14ac:dyDescent="0.25">
      <c r="D13" s="4">
        <v>5</v>
      </c>
      <c r="E13">
        <v>79</v>
      </c>
      <c r="F13" s="16">
        <f t="shared" si="0"/>
        <v>107.44000000000001</v>
      </c>
      <c r="G13" s="18">
        <f t="shared" si="1"/>
        <v>28.440000000000012</v>
      </c>
      <c r="H13" s="3">
        <f t="shared" si="2"/>
        <v>0.3600000000000001</v>
      </c>
      <c r="I13" s="2">
        <f>1125.41*1.35</f>
        <v>1519.3035000000002</v>
      </c>
      <c r="J13" s="20">
        <f t="shared" si="3"/>
        <v>2066.2527600000003</v>
      </c>
      <c r="K13" s="17">
        <f t="shared" si="4"/>
        <v>546.94926000000009</v>
      </c>
      <c r="L13" s="19">
        <f t="shared" si="5"/>
        <v>45.579105000000006</v>
      </c>
      <c r="M13" s="3">
        <f t="shared" si="6"/>
        <v>0.3600000000000001</v>
      </c>
    </row>
    <row r="14" spans="4:13" x14ac:dyDescent="0.25">
      <c r="D14" s="4">
        <v>6</v>
      </c>
      <c r="E14">
        <v>52</v>
      </c>
      <c r="F14" s="16">
        <f t="shared" si="0"/>
        <v>70.72</v>
      </c>
      <c r="G14" s="18">
        <f t="shared" si="1"/>
        <v>18.72</v>
      </c>
      <c r="H14" s="3">
        <f t="shared" si="2"/>
        <v>0.35999999999999988</v>
      </c>
      <c r="I14" s="2">
        <f>893.7*1.35</f>
        <v>1206.4950000000001</v>
      </c>
      <c r="J14" s="20">
        <f t="shared" si="3"/>
        <v>1640.8332000000003</v>
      </c>
      <c r="K14" s="17">
        <f t="shared" si="4"/>
        <v>434.33820000000014</v>
      </c>
      <c r="L14" s="19">
        <f t="shared" si="5"/>
        <v>36.19485000000001</v>
      </c>
      <c r="M14" s="3">
        <f t="shared" si="6"/>
        <v>0.3600000000000001</v>
      </c>
    </row>
    <row r="15" spans="4:13" x14ac:dyDescent="0.25">
      <c r="D15" s="4">
        <v>7</v>
      </c>
      <c r="E15">
        <v>52</v>
      </c>
      <c r="F15" s="16">
        <f t="shared" si="0"/>
        <v>70.72</v>
      </c>
      <c r="G15" s="18">
        <f t="shared" si="1"/>
        <v>18.72</v>
      </c>
      <c r="H15" s="3">
        <f t="shared" si="2"/>
        <v>0.35999999999999988</v>
      </c>
      <c r="I15" s="2">
        <f>662*1.35</f>
        <v>893.7</v>
      </c>
      <c r="J15" s="20">
        <f t="shared" si="3"/>
        <v>1215.4320000000002</v>
      </c>
      <c r="K15" s="17">
        <f t="shared" si="4"/>
        <v>321.7320000000002</v>
      </c>
      <c r="L15" s="19">
        <f t="shared" si="5"/>
        <v>26.811000000000018</v>
      </c>
      <c r="M15" s="3">
        <f t="shared" si="6"/>
        <v>0.3600000000000001</v>
      </c>
    </row>
    <row r="16" spans="4:13" x14ac:dyDescent="0.25">
      <c r="D16" s="4">
        <v>8</v>
      </c>
      <c r="E16">
        <v>52</v>
      </c>
      <c r="F16" s="16">
        <f t="shared" si="0"/>
        <v>70.72</v>
      </c>
      <c r="G16" s="18">
        <f t="shared" si="1"/>
        <v>18.72</v>
      </c>
      <c r="H16" s="3">
        <f t="shared" si="2"/>
        <v>0.35999999999999988</v>
      </c>
      <c r="I16" s="2">
        <f t="shared" ref="I16:I17" si="7">662*1.35</f>
        <v>893.7</v>
      </c>
      <c r="J16" s="20">
        <f t="shared" si="3"/>
        <v>1215.4320000000002</v>
      </c>
      <c r="K16" s="17">
        <f t="shared" si="4"/>
        <v>321.7320000000002</v>
      </c>
      <c r="L16" s="19">
        <f t="shared" si="5"/>
        <v>26.811000000000018</v>
      </c>
      <c r="M16" s="3">
        <f t="shared" si="6"/>
        <v>0.3600000000000001</v>
      </c>
    </row>
    <row r="17" spans="4:13" x14ac:dyDescent="0.25">
      <c r="D17" s="4">
        <v>9</v>
      </c>
      <c r="E17">
        <v>25</v>
      </c>
      <c r="F17" s="16">
        <f t="shared" si="0"/>
        <v>34</v>
      </c>
      <c r="G17" s="18">
        <f t="shared" si="1"/>
        <v>9</v>
      </c>
      <c r="H17" s="3">
        <f t="shared" si="2"/>
        <v>0.3600000000000001</v>
      </c>
      <c r="I17" s="2">
        <f t="shared" si="7"/>
        <v>893.7</v>
      </c>
      <c r="J17" s="20">
        <f t="shared" si="3"/>
        <v>1215.4320000000002</v>
      </c>
      <c r="K17" s="17">
        <f t="shared" si="4"/>
        <v>321.7320000000002</v>
      </c>
      <c r="L17" s="19">
        <f t="shared" si="5"/>
        <v>26.811000000000018</v>
      </c>
      <c r="M17" s="3">
        <f t="shared" si="6"/>
        <v>0.3600000000000001</v>
      </c>
    </row>
    <row r="18" spans="4:13" x14ac:dyDescent="0.25">
      <c r="D18" s="4">
        <v>10</v>
      </c>
      <c r="E18">
        <v>132</v>
      </c>
      <c r="F18" s="16">
        <f t="shared" si="0"/>
        <v>179.52</v>
      </c>
      <c r="G18" s="18">
        <f t="shared" si="1"/>
        <v>47.52000000000001</v>
      </c>
      <c r="H18" s="3">
        <f t="shared" si="2"/>
        <v>0.3600000000000001</v>
      </c>
      <c r="I18" s="2">
        <f>2052.19*1.35</f>
        <v>2770.4565000000002</v>
      </c>
      <c r="J18" s="20">
        <f t="shared" si="3"/>
        <v>3767.8208400000008</v>
      </c>
      <c r="K18" s="17">
        <f t="shared" si="4"/>
        <v>997.36434000000054</v>
      </c>
      <c r="L18" s="19">
        <f t="shared" si="5"/>
        <v>83.11369500000005</v>
      </c>
      <c r="M18" s="3">
        <f t="shared" si="6"/>
        <v>0.3600000000000001</v>
      </c>
    </row>
    <row r="19" spans="4:13" x14ac:dyDescent="0.25">
      <c r="D19" s="4">
        <v>11</v>
      </c>
      <c r="E19">
        <v>118</v>
      </c>
      <c r="F19" s="16">
        <f t="shared" si="0"/>
        <v>160.48000000000002</v>
      </c>
      <c r="G19" s="18">
        <f t="shared" si="1"/>
        <v>42.480000000000018</v>
      </c>
      <c r="H19" s="3">
        <f t="shared" si="2"/>
        <v>0.3600000000000001</v>
      </c>
      <c r="I19" s="2">
        <f>1688.09*1.35</f>
        <v>2278.9214999999999</v>
      </c>
      <c r="J19" s="20">
        <f t="shared" si="3"/>
        <v>3099.3332399999999</v>
      </c>
      <c r="K19" s="17">
        <f t="shared" si="4"/>
        <v>820.41174000000001</v>
      </c>
      <c r="L19" s="19">
        <f t="shared" si="5"/>
        <v>68.367644999999996</v>
      </c>
      <c r="M19" s="3">
        <f t="shared" si="6"/>
        <v>0.3600000000000001</v>
      </c>
    </row>
    <row r="20" spans="4:13" x14ac:dyDescent="0.25">
      <c r="D20" s="4">
        <v>12</v>
      </c>
      <c r="E20">
        <v>158</v>
      </c>
      <c r="F20" s="16">
        <f t="shared" si="0"/>
        <v>214.88000000000002</v>
      </c>
      <c r="G20" s="18">
        <f t="shared" si="1"/>
        <v>56.880000000000024</v>
      </c>
      <c r="H20" s="3">
        <f t="shared" si="2"/>
        <v>0.3600000000000001</v>
      </c>
      <c r="I20" s="2">
        <f>2184.58*1.35</f>
        <v>2949.183</v>
      </c>
      <c r="J20" s="20">
        <f t="shared" si="3"/>
        <v>4010.8888800000004</v>
      </c>
      <c r="K20" s="17">
        <f t="shared" si="4"/>
        <v>1061.7058800000004</v>
      </c>
      <c r="L20" s="19">
        <f t="shared" si="5"/>
        <v>88.475490000000036</v>
      </c>
      <c r="M20" s="3">
        <f t="shared" si="6"/>
        <v>0.3600000000000001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97"/>
  <sheetViews>
    <sheetView topLeftCell="A34" workbookViewId="0">
      <selection activeCell="E80" sqref="E80"/>
    </sheetView>
  </sheetViews>
  <sheetFormatPr baseColWidth="10" defaultRowHeight="15" x14ac:dyDescent="0.25"/>
  <cols>
    <col min="2" max="5" width="12" bestFit="1" customWidth="1"/>
    <col min="6" max="6" width="14.7109375" bestFit="1" customWidth="1"/>
  </cols>
  <sheetData>
    <row r="3" spans="1:14" x14ac:dyDescent="0.25">
      <c r="A3">
        <v>2015</v>
      </c>
      <c r="B3" s="21">
        <v>6757.5019499999999</v>
      </c>
      <c r="C3" s="21">
        <v>5068.1264600000004</v>
      </c>
      <c r="D3" s="21">
        <v>3128.4731299999999</v>
      </c>
      <c r="E3" s="21">
        <v>1251.3892499999999</v>
      </c>
      <c r="F3" s="21">
        <v>625.69462499999997</v>
      </c>
    </row>
    <row r="4" spans="1:14" x14ac:dyDescent="0.25">
      <c r="A4">
        <v>2016</v>
      </c>
      <c r="B4" s="29">
        <f>+B3*1.36</f>
        <v>9190.2026519999999</v>
      </c>
      <c r="C4" s="29">
        <f t="shared" ref="C4:F4" si="0">+C3*1.36</f>
        <v>6892.6519856000014</v>
      </c>
      <c r="D4" s="29">
        <f t="shared" si="0"/>
        <v>4254.7234568000003</v>
      </c>
      <c r="E4" s="29">
        <f t="shared" si="0"/>
        <v>1701.8893800000001</v>
      </c>
      <c r="F4" s="29">
        <f t="shared" si="0"/>
        <v>850.94469000000004</v>
      </c>
    </row>
    <row r="7" spans="1:14" x14ac:dyDescent="0.25">
      <c r="C7" t="s">
        <v>58</v>
      </c>
    </row>
    <row r="8" spans="1:14" x14ac:dyDescent="0.25">
      <c r="J8" t="s">
        <v>51</v>
      </c>
    </row>
    <row r="9" spans="1:14" x14ac:dyDescent="0.25">
      <c r="B9" s="23" t="s">
        <v>52</v>
      </c>
      <c r="C9" s="23" t="s">
        <v>53</v>
      </c>
      <c r="D9" s="23" t="s">
        <v>54</v>
      </c>
      <c r="E9" s="23" t="s">
        <v>55</v>
      </c>
      <c r="F9" s="23" t="s">
        <v>56</v>
      </c>
      <c r="G9" s="23" t="s">
        <v>57</v>
      </c>
      <c r="H9" s="24"/>
      <c r="I9" s="23" t="s">
        <v>53</v>
      </c>
      <c r="J9" s="23" t="s">
        <v>54</v>
      </c>
      <c r="K9" s="23" t="s">
        <v>55</v>
      </c>
      <c r="L9" s="23" t="s">
        <v>56</v>
      </c>
      <c r="M9" s="23" t="s">
        <v>57</v>
      </c>
    </row>
    <row r="10" spans="1:14" x14ac:dyDescent="0.25">
      <c r="B10" s="23">
        <v>2016</v>
      </c>
      <c r="C10" s="21">
        <v>9190.2026499999993</v>
      </c>
      <c r="D10" s="22">
        <v>6892.6519900000003</v>
      </c>
      <c r="E10" s="22">
        <v>4254.7234600000002</v>
      </c>
      <c r="F10" s="22">
        <v>1701.8893800000001</v>
      </c>
      <c r="G10" s="22">
        <v>850.94469000000004</v>
      </c>
      <c r="H10" s="24"/>
    </row>
    <row r="11" spans="1:14" x14ac:dyDescent="0.25">
      <c r="B11" s="23">
        <f>B10-1</f>
        <v>2015</v>
      </c>
      <c r="C11" s="21">
        <v>9190.2026499999993</v>
      </c>
      <c r="D11" s="22">
        <v>6892.6519900000003</v>
      </c>
      <c r="E11" s="22">
        <v>4254.7234600000002</v>
      </c>
      <c r="F11" s="22">
        <v>1701.8893800000001</v>
      </c>
      <c r="G11" s="22">
        <v>850.94469000000004</v>
      </c>
      <c r="H11" s="25"/>
      <c r="I11" s="28">
        <f>+(C11/B3)-1</f>
        <v>0.35999999970403262</v>
      </c>
      <c r="J11" s="28">
        <f t="shared" ref="J11:M11" si="1">+(D11/C3)-1</f>
        <v>0.36000000086817097</v>
      </c>
      <c r="K11" s="28">
        <f t="shared" si="1"/>
        <v>0.36000000102286323</v>
      </c>
      <c r="L11" s="28">
        <f t="shared" si="1"/>
        <v>0.3600000000000001</v>
      </c>
      <c r="M11" s="28">
        <f t="shared" si="1"/>
        <v>0.3600000000000001</v>
      </c>
    </row>
    <row r="12" spans="1:14" x14ac:dyDescent="0.25">
      <c r="B12" s="23">
        <f>B11-1</f>
        <v>2014</v>
      </c>
      <c r="C12" s="21">
        <f>C11-(C11*0.01)</f>
        <v>9098.3006234999993</v>
      </c>
      <c r="D12" s="21">
        <f t="shared" ref="C12:G27" si="2">D11-(D11*0.01)</f>
        <v>6823.7254701000002</v>
      </c>
      <c r="E12" s="21">
        <f t="shared" si="2"/>
        <v>4212.1762254000005</v>
      </c>
      <c r="F12" s="21">
        <f t="shared" si="2"/>
        <v>1684.8704862</v>
      </c>
      <c r="G12" s="21">
        <f t="shared" si="2"/>
        <v>842.43524309999998</v>
      </c>
      <c r="H12" s="25"/>
    </row>
    <row r="13" spans="1:14" x14ac:dyDescent="0.25">
      <c r="B13" s="23">
        <f t="shared" ref="B13:B76" si="3">B12-1</f>
        <v>2013</v>
      </c>
      <c r="C13" s="21">
        <f t="shared" si="2"/>
        <v>9007.3176172650001</v>
      </c>
      <c r="D13" s="21">
        <f t="shared" si="2"/>
        <v>6755.4882153990002</v>
      </c>
      <c r="E13" s="21">
        <f t="shared" si="2"/>
        <v>4170.0544631460007</v>
      </c>
      <c r="F13" s="21">
        <f t="shared" si="2"/>
        <v>1668.021781338</v>
      </c>
      <c r="G13" s="21">
        <f t="shared" si="2"/>
        <v>834.01089066899999</v>
      </c>
      <c r="H13" s="25"/>
    </row>
    <row r="14" spans="1:14" x14ac:dyDescent="0.25">
      <c r="B14" s="23">
        <f t="shared" si="3"/>
        <v>2012</v>
      </c>
      <c r="C14" s="21">
        <f t="shared" si="2"/>
        <v>8917.2444410923508</v>
      </c>
      <c r="D14" s="21">
        <f t="shared" si="2"/>
        <v>6687.9333332450105</v>
      </c>
      <c r="E14" s="21">
        <f t="shared" si="2"/>
        <v>4128.353918514541</v>
      </c>
      <c r="F14" s="21">
        <f t="shared" si="2"/>
        <v>1651.3415635246199</v>
      </c>
      <c r="G14" s="21">
        <f t="shared" si="2"/>
        <v>825.67078176230996</v>
      </c>
      <c r="H14" s="25"/>
    </row>
    <row r="15" spans="1:14" x14ac:dyDescent="0.25">
      <c r="B15" s="23">
        <f t="shared" si="3"/>
        <v>2011</v>
      </c>
      <c r="C15" s="21">
        <f t="shared" si="2"/>
        <v>8828.0719966814268</v>
      </c>
      <c r="D15" s="21">
        <f t="shared" si="2"/>
        <v>6621.0539999125604</v>
      </c>
      <c r="E15" s="21">
        <f t="shared" si="2"/>
        <v>4087.0703793293956</v>
      </c>
      <c r="F15" s="21">
        <f t="shared" si="2"/>
        <v>1634.8281478893737</v>
      </c>
      <c r="G15" s="21">
        <f t="shared" si="2"/>
        <v>817.41407394468683</v>
      </c>
      <c r="H15" s="25"/>
      <c r="J15" s="2"/>
      <c r="K15" s="2"/>
      <c r="L15" s="2"/>
      <c r="M15" s="2"/>
      <c r="N15" s="2"/>
    </row>
    <row r="16" spans="1:14" x14ac:dyDescent="0.25">
      <c r="B16" s="23">
        <f t="shared" si="3"/>
        <v>2010</v>
      </c>
      <c r="C16" s="21">
        <f t="shared" si="2"/>
        <v>8739.7912767146117</v>
      </c>
      <c r="D16" s="21">
        <f t="shared" si="2"/>
        <v>6554.8434599134343</v>
      </c>
      <c r="E16" s="21">
        <f t="shared" si="2"/>
        <v>4046.1996755361015</v>
      </c>
      <c r="F16" s="21">
        <f t="shared" si="2"/>
        <v>1618.4798664104799</v>
      </c>
      <c r="G16" s="21">
        <f t="shared" si="2"/>
        <v>809.23993320523994</v>
      </c>
      <c r="H16" s="25"/>
      <c r="J16" s="2"/>
      <c r="K16" s="2"/>
      <c r="L16" s="2"/>
      <c r="M16" s="2"/>
      <c r="N16" s="2"/>
    </row>
    <row r="17" spans="2:14" x14ac:dyDescent="0.25">
      <c r="B17" s="23">
        <f t="shared" si="3"/>
        <v>2009</v>
      </c>
      <c r="C17" s="21">
        <f t="shared" si="2"/>
        <v>8652.3933639474653</v>
      </c>
      <c r="D17" s="21">
        <f t="shared" si="2"/>
        <v>6489.2950253142999</v>
      </c>
      <c r="E17" s="21">
        <f t="shared" si="2"/>
        <v>4005.7376787807407</v>
      </c>
      <c r="F17" s="21">
        <f t="shared" si="2"/>
        <v>1602.295067746375</v>
      </c>
      <c r="G17" s="21">
        <f t="shared" si="2"/>
        <v>801.14753387318751</v>
      </c>
      <c r="H17" s="25"/>
      <c r="J17" s="2"/>
      <c r="K17" s="2"/>
      <c r="L17" s="2"/>
      <c r="M17" s="2"/>
      <c r="N17" s="2"/>
    </row>
    <row r="18" spans="2:14" x14ac:dyDescent="0.25">
      <c r="B18" s="23">
        <f t="shared" si="3"/>
        <v>2008</v>
      </c>
      <c r="C18" s="21">
        <f t="shared" si="2"/>
        <v>8565.8694303079901</v>
      </c>
      <c r="D18" s="21">
        <f t="shared" si="2"/>
        <v>6424.4020750611571</v>
      </c>
      <c r="E18" s="21">
        <f t="shared" si="2"/>
        <v>3965.6803019929334</v>
      </c>
      <c r="F18" s="21">
        <f t="shared" si="2"/>
        <v>1586.2721170689113</v>
      </c>
      <c r="G18" s="21">
        <f t="shared" si="2"/>
        <v>793.13605853445563</v>
      </c>
      <c r="H18" s="25"/>
      <c r="J18" s="2"/>
      <c r="K18" s="2"/>
      <c r="L18" s="2"/>
      <c r="M18" s="2"/>
      <c r="N18" s="2"/>
    </row>
    <row r="19" spans="2:14" x14ac:dyDescent="0.25">
      <c r="B19" s="23">
        <f t="shared" si="3"/>
        <v>2007</v>
      </c>
      <c r="C19" s="21">
        <f t="shared" si="2"/>
        <v>8480.2107360049104</v>
      </c>
      <c r="D19" s="21">
        <f t="shared" si="2"/>
        <v>6360.1580543105456</v>
      </c>
      <c r="E19" s="21">
        <f t="shared" si="2"/>
        <v>3926.0234989730043</v>
      </c>
      <c r="F19" s="21">
        <f t="shared" si="2"/>
        <v>1570.4093958982221</v>
      </c>
      <c r="G19" s="21">
        <f t="shared" si="2"/>
        <v>785.20469794911105</v>
      </c>
      <c r="H19" s="25"/>
      <c r="J19" s="2"/>
      <c r="K19" s="2"/>
      <c r="L19" s="2"/>
      <c r="M19" s="2"/>
      <c r="N19" s="2"/>
    </row>
    <row r="20" spans="2:14" x14ac:dyDescent="0.25">
      <c r="B20" s="23">
        <f t="shared" si="3"/>
        <v>2006</v>
      </c>
      <c r="C20" s="21">
        <f t="shared" si="2"/>
        <v>8395.4086286448619</v>
      </c>
      <c r="D20" s="21">
        <f t="shared" si="2"/>
        <v>6296.5564737674404</v>
      </c>
      <c r="E20" s="21">
        <f t="shared" si="2"/>
        <v>3886.7632639832741</v>
      </c>
      <c r="F20" s="21">
        <f t="shared" si="2"/>
        <v>1554.7053019392399</v>
      </c>
      <c r="G20" s="21">
        <f t="shared" si="2"/>
        <v>777.35265096961996</v>
      </c>
      <c r="H20" s="25"/>
      <c r="J20" s="2"/>
      <c r="K20" s="2"/>
      <c r="L20" s="2"/>
      <c r="M20" s="2"/>
      <c r="N20" s="2"/>
    </row>
    <row r="21" spans="2:14" x14ac:dyDescent="0.25">
      <c r="B21" s="23">
        <f t="shared" si="3"/>
        <v>2005</v>
      </c>
      <c r="C21" s="21">
        <f t="shared" si="2"/>
        <v>8311.4545423584132</v>
      </c>
      <c r="D21" s="21">
        <f t="shared" si="2"/>
        <v>6233.5909090297664</v>
      </c>
      <c r="E21" s="21">
        <f t="shared" si="2"/>
        <v>3847.8956313434414</v>
      </c>
      <c r="F21" s="21">
        <f t="shared" si="2"/>
        <v>1539.1582489198474</v>
      </c>
      <c r="G21" s="21">
        <f t="shared" si="2"/>
        <v>769.57912445992372</v>
      </c>
      <c r="H21" s="25"/>
      <c r="J21" s="2"/>
      <c r="K21" s="2"/>
      <c r="L21" s="2"/>
      <c r="M21" s="2"/>
      <c r="N21" s="2"/>
    </row>
    <row r="22" spans="2:14" x14ac:dyDescent="0.25">
      <c r="B22" s="23">
        <f t="shared" si="3"/>
        <v>2004</v>
      </c>
      <c r="C22" s="21">
        <f t="shared" si="2"/>
        <v>8228.3399969348284</v>
      </c>
      <c r="D22" s="21">
        <f t="shared" si="2"/>
        <v>6171.2549999394687</v>
      </c>
      <c r="E22" s="21">
        <f t="shared" si="2"/>
        <v>3809.4166750300069</v>
      </c>
      <c r="F22" s="21">
        <f t="shared" si="2"/>
        <v>1523.7666664306489</v>
      </c>
      <c r="G22" s="21">
        <f t="shared" si="2"/>
        <v>761.88333321532446</v>
      </c>
      <c r="H22" s="25"/>
      <c r="J22" s="2"/>
      <c r="K22" s="2"/>
      <c r="L22" s="2"/>
      <c r="M22" s="2"/>
      <c r="N22" s="2"/>
    </row>
    <row r="23" spans="2:14" x14ac:dyDescent="0.25">
      <c r="B23" s="23">
        <f t="shared" si="3"/>
        <v>2003</v>
      </c>
      <c r="C23" s="21">
        <f t="shared" si="2"/>
        <v>8146.0565969654799</v>
      </c>
      <c r="D23" s="21">
        <f t="shared" si="2"/>
        <v>6109.5424499400742</v>
      </c>
      <c r="E23" s="21">
        <f t="shared" si="2"/>
        <v>3771.3225082797067</v>
      </c>
      <c r="F23" s="21">
        <f t="shared" si="2"/>
        <v>1508.5289997663424</v>
      </c>
      <c r="G23" s="21">
        <f t="shared" si="2"/>
        <v>754.2644998831712</v>
      </c>
      <c r="H23" s="25"/>
      <c r="J23" s="2"/>
      <c r="K23" s="2"/>
      <c r="L23" s="2"/>
      <c r="M23" s="2"/>
      <c r="N23" s="2"/>
    </row>
    <row r="24" spans="2:14" x14ac:dyDescent="0.25">
      <c r="B24" s="23">
        <f t="shared" si="3"/>
        <v>2002</v>
      </c>
      <c r="C24" s="21">
        <f t="shared" si="2"/>
        <v>8064.5960309958255</v>
      </c>
      <c r="D24" s="21">
        <f t="shared" si="2"/>
        <v>6048.4470254406733</v>
      </c>
      <c r="E24" s="21">
        <f t="shared" si="2"/>
        <v>3733.6092831969095</v>
      </c>
      <c r="F24" s="21">
        <f t="shared" si="2"/>
        <v>1493.4437097686789</v>
      </c>
      <c r="G24" s="21">
        <f t="shared" si="2"/>
        <v>746.72185488433945</v>
      </c>
      <c r="H24" s="25"/>
      <c r="J24" s="2"/>
      <c r="K24" s="2"/>
      <c r="L24" s="2"/>
      <c r="M24" s="2"/>
      <c r="N24" s="2"/>
    </row>
    <row r="25" spans="2:14" x14ac:dyDescent="0.25">
      <c r="B25" s="23">
        <f>B24-1</f>
        <v>2001</v>
      </c>
      <c r="C25" s="21">
        <f t="shared" si="2"/>
        <v>7983.9500706858671</v>
      </c>
      <c r="D25" s="21">
        <f t="shared" si="2"/>
        <v>5987.9625551862664</v>
      </c>
      <c r="E25" s="21">
        <f t="shared" si="2"/>
        <v>3696.2731903649405</v>
      </c>
      <c r="F25" s="21">
        <f t="shared" si="2"/>
        <v>1478.509272670992</v>
      </c>
      <c r="G25" s="21">
        <f t="shared" si="2"/>
        <v>739.254636335496</v>
      </c>
      <c r="H25" s="25"/>
      <c r="J25" s="2"/>
      <c r="K25" s="2"/>
      <c r="L25" s="2"/>
      <c r="M25" s="2"/>
      <c r="N25" s="2"/>
    </row>
    <row r="26" spans="2:14" x14ac:dyDescent="0.25">
      <c r="B26" s="23">
        <f t="shared" si="3"/>
        <v>2000</v>
      </c>
      <c r="C26" s="21">
        <f t="shared" si="2"/>
        <v>7904.1105699790087</v>
      </c>
      <c r="D26" s="21">
        <f t="shared" si="2"/>
        <v>5928.0829296344036</v>
      </c>
      <c r="E26" s="21">
        <f t="shared" si="2"/>
        <v>3659.3104584612911</v>
      </c>
      <c r="F26" s="21">
        <f t="shared" si="2"/>
        <v>1463.724179944282</v>
      </c>
      <c r="G26" s="21">
        <f t="shared" si="2"/>
        <v>731.86208997214101</v>
      </c>
      <c r="H26" s="25"/>
      <c r="J26" s="2"/>
      <c r="K26" s="2"/>
      <c r="L26" s="2"/>
      <c r="M26" s="2"/>
      <c r="N26" s="2"/>
    </row>
    <row r="27" spans="2:14" x14ac:dyDescent="0.25">
      <c r="B27" s="23">
        <f t="shared" si="3"/>
        <v>1999</v>
      </c>
      <c r="C27" s="21">
        <f t="shared" si="2"/>
        <v>7825.0694642792187</v>
      </c>
      <c r="D27" s="21">
        <f t="shared" si="2"/>
        <v>5868.80210033806</v>
      </c>
      <c r="E27" s="21">
        <f t="shared" si="2"/>
        <v>3622.7173538766783</v>
      </c>
      <c r="F27" s="21">
        <f t="shared" si="2"/>
        <v>1449.0869381448392</v>
      </c>
      <c r="G27" s="21">
        <f t="shared" si="2"/>
        <v>724.54346907241961</v>
      </c>
      <c r="H27" s="25"/>
      <c r="J27" s="2"/>
      <c r="K27" s="2"/>
      <c r="L27" s="2"/>
      <c r="M27" s="2"/>
      <c r="N27" s="2"/>
    </row>
    <row r="28" spans="2:14" x14ac:dyDescent="0.25">
      <c r="B28" s="23">
        <f t="shared" si="3"/>
        <v>1998</v>
      </c>
      <c r="C28" s="21">
        <f t="shared" ref="C28:G43" si="4">C27-(C27*0.01)</f>
        <v>7746.8187696364266</v>
      </c>
      <c r="D28" s="21">
        <f t="shared" si="4"/>
        <v>5810.1140793346794</v>
      </c>
      <c r="E28" s="21">
        <f t="shared" si="4"/>
        <v>3586.4901803379116</v>
      </c>
      <c r="F28" s="21">
        <f t="shared" si="4"/>
        <v>1434.5960687633908</v>
      </c>
      <c r="G28" s="21">
        <f t="shared" si="4"/>
        <v>717.2980343816954</v>
      </c>
      <c r="H28" s="25"/>
      <c r="J28" s="2"/>
      <c r="K28" s="2"/>
      <c r="L28" s="2"/>
      <c r="M28" s="2"/>
      <c r="N28" s="2"/>
    </row>
    <row r="29" spans="2:14" x14ac:dyDescent="0.25">
      <c r="B29" s="23">
        <f t="shared" si="3"/>
        <v>1997</v>
      </c>
      <c r="C29" s="21">
        <f t="shared" si="4"/>
        <v>7669.3505819400625</v>
      </c>
      <c r="D29" s="21">
        <f t="shared" si="4"/>
        <v>5752.0129385413329</v>
      </c>
      <c r="E29" s="21">
        <f t="shared" si="4"/>
        <v>3550.6252785345323</v>
      </c>
      <c r="F29" s="21">
        <f t="shared" si="4"/>
        <v>1420.250108075757</v>
      </c>
      <c r="G29" s="21">
        <f t="shared" si="4"/>
        <v>710.1250540378785</v>
      </c>
      <c r="H29" s="25"/>
      <c r="J29" s="2"/>
      <c r="K29" s="2"/>
      <c r="L29" s="2"/>
      <c r="M29" s="2"/>
      <c r="N29" s="2"/>
    </row>
    <row r="30" spans="2:14" x14ac:dyDescent="0.25">
      <c r="B30" s="23">
        <f t="shared" si="3"/>
        <v>1996</v>
      </c>
      <c r="C30" s="21">
        <f t="shared" si="4"/>
        <v>7592.6570761206622</v>
      </c>
      <c r="D30" s="21">
        <f t="shared" si="4"/>
        <v>5694.4928091559195</v>
      </c>
      <c r="E30" s="21">
        <f t="shared" si="4"/>
        <v>3515.1190257491871</v>
      </c>
      <c r="F30" s="21">
        <f t="shared" si="4"/>
        <v>1406.0476069949993</v>
      </c>
      <c r="G30" s="21">
        <f t="shared" si="4"/>
        <v>703.02380349749967</v>
      </c>
      <c r="H30" s="25"/>
      <c r="J30" s="2"/>
      <c r="K30" s="2"/>
      <c r="L30" s="2"/>
      <c r="M30" s="2"/>
      <c r="N30" s="2"/>
    </row>
    <row r="31" spans="2:14" x14ac:dyDescent="0.25">
      <c r="B31" s="23">
        <f t="shared" si="3"/>
        <v>1995</v>
      </c>
      <c r="C31" s="21">
        <f t="shared" si="4"/>
        <v>7516.7305053594555</v>
      </c>
      <c r="D31" s="21">
        <f t="shared" si="4"/>
        <v>5637.5478810643599</v>
      </c>
      <c r="E31" s="21">
        <f t="shared" si="4"/>
        <v>3479.967835491695</v>
      </c>
      <c r="F31" s="21">
        <f t="shared" si="4"/>
        <v>1391.9871309250493</v>
      </c>
      <c r="G31" s="21">
        <f t="shared" si="4"/>
        <v>695.99356546252466</v>
      </c>
      <c r="H31" s="25"/>
      <c r="J31" s="2"/>
      <c r="K31" s="2"/>
      <c r="L31" s="2"/>
      <c r="M31" s="2"/>
      <c r="N31" s="2"/>
    </row>
    <row r="32" spans="2:14" x14ac:dyDescent="0.25">
      <c r="B32" s="23">
        <f t="shared" si="3"/>
        <v>1994</v>
      </c>
      <c r="C32" s="21">
        <f t="shared" si="4"/>
        <v>7441.5632003058608</v>
      </c>
      <c r="D32" s="21">
        <f t="shared" si="4"/>
        <v>5581.1724022537164</v>
      </c>
      <c r="E32" s="21">
        <f t="shared" si="4"/>
        <v>3445.1681571367781</v>
      </c>
      <c r="F32" s="21">
        <f t="shared" si="4"/>
        <v>1378.0672596157988</v>
      </c>
      <c r="G32" s="21">
        <f t="shared" si="4"/>
        <v>689.03362980789939</v>
      </c>
      <c r="H32" s="25"/>
      <c r="J32" s="2"/>
      <c r="K32" s="2"/>
      <c r="L32" s="2"/>
      <c r="M32" s="2"/>
      <c r="N32" s="2"/>
    </row>
    <row r="33" spans="2:14" x14ac:dyDescent="0.25">
      <c r="B33" s="23">
        <f t="shared" si="3"/>
        <v>1993</v>
      </c>
      <c r="C33" s="21">
        <f t="shared" si="4"/>
        <v>7367.147568302802</v>
      </c>
      <c r="D33" s="21">
        <f t="shared" si="4"/>
        <v>5525.360678231179</v>
      </c>
      <c r="E33" s="21">
        <f t="shared" si="4"/>
        <v>3410.7164755654103</v>
      </c>
      <c r="F33" s="21">
        <f t="shared" si="4"/>
        <v>1364.2865870196408</v>
      </c>
      <c r="G33" s="21">
        <f t="shared" si="4"/>
        <v>682.14329350982041</v>
      </c>
      <c r="H33" s="25"/>
      <c r="J33" s="2"/>
      <c r="K33" s="2"/>
      <c r="L33" s="2"/>
      <c r="M33" s="2"/>
      <c r="N33" s="2"/>
    </row>
    <row r="34" spans="2:14" x14ac:dyDescent="0.25">
      <c r="B34" s="23">
        <f t="shared" si="3"/>
        <v>1992</v>
      </c>
      <c r="C34" s="21">
        <f t="shared" si="4"/>
        <v>7293.4760926197741</v>
      </c>
      <c r="D34" s="21">
        <f t="shared" si="4"/>
        <v>5470.1070714488669</v>
      </c>
      <c r="E34" s="21">
        <f t="shared" si="4"/>
        <v>3376.6093108097562</v>
      </c>
      <c r="F34" s="21">
        <f t="shared" si="4"/>
        <v>1350.6437211494444</v>
      </c>
      <c r="G34" s="21">
        <f t="shared" si="4"/>
        <v>675.32186057472222</v>
      </c>
      <c r="H34" s="25"/>
      <c r="J34" s="2"/>
      <c r="K34" s="2"/>
      <c r="L34" s="2"/>
      <c r="M34" s="2"/>
      <c r="N34" s="2"/>
    </row>
    <row r="35" spans="2:14" x14ac:dyDescent="0.25">
      <c r="B35" s="23">
        <f t="shared" si="3"/>
        <v>1991</v>
      </c>
      <c r="C35" s="21">
        <f t="shared" si="4"/>
        <v>7220.5413316935765</v>
      </c>
      <c r="D35" s="21">
        <f t="shared" si="4"/>
        <v>5415.4060007343778</v>
      </c>
      <c r="E35" s="21">
        <f t="shared" si="4"/>
        <v>3342.8432177016584</v>
      </c>
      <c r="F35" s="21">
        <f t="shared" si="4"/>
        <v>1337.1372839379501</v>
      </c>
      <c r="G35" s="21">
        <f t="shared" si="4"/>
        <v>668.56864196897504</v>
      </c>
      <c r="H35" s="25"/>
      <c r="J35" s="2"/>
      <c r="K35" s="2"/>
      <c r="L35" s="2"/>
      <c r="M35" s="2"/>
      <c r="N35" s="2"/>
    </row>
    <row r="36" spans="2:14" x14ac:dyDescent="0.25">
      <c r="B36" s="23">
        <f t="shared" si="3"/>
        <v>1990</v>
      </c>
      <c r="C36" s="21">
        <f t="shared" si="4"/>
        <v>7148.3359183766406</v>
      </c>
      <c r="D36" s="21">
        <f t="shared" si="4"/>
        <v>5361.2519407270338</v>
      </c>
      <c r="E36" s="21">
        <f t="shared" si="4"/>
        <v>3309.414785524642</v>
      </c>
      <c r="F36" s="21">
        <f t="shared" si="4"/>
        <v>1323.7659110985705</v>
      </c>
      <c r="G36" s="21">
        <f t="shared" si="4"/>
        <v>661.88295554928527</v>
      </c>
      <c r="H36" s="25"/>
      <c r="J36" s="2"/>
      <c r="K36" s="2"/>
      <c r="L36" s="2"/>
      <c r="M36" s="2"/>
      <c r="N36" s="2"/>
    </row>
    <row r="37" spans="2:14" x14ac:dyDescent="0.25">
      <c r="B37" s="23">
        <f t="shared" si="3"/>
        <v>1989</v>
      </c>
      <c r="C37" s="21">
        <f t="shared" si="4"/>
        <v>7076.8525591928747</v>
      </c>
      <c r="D37" s="21">
        <f t="shared" si="4"/>
        <v>5307.6394213197636</v>
      </c>
      <c r="E37" s="21">
        <f t="shared" si="4"/>
        <v>3276.3206376693956</v>
      </c>
      <c r="F37" s="21">
        <f t="shared" si="4"/>
        <v>1310.5282519875848</v>
      </c>
      <c r="G37" s="21">
        <f t="shared" si="4"/>
        <v>655.26412599379239</v>
      </c>
      <c r="H37" s="25"/>
      <c r="J37" s="2"/>
      <c r="K37" s="2"/>
      <c r="L37" s="2"/>
      <c r="M37" s="2"/>
      <c r="N37" s="2"/>
    </row>
    <row r="38" spans="2:14" x14ac:dyDescent="0.25">
      <c r="B38" s="23">
        <f t="shared" si="3"/>
        <v>1988</v>
      </c>
      <c r="C38" s="21">
        <f t="shared" si="4"/>
        <v>7006.084033600946</v>
      </c>
      <c r="D38" s="21">
        <f t="shared" si="4"/>
        <v>5254.5630271065656</v>
      </c>
      <c r="E38" s="21">
        <f t="shared" si="4"/>
        <v>3243.5574312927015</v>
      </c>
      <c r="F38" s="21">
        <f t="shared" si="4"/>
        <v>1297.422969467709</v>
      </c>
      <c r="G38" s="21">
        <f t="shared" si="4"/>
        <v>648.71148473385449</v>
      </c>
      <c r="H38" s="25"/>
      <c r="J38" s="2"/>
      <c r="K38" s="2"/>
      <c r="L38" s="2"/>
      <c r="M38" s="2"/>
      <c r="N38" s="2"/>
    </row>
    <row r="39" spans="2:14" x14ac:dyDescent="0.25">
      <c r="B39" s="23">
        <f t="shared" si="3"/>
        <v>1987</v>
      </c>
      <c r="C39" s="21">
        <f t="shared" si="4"/>
        <v>6936.0231932649367</v>
      </c>
      <c r="D39" s="21">
        <f t="shared" si="4"/>
        <v>5202.0173968355002</v>
      </c>
      <c r="E39" s="21">
        <f t="shared" si="4"/>
        <v>3211.1218569797743</v>
      </c>
      <c r="F39" s="21">
        <f t="shared" si="4"/>
        <v>1284.448739773032</v>
      </c>
      <c r="G39" s="21">
        <f t="shared" si="4"/>
        <v>642.224369886516</v>
      </c>
      <c r="H39" s="25"/>
      <c r="J39" s="2"/>
      <c r="K39" s="2"/>
      <c r="L39" s="2"/>
      <c r="M39" s="2"/>
      <c r="N39" s="2"/>
    </row>
    <row r="40" spans="2:14" x14ac:dyDescent="0.25">
      <c r="B40" s="23">
        <f t="shared" si="3"/>
        <v>1986</v>
      </c>
      <c r="C40" s="21">
        <f t="shared" si="4"/>
        <v>6866.6629613322875</v>
      </c>
      <c r="D40" s="21">
        <f t="shared" si="4"/>
        <v>5149.997222867145</v>
      </c>
      <c r="E40" s="21">
        <f t="shared" si="4"/>
        <v>3179.0106384099768</v>
      </c>
      <c r="F40" s="21">
        <f t="shared" si="4"/>
        <v>1271.6042523753017</v>
      </c>
      <c r="G40" s="21">
        <f t="shared" si="4"/>
        <v>635.80212618765086</v>
      </c>
      <c r="H40" s="25"/>
      <c r="J40" s="2"/>
      <c r="K40" s="2"/>
      <c r="L40" s="2"/>
      <c r="M40" s="2"/>
      <c r="N40" s="2"/>
    </row>
    <row r="41" spans="2:14" x14ac:dyDescent="0.25">
      <c r="B41" s="23">
        <f t="shared" si="3"/>
        <v>1985</v>
      </c>
      <c r="C41" s="21">
        <f t="shared" si="4"/>
        <v>6797.9963317189649</v>
      </c>
      <c r="D41" s="21">
        <f t="shared" si="4"/>
        <v>5098.4972506384738</v>
      </c>
      <c r="E41" s="21">
        <f t="shared" si="4"/>
        <v>3147.2205320258772</v>
      </c>
      <c r="F41" s="21">
        <f t="shared" si="4"/>
        <v>1258.8882098515487</v>
      </c>
      <c r="G41" s="21">
        <f t="shared" si="4"/>
        <v>629.44410492577435</v>
      </c>
      <c r="H41" s="25"/>
      <c r="J41" s="2"/>
      <c r="K41" s="2"/>
      <c r="L41" s="2"/>
      <c r="M41" s="2"/>
      <c r="N41" s="2"/>
    </row>
    <row r="42" spans="2:14" x14ac:dyDescent="0.25">
      <c r="B42" s="23">
        <f t="shared" si="3"/>
        <v>1984</v>
      </c>
      <c r="C42" s="21">
        <f t="shared" si="4"/>
        <v>6730.0163684017753</v>
      </c>
      <c r="D42" s="21">
        <f t="shared" si="4"/>
        <v>5047.5122781320888</v>
      </c>
      <c r="E42" s="21">
        <f t="shared" si="4"/>
        <v>3115.7483267056186</v>
      </c>
      <c r="F42" s="21">
        <f t="shared" si="4"/>
        <v>1246.2993277530331</v>
      </c>
      <c r="G42" s="21">
        <f t="shared" si="4"/>
        <v>623.14966387651657</v>
      </c>
      <c r="H42" s="25"/>
      <c r="J42" s="2"/>
      <c r="K42" s="2"/>
      <c r="L42" s="2"/>
      <c r="M42" s="2"/>
      <c r="N42" s="2"/>
    </row>
    <row r="43" spans="2:14" x14ac:dyDescent="0.25">
      <c r="B43" s="23">
        <f t="shared" si="3"/>
        <v>1983</v>
      </c>
      <c r="C43" s="21">
        <f t="shared" si="4"/>
        <v>6662.7162047177571</v>
      </c>
      <c r="D43" s="21">
        <f t="shared" si="4"/>
        <v>4997.0371553507675</v>
      </c>
      <c r="E43" s="21">
        <f t="shared" si="4"/>
        <v>3084.5908434385624</v>
      </c>
      <c r="F43" s="21">
        <f t="shared" si="4"/>
        <v>1233.8363344755028</v>
      </c>
      <c r="G43" s="21">
        <f t="shared" si="4"/>
        <v>616.91816723775139</v>
      </c>
      <c r="H43" s="25"/>
      <c r="J43" s="2"/>
      <c r="K43" s="2"/>
      <c r="L43" s="2"/>
      <c r="M43" s="2"/>
      <c r="N43" s="2"/>
    </row>
    <row r="44" spans="2:14" x14ac:dyDescent="0.25">
      <c r="B44" s="23">
        <f t="shared" si="3"/>
        <v>1982</v>
      </c>
      <c r="C44" s="21">
        <f t="shared" ref="C44:G59" si="5">C43-(C43*0.01)</f>
        <v>6596.0890426705791</v>
      </c>
      <c r="D44" s="21">
        <f t="shared" si="5"/>
        <v>4947.0667837972596</v>
      </c>
      <c r="E44" s="21">
        <f t="shared" si="5"/>
        <v>3053.7449350041766</v>
      </c>
      <c r="F44" s="21">
        <f t="shared" si="5"/>
        <v>1221.4979711307478</v>
      </c>
      <c r="G44" s="21">
        <f t="shared" si="5"/>
        <v>610.74898556537391</v>
      </c>
      <c r="H44" s="25"/>
      <c r="J44" s="2"/>
      <c r="K44" s="2"/>
      <c r="L44" s="2"/>
      <c r="M44" s="2"/>
      <c r="N44" s="2"/>
    </row>
    <row r="45" spans="2:14" x14ac:dyDescent="0.25">
      <c r="B45" s="23">
        <f t="shared" si="3"/>
        <v>1981</v>
      </c>
      <c r="C45" s="21">
        <f t="shared" si="5"/>
        <v>6530.128152243873</v>
      </c>
      <c r="D45" s="21">
        <f t="shared" si="5"/>
        <v>4897.5961159592871</v>
      </c>
      <c r="E45" s="21">
        <f t="shared" si="5"/>
        <v>3023.2074856541349</v>
      </c>
      <c r="F45" s="21">
        <f t="shared" si="5"/>
        <v>1209.2829914194404</v>
      </c>
      <c r="G45" s="21">
        <f t="shared" si="5"/>
        <v>604.64149570972018</v>
      </c>
      <c r="H45" s="25"/>
      <c r="J45" s="2"/>
      <c r="K45" s="2"/>
      <c r="L45" s="2"/>
      <c r="M45" s="2"/>
      <c r="N45" s="2"/>
    </row>
    <row r="46" spans="2:14" x14ac:dyDescent="0.25">
      <c r="B46" s="23">
        <f t="shared" si="3"/>
        <v>1980</v>
      </c>
      <c r="C46" s="21">
        <f t="shared" si="5"/>
        <v>6464.8268707214347</v>
      </c>
      <c r="D46" s="21">
        <f t="shared" si="5"/>
        <v>4848.6201547996943</v>
      </c>
      <c r="E46" s="21">
        <f t="shared" si="5"/>
        <v>2992.9754107975937</v>
      </c>
      <c r="F46" s="21">
        <f t="shared" si="5"/>
        <v>1197.1901615052459</v>
      </c>
      <c r="G46" s="21">
        <f t="shared" si="5"/>
        <v>598.59508075262295</v>
      </c>
      <c r="H46" s="25"/>
      <c r="J46" s="2"/>
      <c r="K46" s="2"/>
      <c r="L46" s="2"/>
      <c r="M46" s="2"/>
      <c r="N46" s="2"/>
    </row>
    <row r="47" spans="2:14" x14ac:dyDescent="0.25">
      <c r="B47" s="23">
        <f t="shared" si="3"/>
        <v>1979</v>
      </c>
      <c r="C47" s="21">
        <f t="shared" si="5"/>
        <v>6400.1786020142208</v>
      </c>
      <c r="D47" s="21">
        <f t="shared" si="5"/>
        <v>4800.1339532516977</v>
      </c>
      <c r="E47" s="21">
        <f t="shared" si="5"/>
        <v>2963.0456566896178</v>
      </c>
      <c r="F47" s="21">
        <f t="shared" si="5"/>
        <v>1185.2182598901934</v>
      </c>
      <c r="G47" s="21">
        <f t="shared" si="5"/>
        <v>592.6091299450967</v>
      </c>
      <c r="H47" s="25"/>
      <c r="J47" s="2"/>
      <c r="K47" s="2"/>
      <c r="L47" s="2"/>
      <c r="M47" s="2"/>
      <c r="N47" s="2"/>
    </row>
    <row r="48" spans="2:14" x14ac:dyDescent="0.25">
      <c r="B48" s="23">
        <f t="shared" si="3"/>
        <v>1978</v>
      </c>
      <c r="C48" s="21">
        <f t="shared" si="5"/>
        <v>6336.1768159940784</v>
      </c>
      <c r="D48" s="21">
        <f t="shared" si="5"/>
        <v>4752.1326137191809</v>
      </c>
      <c r="E48" s="21">
        <f t="shared" si="5"/>
        <v>2933.4152001227217</v>
      </c>
      <c r="F48" s="21">
        <f t="shared" si="5"/>
        <v>1173.3660772912915</v>
      </c>
      <c r="G48" s="21">
        <f t="shared" si="5"/>
        <v>586.68303864564575</v>
      </c>
      <c r="H48" s="25"/>
      <c r="J48" s="2"/>
      <c r="K48" s="2"/>
      <c r="L48" s="2"/>
      <c r="M48" s="2"/>
      <c r="N48" s="2"/>
    </row>
    <row r="49" spans="2:14" x14ac:dyDescent="0.25">
      <c r="B49" s="23">
        <f t="shared" si="3"/>
        <v>1977</v>
      </c>
      <c r="C49" s="21">
        <f t="shared" si="5"/>
        <v>6272.8150478341377</v>
      </c>
      <c r="D49" s="21">
        <f t="shared" si="5"/>
        <v>4704.611287581989</v>
      </c>
      <c r="E49" s="21">
        <f t="shared" si="5"/>
        <v>2904.0810481214944</v>
      </c>
      <c r="F49" s="21">
        <f t="shared" si="5"/>
        <v>1161.6324165183785</v>
      </c>
      <c r="G49" s="21">
        <f t="shared" si="5"/>
        <v>580.81620825918924</v>
      </c>
      <c r="H49" s="25"/>
      <c r="J49" s="2"/>
      <c r="K49" s="2"/>
      <c r="L49" s="2"/>
      <c r="M49" s="2"/>
      <c r="N49" s="2"/>
    </row>
    <row r="50" spans="2:14" x14ac:dyDescent="0.25">
      <c r="B50" s="23">
        <f t="shared" si="3"/>
        <v>1976</v>
      </c>
      <c r="C50" s="21">
        <f t="shared" si="5"/>
        <v>6210.0868973557963</v>
      </c>
      <c r="D50" s="21">
        <f t="shared" si="5"/>
        <v>4657.5651747061693</v>
      </c>
      <c r="E50" s="21">
        <f t="shared" si="5"/>
        <v>2875.0402376402794</v>
      </c>
      <c r="F50" s="21">
        <f t="shared" si="5"/>
        <v>1150.0160923531946</v>
      </c>
      <c r="G50" s="21">
        <f t="shared" si="5"/>
        <v>575.0080461765973</v>
      </c>
      <c r="H50" s="25"/>
      <c r="J50" s="2"/>
      <c r="K50" s="2"/>
      <c r="L50" s="2"/>
      <c r="M50" s="2"/>
      <c r="N50" s="2"/>
    </row>
    <row r="51" spans="2:14" x14ac:dyDescent="0.25">
      <c r="B51" s="23">
        <f t="shared" si="3"/>
        <v>1975</v>
      </c>
      <c r="C51" s="21">
        <f t="shared" si="5"/>
        <v>6147.9860283822381</v>
      </c>
      <c r="D51" s="21">
        <f t="shared" si="5"/>
        <v>4610.9895229591075</v>
      </c>
      <c r="E51" s="21">
        <f t="shared" si="5"/>
        <v>2846.2898352638767</v>
      </c>
      <c r="F51" s="21">
        <f t="shared" si="5"/>
        <v>1138.5159314296627</v>
      </c>
      <c r="G51" s="21">
        <f t="shared" si="5"/>
        <v>569.25796571483136</v>
      </c>
      <c r="H51" s="25"/>
      <c r="J51" s="2"/>
      <c r="K51" s="2"/>
      <c r="L51" s="2"/>
      <c r="M51" s="2"/>
      <c r="N51" s="2"/>
    </row>
    <row r="52" spans="2:14" x14ac:dyDescent="0.25">
      <c r="B52" s="23">
        <f t="shared" si="3"/>
        <v>1974</v>
      </c>
      <c r="C52" s="21">
        <f t="shared" si="5"/>
        <v>6086.5061680984154</v>
      </c>
      <c r="D52" s="21">
        <f t="shared" si="5"/>
        <v>4564.8796277295169</v>
      </c>
      <c r="E52" s="21">
        <f t="shared" si="5"/>
        <v>2817.8269369112381</v>
      </c>
      <c r="F52" s="21">
        <f t="shared" si="5"/>
        <v>1127.1307721153662</v>
      </c>
      <c r="G52" s="21">
        <f t="shared" si="5"/>
        <v>563.5653860576831</v>
      </c>
      <c r="H52" s="25"/>
      <c r="J52" s="2"/>
      <c r="K52" s="2"/>
      <c r="L52" s="2"/>
      <c r="M52" s="2"/>
      <c r="N52" s="2"/>
    </row>
    <row r="53" spans="2:14" x14ac:dyDescent="0.25">
      <c r="B53" s="23">
        <f t="shared" si="3"/>
        <v>1973</v>
      </c>
      <c r="C53" s="21">
        <f t="shared" si="5"/>
        <v>6025.6411064174308</v>
      </c>
      <c r="D53" s="21">
        <f t="shared" si="5"/>
        <v>4519.2308314522215</v>
      </c>
      <c r="E53" s="21">
        <f t="shared" si="5"/>
        <v>2789.6486675421256</v>
      </c>
      <c r="F53" s="21">
        <f t="shared" si="5"/>
        <v>1115.8594643942126</v>
      </c>
      <c r="G53" s="21">
        <f t="shared" si="5"/>
        <v>557.92973219710632</v>
      </c>
      <c r="H53" s="25"/>
      <c r="J53" s="2"/>
      <c r="K53" s="2"/>
      <c r="L53" s="2"/>
      <c r="M53" s="2"/>
      <c r="N53" s="2"/>
    </row>
    <row r="54" spans="2:14" x14ac:dyDescent="0.25">
      <c r="B54" s="23">
        <f t="shared" si="3"/>
        <v>1972</v>
      </c>
      <c r="C54" s="21">
        <f t="shared" si="5"/>
        <v>5965.3846953532566</v>
      </c>
      <c r="D54" s="21">
        <f t="shared" si="5"/>
        <v>4474.0385231376995</v>
      </c>
      <c r="E54" s="21">
        <f t="shared" si="5"/>
        <v>2761.7521808667043</v>
      </c>
      <c r="F54" s="21">
        <f t="shared" si="5"/>
        <v>1104.7008697502706</v>
      </c>
      <c r="G54" s="21">
        <f t="shared" si="5"/>
        <v>552.35043487513531</v>
      </c>
      <c r="H54" s="25"/>
      <c r="J54" s="2"/>
      <c r="K54" s="2"/>
      <c r="L54" s="2"/>
      <c r="M54" s="2"/>
      <c r="N54" s="2"/>
    </row>
    <row r="55" spans="2:14" x14ac:dyDescent="0.25">
      <c r="B55" s="23">
        <f t="shared" si="3"/>
        <v>1971</v>
      </c>
      <c r="C55" s="21">
        <f t="shared" si="5"/>
        <v>5905.730848399724</v>
      </c>
      <c r="D55" s="21">
        <f t="shared" si="5"/>
        <v>4429.2981379063222</v>
      </c>
      <c r="E55" s="21">
        <f t="shared" si="5"/>
        <v>2734.1346590580374</v>
      </c>
      <c r="F55" s="21">
        <f t="shared" si="5"/>
        <v>1093.653861052768</v>
      </c>
      <c r="G55" s="21">
        <f t="shared" si="5"/>
        <v>546.82693052638399</v>
      </c>
      <c r="H55" s="25"/>
      <c r="J55" s="2"/>
      <c r="K55" s="2"/>
      <c r="L55" s="2"/>
      <c r="M55" s="2"/>
      <c r="N55" s="2"/>
    </row>
    <row r="56" spans="2:14" x14ac:dyDescent="0.25">
      <c r="B56" s="23">
        <f t="shared" si="3"/>
        <v>1970</v>
      </c>
      <c r="C56" s="21">
        <f t="shared" si="5"/>
        <v>5846.6735399157269</v>
      </c>
      <c r="D56" s="21">
        <f t="shared" si="5"/>
        <v>4385.0051565272588</v>
      </c>
      <c r="E56" s="21">
        <f t="shared" si="5"/>
        <v>2706.7933124674569</v>
      </c>
      <c r="F56" s="21">
        <f t="shared" si="5"/>
        <v>1082.7173224422404</v>
      </c>
      <c r="G56" s="21">
        <f t="shared" si="5"/>
        <v>541.3586612211202</v>
      </c>
      <c r="H56" s="25"/>
      <c r="J56" s="2"/>
      <c r="K56" s="2"/>
      <c r="L56" s="2"/>
      <c r="M56" s="2"/>
      <c r="N56" s="2"/>
    </row>
    <row r="57" spans="2:14" x14ac:dyDescent="0.25">
      <c r="B57" s="23">
        <f t="shared" si="3"/>
        <v>1969</v>
      </c>
      <c r="C57" s="21">
        <f t="shared" si="5"/>
        <v>5788.2068045165697</v>
      </c>
      <c r="D57" s="21">
        <f t="shared" si="5"/>
        <v>4341.1551049619866</v>
      </c>
      <c r="E57" s="21">
        <f t="shared" si="5"/>
        <v>2679.7253793427822</v>
      </c>
      <c r="F57" s="21">
        <f t="shared" si="5"/>
        <v>1071.8901492178179</v>
      </c>
      <c r="G57" s="21">
        <f t="shared" si="5"/>
        <v>535.94507460890895</v>
      </c>
      <c r="H57" s="25"/>
      <c r="J57" s="2"/>
      <c r="K57" s="2"/>
      <c r="L57" s="2"/>
      <c r="M57" s="2"/>
      <c r="N57" s="2"/>
    </row>
    <row r="58" spans="2:14" x14ac:dyDescent="0.25">
      <c r="B58" s="23">
        <f t="shared" si="3"/>
        <v>1968</v>
      </c>
      <c r="C58" s="21">
        <f t="shared" si="5"/>
        <v>5730.3247364714043</v>
      </c>
      <c r="D58" s="21">
        <f t="shared" si="5"/>
        <v>4297.7435539123671</v>
      </c>
      <c r="E58" s="21">
        <f t="shared" si="5"/>
        <v>2652.9281255493543</v>
      </c>
      <c r="F58" s="21">
        <f t="shared" si="5"/>
        <v>1061.1712477256397</v>
      </c>
      <c r="G58" s="21">
        <f t="shared" si="5"/>
        <v>530.58562386281983</v>
      </c>
      <c r="H58" s="25"/>
      <c r="J58" s="2"/>
      <c r="K58" s="2"/>
      <c r="L58" s="2"/>
      <c r="M58" s="2"/>
      <c r="N58" s="2"/>
    </row>
    <row r="59" spans="2:14" x14ac:dyDescent="0.25">
      <c r="B59" s="23">
        <f t="shared" si="3"/>
        <v>1967</v>
      </c>
      <c r="C59" s="21">
        <f t="shared" si="5"/>
        <v>5673.0214891066898</v>
      </c>
      <c r="D59" s="21">
        <f t="shared" si="5"/>
        <v>4254.7661183732434</v>
      </c>
      <c r="E59" s="21">
        <f t="shared" si="5"/>
        <v>2626.3988442938607</v>
      </c>
      <c r="F59" s="21">
        <f t="shared" si="5"/>
        <v>1050.5595352483833</v>
      </c>
      <c r="G59" s="21">
        <f t="shared" si="5"/>
        <v>525.27976762419166</v>
      </c>
      <c r="H59" s="25"/>
      <c r="J59" s="2"/>
      <c r="K59" s="2"/>
      <c r="L59" s="2"/>
      <c r="M59" s="2"/>
      <c r="N59" s="2"/>
    </row>
    <row r="60" spans="2:14" x14ac:dyDescent="0.25">
      <c r="B60" s="23">
        <f t="shared" si="3"/>
        <v>1966</v>
      </c>
      <c r="C60" s="21">
        <f t="shared" ref="C60:G75" si="6">C59-(C59*0.01)</f>
        <v>5616.2912742156232</v>
      </c>
      <c r="D60" s="21">
        <f t="shared" si="6"/>
        <v>4212.2184571895114</v>
      </c>
      <c r="E60" s="21">
        <f t="shared" si="6"/>
        <v>2600.1348558509221</v>
      </c>
      <c r="F60" s="21">
        <f t="shared" si="6"/>
        <v>1040.0539398958995</v>
      </c>
      <c r="G60" s="21">
        <f t="shared" si="6"/>
        <v>520.02696994794974</v>
      </c>
      <c r="H60" s="25"/>
      <c r="J60" s="2"/>
      <c r="K60" s="2"/>
      <c r="L60" s="2"/>
      <c r="M60" s="2"/>
      <c r="N60" s="2"/>
    </row>
    <row r="61" spans="2:14" x14ac:dyDescent="0.25">
      <c r="B61" s="23">
        <f t="shared" si="3"/>
        <v>1965</v>
      </c>
      <c r="C61" s="21">
        <f t="shared" si="6"/>
        <v>5560.1283614734666</v>
      </c>
      <c r="D61" s="21">
        <f t="shared" si="6"/>
        <v>4170.0962726176158</v>
      </c>
      <c r="E61" s="21">
        <f t="shared" si="6"/>
        <v>2574.133507292413</v>
      </c>
      <c r="F61" s="21">
        <f t="shared" si="6"/>
        <v>1029.6534004969405</v>
      </c>
      <c r="G61" s="21">
        <f t="shared" si="6"/>
        <v>514.82670024847027</v>
      </c>
      <c r="H61" s="25"/>
      <c r="J61" s="2"/>
      <c r="K61" s="2"/>
      <c r="L61" s="2"/>
      <c r="M61" s="2"/>
      <c r="N61" s="2"/>
    </row>
    <row r="62" spans="2:14" x14ac:dyDescent="0.25">
      <c r="B62" s="23">
        <f t="shared" si="3"/>
        <v>1964</v>
      </c>
      <c r="C62" s="21">
        <f t="shared" si="6"/>
        <v>5504.5270778587319</v>
      </c>
      <c r="D62" s="21">
        <f>D61-(D61*0.01)</f>
        <v>4128.3953098914399</v>
      </c>
      <c r="E62" s="21">
        <f>E61-(E61*0.01)</f>
        <v>2548.3921722194891</v>
      </c>
      <c r="F62" s="21">
        <f t="shared" si="6"/>
        <v>1019.3568664919711</v>
      </c>
      <c r="G62" s="21">
        <f t="shared" si="6"/>
        <v>509.67843324598556</v>
      </c>
      <c r="H62" s="25"/>
      <c r="J62" s="2"/>
      <c r="K62" s="2"/>
      <c r="L62" s="2"/>
      <c r="M62" s="2"/>
      <c r="N62" s="2"/>
    </row>
    <row r="63" spans="2:14" x14ac:dyDescent="0.25">
      <c r="B63" s="23">
        <f t="shared" si="3"/>
        <v>1963</v>
      </c>
      <c r="C63" s="21">
        <f t="shared" si="6"/>
        <v>5449.4818070801448</v>
      </c>
      <c r="D63" s="21">
        <f t="shared" si="6"/>
        <v>4087.1113567925254</v>
      </c>
      <c r="E63" s="21">
        <f t="shared" si="6"/>
        <v>2522.9082504972944</v>
      </c>
      <c r="F63" s="21">
        <f t="shared" si="6"/>
        <v>1009.1632978270515</v>
      </c>
      <c r="G63" s="21">
        <f t="shared" si="6"/>
        <v>504.58164891352573</v>
      </c>
      <c r="H63" s="25"/>
      <c r="J63" s="2"/>
      <c r="K63" s="2"/>
      <c r="L63" s="2"/>
      <c r="M63" s="2"/>
      <c r="N63" s="2"/>
    </row>
    <row r="64" spans="2:14" x14ac:dyDescent="0.25">
      <c r="B64" s="23">
        <f t="shared" si="3"/>
        <v>1962</v>
      </c>
      <c r="C64" s="21">
        <f t="shared" si="6"/>
        <v>5394.9869890093432</v>
      </c>
      <c r="D64" s="21">
        <f t="shared" si="6"/>
        <v>4046.2402432245999</v>
      </c>
      <c r="E64" s="21">
        <f t="shared" si="6"/>
        <v>2497.6791679923213</v>
      </c>
      <c r="F64" s="21">
        <f t="shared" si="6"/>
        <v>999.07166484878098</v>
      </c>
      <c r="G64" s="21">
        <f t="shared" si="6"/>
        <v>499.53583242439049</v>
      </c>
      <c r="H64" s="25"/>
      <c r="J64" s="2"/>
      <c r="K64" s="2"/>
      <c r="L64" s="2"/>
      <c r="M64" s="2"/>
      <c r="N64" s="2"/>
    </row>
    <row r="65" spans="2:14" x14ac:dyDescent="0.25">
      <c r="B65" s="23">
        <f t="shared" si="3"/>
        <v>1961</v>
      </c>
      <c r="C65" s="21">
        <f t="shared" si="6"/>
        <v>5341.0371191192498</v>
      </c>
      <c r="D65" s="21">
        <f t="shared" si="6"/>
        <v>4005.7778407923538</v>
      </c>
      <c r="E65" s="21">
        <f t="shared" si="6"/>
        <v>2472.702376312398</v>
      </c>
      <c r="F65" s="21">
        <f t="shared" si="6"/>
        <v>989.08094820029316</v>
      </c>
      <c r="G65" s="21">
        <f t="shared" si="6"/>
        <v>494.54047410014658</v>
      </c>
      <c r="H65" s="25"/>
      <c r="J65" s="2"/>
      <c r="K65" s="2"/>
      <c r="L65" s="2"/>
      <c r="M65" s="2"/>
      <c r="N65" s="2"/>
    </row>
    <row r="66" spans="2:14" x14ac:dyDescent="0.25">
      <c r="B66" s="23">
        <f t="shared" si="3"/>
        <v>1960</v>
      </c>
      <c r="C66" s="21">
        <f t="shared" si="6"/>
        <v>5287.6267479280577</v>
      </c>
      <c r="D66" s="21">
        <f t="shared" si="6"/>
        <v>3965.7200623844301</v>
      </c>
      <c r="E66" s="21">
        <f t="shared" si="6"/>
        <v>2447.9753525492738</v>
      </c>
      <c r="F66" s="21">
        <f t="shared" si="6"/>
        <v>979.1901387182902</v>
      </c>
      <c r="G66" s="21">
        <f t="shared" si="6"/>
        <v>489.5950693591451</v>
      </c>
      <c r="H66" s="25"/>
      <c r="J66" s="2"/>
      <c r="K66" s="2"/>
      <c r="L66" s="2"/>
      <c r="M66" s="2"/>
      <c r="N66" s="2"/>
    </row>
    <row r="67" spans="2:14" x14ac:dyDescent="0.25">
      <c r="B67" s="23">
        <f t="shared" si="3"/>
        <v>1959</v>
      </c>
      <c r="C67" s="21">
        <f t="shared" si="6"/>
        <v>5234.7504804487771</v>
      </c>
      <c r="D67" s="21">
        <f t="shared" si="6"/>
        <v>3926.0628617605857</v>
      </c>
      <c r="E67" s="21">
        <f t="shared" si="6"/>
        <v>2423.4955990237809</v>
      </c>
      <c r="F67" s="21">
        <f t="shared" si="6"/>
        <v>969.39823733110734</v>
      </c>
      <c r="G67" s="21">
        <f t="shared" si="6"/>
        <v>484.69911866555367</v>
      </c>
      <c r="H67" s="25"/>
      <c r="J67" s="2"/>
      <c r="K67" s="2"/>
      <c r="L67" s="2"/>
      <c r="M67" s="2"/>
      <c r="N67" s="2"/>
    </row>
    <row r="68" spans="2:14" x14ac:dyDescent="0.25">
      <c r="B68" s="23">
        <f t="shared" si="3"/>
        <v>1958</v>
      </c>
      <c r="C68" s="21">
        <f t="shared" si="6"/>
        <v>5182.4029756442897</v>
      </c>
      <c r="D68" s="21">
        <f t="shared" si="6"/>
        <v>3886.8022331429797</v>
      </c>
      <c r="E68" s="21">
        <f t="shared" si="6"/>
        <v>2399.2606430335431</v>
      </c>
      <c r="F68" s="21">
        <f t="shared" si="6"/>
        <v>959.70425495779625</v>
      </c>
      <c r="G68" s="21">
        <f t="shared" si="6"/>
        <v>479.85212747889813</v>
      </c>
      <c r="H68" s="25"/>
      <c r="J68" s="2"/>
      <c r="K68" s="2"/>
      <c r="L68" s="2"/>
      <c r="M68" s="2"/>
      <c r="N68" s="2"/>
    </row>
    <row r="69" spans="2:14" x14ac:dyDescent="0.25">
      <c r="B69" s="23">
        <f t="shared" si="3"/>
        <v>1957</v>
      </c>
      <c r="C69" s="21">
        <f t="shared" si="6"/>
        <v>5130.5789458878471</v>
      </c>
      <c r="D69" s="21">
        <f t="shared" si="6"/>
        <v>3847.9342108115497</v>
      </c>
      <c r="E69" s="21">
        <f t="shared" si="6"/>
        <v>2375.2680366032077</v>
      </c>
      <c r="F69" s="21">
        <f t="shared" si="6"/>
        <v>950.10721240821829</v>
      </c>
      <c r="G69" s="21">
        <f t="shared" si="6"/>
        <v>475.05360620410914</v>
      </c>
      <c r="H69" s="25"/>
      <c r="J69" s="2"/>
      <c r="K69" s="2"/>
      <c r="L69" s="2"/>
      <c r="M69" s="2"/>
      <c r="N69" s="2"/>
    </row>
    <row r="70" spans="2:14" x14ac:dyDescent="0.25">
      <c r="B70" s="23">
        <f t="shared" si="3"/>
        <v>1956</v>
      </c>
      <c r="C70" s="21">
        <f t="shared" si="6"/>
        <v>5079.2731564289688</v>
      </c>
      <c r="D70" s="21">
        <f t="shared" si="6"/>
        <v>3809.4548687034344</v>
      </c>
      <c r="E70" s="21">
        <f t="shared" si="6"/>
        <v>2351.5153562371756</v>
      </c>
      <c r="F70" s="21">
        <f t="shared" si="6"/>
        <v>940.60614028413613</v>
      </c>
      <c r="G70" s="21">
        <f t="shared" si="6"/>
        <v>470.30307014206807</v>
      </c>
      <c r="H70" s="25"/>
      <c r="J70" s="2"/>
      <c r="K70" s="2"/>
      <c r="L70" s="2"/>
      <c r="M70" s="2"/>
      <c r="N70" s="2"/>
    </row>
    <row r="71" spans="2:14" x14ac:dyDescent="0.25">
      <c r="B71" s="23">
        <f t="shared" si="3"/>
        <v>1955</v>
      </c>
      <c r="C71" s="21">
        <f t="shared" si="6"/>
        <v>5028.4804248646788</v>
      </c>
      <c r="D71" s="21">
        <f t="shared" si="6"/>
        <v>3771.3603200164002</v>
      </c>
      <c r="E71" s="21">
        <f t="shared" si="6"/>
        <v>2328.0002026748039</v>
      </c>
      <c r="F71" s="21">
        <f t="shared" si="6"/>
        <v>931.20007888129476</v>
      </c>
      <c r="G71" s="21">
        <f t="shared" si="6"/>
        <v>465.60003944064738</v>
      </c>
      <c r="H71" s="25"/>
      <c r="J71" s="2"/>
      <c r="K71" s="2"/>
      <c r="L71" s="2"/>
      <c r="M71" s="2"/>
      <c r="N71" s="2"/>
    </row>
    <row r="72" spans="2:14" x14ac:dyDescent="0.25">
      <c r="B72" s="23">
        <f t="shared" si="3"/>
        <v>1954</v>
      </c>
      <c r="C72" s="21">
        <f t="shared" si="6"/>
        <v>4978.1956206160321</v>
      </c>
      <c r="D72" s="21">
        <f t="shared" si="6"/>
        <v>3733.6467168162362</v>
      </c>
      <c r="E72" s="21">
        <f t="shared" si="6"/>
        <v>2304.7202006480557</v>
      </c>
      <c r="F72" s="21">
        <f t="shared" si="6"/>
        <v>921.88807809248181</v>
      </c>
      <c r="G72" s="21">
        <f t="shared" si="6"/>
        <v>460.9440390462409</v>
      </c>
      <c r="H72" s="25"/>
      <c r="J72" s="2"/>
      <c r="K72" s="2"/>
      <c r="L72" s="2"/>
      <c r="M72" s="2"/>
      <c r="N72" s="2"/>
    </row>
    <row r="73" spans="2:14" x14ac:dyDescent="0.25">
      <c r="B73" s="23">
        <f t="shared" si="3"/>
        <v>1953</v>
      </c>
      <c r="C73" s="21">
        <f t="shared" si="6"/>
        <v>4928.4136644098717</v>
      </c>
      <c r="D73" s="21">
        <f t="shared" si="6"/>
        <v>3696.3102496480737</v>
      </c>
      <c r="E73" s="21">
        <f t="shared" si="6"/>
        <v>2281.6729986415753</v>
      </c>
      <c r="F73" s="21">
        <f t="shared" si="6"/>
        <v>912.66919731155701</v>
      </c>
      <c r="G73" s="21">
        <f t="shared" si="6"/>
        <v>456.33459865577851</v>
      </c>
      <c r="H73" s="25"/>
      <c r="J73" s="2"/>
      <c r="K73" s="2"/>
      <c r="L73" s="2"/>
      <c r="M73" s="2"/>
      <c r="N73" s="2"/>
    </row>
    <row r="74" spans="2:14" x14ac:dyDescent="0.25">
      <c r="B74" s="23">
        <f t="shared" si="3"/>
        <v>1952</v>
      </c>
      <c r="C74" s="21">
        <f t="shared" si="6"/>
        <v>4879.1295277657728</v>
      </c>
      <c r="D74" s="21">
        <f t="shared" si="6"/>
        <v>3659.3471471515932</v>
      </c>
      <c r="E74" s="21">
        <f t="shared" si="6"/>
        <v>2258.8562686551595</v>
      </c>
      <c r="F74" s="21">
        <f t="shared" si="6"/>
        <v>903.5425053384414</v>
      </c>
      <c r="G74" s="21">
        <f t="shared" si="6"/>
        <v>451.7712526692207</v>
      </c>
      <c r="H74" s="25"/>
      <c r="J74" s="2"/>
      <c r="K74" s="2"/>
      <c r="L74" s="2"/>
      <c r="M74" s="2"/>
      <c r="N74" s="2"/>
    </row>
    <row r="75" spans="2:14" x14ac:dyDescent="0.25">
      <c r="B75" s="23">
        <f t="shared" si="3"/>
        <v>1951</v>
      </c>
      <c r="C75" s="21">
        <f t="shared" si="6"/>
        <v>4830.338232488115</v>
      </c>
      <c r="D75" s="21">
        <f t="shared" si="6"/>
        <v>3622.7536756800773</v>
      </c>
      <c r="E75" s="21">
        <f t="shared" si="6"/>
        <v>2236.267705968608</v>
      </c>
      <c r="F75" s="21">
        <f t="shared" si="6"/>
        <v>894.50708028505699</v>
      </c>
      <c r="G75" s="21">
        <f t="shared" si="6"/>
        <v>447.25354014252849</v>
      </c>
      <c r="H75" s="25"/>
      <c r="J75" s="2"/>
      <c r="K75" s="2"/>
      <c r="L75" s="2"/>
      <c r="M75" s="2"/>
      <c r="N75" s="2"/>
    </row>
    <row r="76" spans="2:14" x14ac:dyDescent="0.25">
      <c r="B76" s="23">
        <f t="shared" si="3"/>
        <v>1950</v>
      </c>
      <c r="C76" s="21">
        <f t="shared" ref="C76:G91" si="7">C75-(C75*0.01)</f>
        <v>4782.0348501632334</v>
      </c>
      <c r="D76" s="21">
        <f t="shared" si="7"/>
        <v>3586.5261389232764</v>
      </c>
      <c r="E76" s="21">
        <f t="shared" si="7"/>
        <v>2213.9050289089218</v>
      </c>
      <c r="F76" s="21">
        <f t="shared" si="7"/>
        <v>885.56200948220646</v>
      </c>
      <c r="G76" s="21">
        <f t="shared" si="7"/>
        <v>442.78100474110323</v>
      </c>
      <c r="H76" s="25"/>
      <c r="J76" s="2"/>
      <c r="K76" s="2"/>
      <c r="L76" s="2"/>
      <c r="M76" s="2"/>
      <c r="N76" s="2"/>
    </row>
    <row r="77" spans="2:14" x14ac:dyDescent="0.25">
      <c r="B77" s="23">
        <f t="shared" ref="B77:B92" si="8">B76-1</f>
        <v>1949</v>
      </c>
      <c r="C77" s="21">
        <f t="shared" si="7"/>
        <v>4734.2145016616014</v>
      </c>
      <c r="D77" s="21">
        <f t="shared" si="7"/>
        <v>3550.6608775340437</v>
      </c>
      <c r="E77" s="21">
        <f t="shared" si="7"/>
        <v>2191.7659786198328</v>
      </c>
      <c r="F77" s="21">
        <f t="shared" si="7"/>
        <v>876.70638938738443</v>
      </c>
      <c r="G77" s="21">
        <f t="shared" si="7"/>
        <v>438.35319469369222</v>
      </c>
      <c r="H77" s="25"/>
      <c r="J77" s="2"/>
      <c r="K77" s="2"/>
      <c r="L77" s="2"/>
      <c r="M77" s="2"/>
      <c r="N77" s="2"/>
    </row>
    <row r="78" spans="2:14" x14ac:dyDescent="0.25">
      <c r="B78" s="23">
        <f t="shared" si="8"/>
        <v>1948</v>
      </c>
      <c r="C78" s="21">
        <f t="shared" si="7"/>
        <v>4686.8723566449853</v>
      </c>
      <c r="D78" s="21">
        <f t="shared" si="7"/>
        <v>3515.1542687587034</v>
      </c>
      <c r="E78" s="21">
        <f t="shared" si="7"/>
        <v>2169.8483188336345</v>
      </c>
      <c r="F78" s="21">
        <f t="shared" si="7"/>
        <v>867.93932549351064</v>
      </c>
      <c r="G78" s="21">
        <f t="shared" si="7"/>
        <v>433.96966274675532</v>
      </c>
      <c r="H78" s="25"/>
      <c r="J78" s="2"/>
      <c r="K78" s="2"/>
      <c r="L78" s="2"/>
      <c r="M78" s="2"/>
      <c r="N78" s="2"/>
    </row>
    <row r="79" spans="2:14" x14ac:dyDescent="0.25">
      <c r="B79" s="23">
        <f t="shared" si="8"/>
        <v>1947</v>
      </c>
      <c r="C79" s="21">
        <f t="shared" si="7"/>
        <v>4640.0036330785351</v>
      </c>
      <c r="D79" s="21">
        <f t="shared" si="7"/>
        <v>3480.0027260711163</v>
      </c>
      <c r="E79" s="21">
        <f t="shared" si="7"/>
        <v>2148.149835645298</v>
      </c>
      <c r="F79" s="21">
        <f t="shared" si="7"/>
        <v>859.25993223857552</v>
      </c>
      <c r="G79" s="21">
        <f t="shared" si="7"/>
        <v>429.62996611928776</v>
      </c>
      <c r="H79" s="25"/>
      <c r="J79" s="2"/>
      <c r="K79" s="2"/>
      <c r="L79" s="2"/>
      <c r="M79" s="2"/>
      <c r="N79" s="2"/>
    </row>
    <row r="80" spans="2:14" x14ac:dyDescent="0.25">
      <c r="B80" s="23">
        <f t="shared" si="8"/>
        <v>1946</v>
      </c>
      <c r="C80" s="21">
        <f t="shared" si="7"/>
        <v>4593.6035967477501</v>
      </c>
      <c r="D80" s="21">
        <f t="shared" si="7"/>
        <v>3445.2026988104053</v>
      </c>
      <c r="E80" s="21">
        <f t="shared" si="7"/>
        <v>2126.6683372888451</v>
      </c>
      <c r="F80" s="21">
        <f t="shared" si="7"/>
        <v>850.66733291618971</v>
      </c>
      <c r="G80" s="21">
        <f t="shared" si="7"/>
        <v>425.33366645809485</v>
      </c>
      <c r="H80" s="25"/>
      <c r="J80" s="2"/>
      <c r="K80" s="2"/>
      <c r="L80" s="2"/>
      <c r="M80" s="2"/>
      <c r="N80" s="2"/>
    </row>
    <row r="81" spans="2:14" x14ac:dyDescent="0.25">
      <c r="B81" s="23">
        <f t="shared" si="8"/>
        <v>1945</v>
      </c>
      <c r="C81" s="21">
        <f t="shared" si="7"/>
        <v>4547.6675607802727</v>
      </c>
      <c r="D81" s="21">
        <f t="shared" si="7"/>
        <v>3410.7506718223012</v>
      </c>
      <c r="E81" s="21">
        <f t="shared" si="7"/>
        <v>2105.4016539159566</v>
      </c>
      <c r="F81" s="21">
        <f t="shared" si="7"/>
        <v>842.16065958702779</v>
      </c>
      <c r="G81" s="21">
        <f t="shared" si="7"/>
        <v>421.0803297935139</v>
      </c>
      <c r="H81" s="25"/>
      <c r="J81" s="2"/>
      <c r="K81" s="2"/>
      <c r="L81" s="2"/>
      <c r="M81" s="2"/>
      <c r="N81" s="2"/>
    </row>
    <row r="82" spans="2:14" x14ac:dyDescent="0.25">
      <c r="B82" s="23">
        <f t="shared" si="8"/>
        <v>1944</v>
      </c>
      <c r="C82" s="21">
        <f t="shared" si="7"/>
        <v>4502.1908851724702</v>
      </c>
      <c r="D82" s="21">
        <f t="shared" si="7"/>
        <v>3376.6431651040784</v>
      </c>
      <c r="E82" s="21">
        <f t="shared" si="7"/>
        <v>2084.3476373767971</v>
      </c>
      <c r="F82" s="21">
        <f t="shared" si="7"/>
        <v>833.73905299115756</v>
      </c>
      <c r="G82" s="21">
        <f t="shared" si="7"/>
        <v>416.86952649557878</v>
      </c>
      <c r="H82" s="25"/>
      <c r="J82" s="2"/>
      <c r="K82" s="2"/>
      <c r="L82" s="2"/>
      <c r="M82" s="2"/>
      <c r="N82" s="2"/>
    </row>
    <row r="83" spans="2:14" x14ac:dyDescent="0.25">
      <c r="B83" s="23">
        <f t="shared" si="8"/>
        <v>1943</v>
      </c>
      <c r="C83" s="21">
        <f t="shared" si="7"/>
        <v>4457.1689763207451</v>
      </c>
      <c r="D83" s="21">
        <f t="shared" si="7"/>
        <v>3342.8767334530376</v>
      </c>
      <c r="E83" s="21">
        <f t="shared" si="7"/>
        <v>2063.5041610030294</v>
      </c>
      <c r="F83" s="21">
        <f t="shared" si="7"/>
        <v>825.40166246124602</v>
      </c>
      <c r="G83" s="21">
        <f t="shared" si="7"/>
        <v>412.70083123062301</v>
      </c>
      <c r="H83" s="25"/>
      <c r="J83" s="2"/>
      <c r="K83" s="2"/>
      <c r="L83" s="2"/>
      <c r="M83" s="2"/>
      <c r="N83" s="2"/>
    </row>
    <row r="84" spans="2:14" x14ac:dyDescent="0.25">
      <c r="B84" s="23">
        <f t="shared" si="8"/>
        <v>1942</v>
      </c>
      <c r="C84" s="21">
        <f t="shared" si="7"/>
        <v>4412.5972865575377</v>
      </c>
      <c r="D84" s="21">
        <f t="shared" si="7"/>
        <v>3309.4479661185073</v>
      </c>
      <c r="E84" s="21">
        <f t="shared" si="7"/>
        <v>2042.869119392999</v>
      </c>
      <c r="F84" s="21">
        <f t="shared" si="7"/>
        <v>817.14764583663361</v>
      </c>
      <c r="G84" s="21">
        <f t="shared" si="7"/>
        <v>408.57382291831681</v>
      </c>
      <c r="H84" s="25"/>
      <c r="J84" s="2"/>
      <c r="K84" s="2"/>
      <c r="L84" s="2"/>
      <c r="M84" s="2"/>
      <c r="N84" s="2"/>
    </row>
    <row r="85" spans="2:14" x14ac:dyDescent="0.25">
      <c r="B85" s="23">
        <f t="shared" si="8"/>
        <v>1941</v>
      </c>
      <c r="C85" s="21">
        <f t="shared" si="7"/>
        <v>4368.4713136919627</v>
      </c>
      <c r="D85" s="21">
        <f t="shared" si="7"/>
        <v>3276.3534864573221</v>
      </c>
      <c r="E85" s="21">
        <f t="shared" si="7"/>
        <v>2022.4404281990689</v>
      </c>
      <c r="F85" s="21">
        <f t="shared" si="7"/>
        <v>808.97616937826729</v>
      </c>
      <c r="G85" s="21">
        <f t="shared" si="7"/>
        <v>404.48808468913364</v>
      </c>
      <c r="H85" s="25"/>
      <c r="J85" s="2"/>
      <c r="K85" s="2"/>
      <c r="L85" s="2"/>
      <c r="M85" s="2"/>
      <c r="N85" s="2"/>
    </row>
    <row r="86" spans="2:14" x14ac:dyDescent="0.25">
      <c r="B86" s="23">
        <f t="shared" si="8"/>
        <v>1940</v>
      </c>
      <c r="C86" s="21">
        <f t="shared" si="7"/>
        <v>4324.7866005550432</v>
      </c>
      <c r="D86" s="21">
        <f t="shared" si="7"/>
        <v>3243.589951592749</v>
      </c>
      <c r="E86" s="21">
        <f t="shared" si="7"/>
        <v>2002.2160239170782</v>
      </c>
      <c r="F86" s="21">
        <f t="shared" si="7"/>
        <v>800.88640768448465</v>
      </c>
      <c r="G86" s="21">
        <f t="shared" si="7"/>
        <v>400.44320384224233</v>
      </c>
      <c r="H86" s="25"/>
      <c r="J86" s="2"/>
      <c r="K86" s="2"/>
      <c r="L86" s="2"/>
      <c r="M86" s="2"/>
      <c r="N86" s="2"/>
    </row>
    <row r="87" spans="2:14" x14ac:dyDescent="0.25">
      <c r="B87" s="23">
        <f t="shared" si="8"/>
        <v>1939</v>
      </c>
      <c r="C87" s="21">
        <f t="shared" si="7"/>
        <v>4281.5387345494928</v>
      </c>
      <c r="D87" s="21">
        <f t="shared" si="7"/>
        <v>3211.1540520768217</v>
      </c>
      <c r="E87" s="21">
        <f t="shared" si="7"/>
        <v>1982.1938636779075</v>
      </c>
      <c r="F87" s="21">
        <f t="shared" si="7"/>
        <v>792.87754360763984</v>
      </c>
      <c r="G87" s="21">
        <f t="shared" si="7"/>
        <v>396.43877180381992</v>
      </c>
      <c r="H87" s="25"/>
      <c r="J87" s="2"/>
      <c r="K87" s="2"/>
      <c r="L87" s="2"/>
      <c r="M87" s="2"/>
      <c r="N87" s="2"/>
    </row>
    <row r="88" spans="2:14" x14ac:dyDescent="0.25">
      <c r="B88" s="23">
        <f t="shared" si="8"/>
        <v>1938</v>
      </c>
      <c r="C88" s="21">
        <f t="shared" si="7"/>
        <v>4238.7233472039979</v>
      </c>
      <c r="D88" s="21">
        <f t="shared" si="7"/>
        <v>3179.0425115560533</v>
      </c>
      <c r="E88" s="21">
        <f t="shared" si="7"/>
        <v>1962.3719250411284</v>
      </c>
      <c r="F88" s="21">
        <f t="shared" si="7"/>
        <v>784.94876817156342</v>
      </c>
      <c r="G88" s="21">
        <f t="shared" si="7"/>
        <v>392.47438408578171</v>
      </c>
      <c r="H88" s="25"/>
      <c r="J88" s="2"/>
      <c r="K88" s="2"/>
      <c r="L88" s="2"/>
      <c r="M88" s="2"/>
      <c r="N88" s="2"/>
    </row>
    <row r="89" spans="2:14" x14ac:dyDescent="0.25">
      <c r="B89" s="23">
        <f t="shared" si="8"/>
        <v>1937</v>
      </c>
      <c r="C89" s="21">
        <f t="shared" si="7"/>
        <v>4196.336113731958</v>
      </c>
      <c r="D89" s="21">
        <f t="shared" si="7"/>
        <v>3147.2520864404928</v>
      </c>
      <c r="E89" s="21">
        <f t="shared" si="7"/>
        <v>1942.7482057907171</v>
      </c>
      <c r="F89" s="21">
        <f t="shared" si="7"/>
        <v>777.09928048984773</v>
      </c>
      <c r="G89" s="21">
        <f t="shared" si="7"/>
        <v>388.54964024492386</v>
      </c>
      <c r="H89" s="25"/>
      <c r="J89" s="2"/>
      <c r="K89" s="2"/>
      <c r="L89" s="2"/>
      <c r="M89" s="2"/>
      <c r="N89" s="2"/>
    </row>
    <row r="90" spans="2:14" x14ac:dyDescent="0.25">
      <c r="B90" s="23">
        <f t="shared" si="8"/>
        <v>1936</v>
      </c>
      <c r="C90" s="21">
        <f t="shared" si="7"/>
        <v>4154.3727525946388</v>
      </c>
      <c r="D90" s="21">
        <f t="shared" si="7"/>
        <v>3115.7795655760879</v>
      </c>
      <c r="E90" s="21">
        <f t="shared" si="7"/>
        <v>1923.3207237328099</v>
      </c>
      <c r="F90" s="21">
        <f t="shared" si="7"/>
        <v>769.32828768494926</v>
      </c>
      <c r="G90" s="21">
        <f t="shared" si="7"/>
        <v>384.66414384247463</v>
      </c>
      <c r="H90" s="25"/>
      <c r="J90" s="2"/>
      <c r="K90" s="2"/>
      <c r="L90" s="2"/>
      <c r="M90" s="2"/>
      <c r="N90" s="2"/>
    </row>
    <row r="91" spans="2:14" x14ac:dyDescent="0.25">
      <c r="B91" s="23">
        <f t="shared" si="8"/>
        <v>1935</v>
      </c>
      <c r="C91" s="21">
        <f t="shared" si="7"/>
        <v>4112.8290250686923</v>
      </c>
      <c r="D91" s="21">
        <f t="shared" si="7"/>
        <v>3084.6217699203271</v>
      </c>
      <c r="E91" s="21">
        <f t="shared" si="7"/>
        <v>1904.0875164954819</v>
      </c>
      <c r="F91" s="21">
        <f t="shared" si="7"/>
        <v>761.63500480809978</v>
      </c>
      <c r="G91" s="21">
        <f t="shared" si="7"/>
        <v>380.81750240404989</v>
      </c>
      <c r="H91" s="25"/>
      <c r="J91" s="2"/>
      <c r="K91" s="2"/>
      <c r="L91" s="2"/>
      <c r="M91" s="2"/>
      <c r="N91" s="2"/>
    </row>
    <row r="92" spans="2:14" x14ac:dyDescent="0.25">
      <c r="B92" s="23">
        <f t="shared" si="8"/>
        <v>1934</v>
      </c>
      <c r="C92" s="21">
        <f>C91-(C91*0.01)</f>
        <v>4071.7007348180055</v>
      </c>
      <c r="D92" s="21">
        <f>D91-(D91*0.01)</f>
        <v>3053.7755522211237</v>
      </c>
      <c r="E92" s="21">
        <f>E91-(E91*0.01)</f>
        <v>1885.0466413305271</v>
      </c>
      <c r="F92" s="21">
        <f>F91-(F91*0.01)</f>
        <v>754.01865476001876</v>
      </c>
      <c r="G92" s="21">
        <f>G91-(G91*0.01)</f>
        <v>377.00932738000938</v>
      </c>
      <c r="H92" s="25"/>
      <c r="J92" s="2"/>
      <c r="K92" s="2"/>
      <c r="L92" s="2"/>
      <c r="M92" s="2"/>
      <c r="N92" s="2"/>
    </row>
    <row r="93" spans="2:14" x14ac:dyDescent="0.25">
      <c r="J93" s="2"/>
      <c r="K93" s="2"/>
      <c r="L93" s="2"/>
      <c r="M93" s="2"/>
      <c r="N93" s="2"/>
    </row>
    <row r="94" spans="2:14" x14ac:dyDescent="0.25">
      <c r="J94" s="2"/>
      <c r="K94" s="2"/>
      <c r="L94" s="2"/>
      <c r="M94" s="2"/>
      <c r="N94" s="2"/>
    </row>
    <row r="95" spans="2:14" x14ac:dyDescent="0.25">
      <c r="J95" s="2"/>
      <c r="K95" s="2"/>
      <c r="L95" s="2"/>
      <c r="M95" s="2"/>
      <c r="N95" s="2"/>
    </row>
    <row r="96" spans="2:14" x14ac:dyDescent="0.25">
      <c r="J96" s="2"/>
      <c r="K96" s="2"/>
      <c r="L96" s="2"/>
      <c r="M96" s="2"/>
      <c r="N96" s="2"/>
    </row>
    <row r="97" spans="10:14" x14ac:dyDescent="0.25">
      <c r="J97" s="2"/>
      <c r="K97" s="2"/>
      <c r="L97" s="2"/>
      <c r="M97" s="2"/>
      <c r="N97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109"/>
  <sheetViews>
    <sheetView tabSelected="1" zoomScaleNormal="100" workbookViewId="0">
      <selection activeCell="B17" sqref="B17:G17"/>
    </sheetView>
  </sheetViews>
  <sheetFormatPr baseColWidth="10" defaultRowHeight="15" x14ac:dyDescent="0.25"/>
  <cols>
    <col min="1" max="1" width="5" bestFit="1" customWidth="1"/>
    <col min="2" max="2" width="12.5703125" bestFit="1" customWidth="1"/>
    <col min="3" max="4" width="12.140625" bestFit="1" customWidth="1"/>
    <col min="5" max="5" width="11.5703125" bestFit="1" customWidth="1"/>
    <col min="6" max="6" width="10.85546875" bestFit="1" customWidth="1"/>
    <col min="8" max="8" width="11.85546875" bestFit="1" customWidth="1"/>
  </cols>
  <sheetData>
    <row r="1" spans="1:8" x14ac:dyDescent="0.25">
      <c r="C1" s="31" t="s">
        <v>61</v>
      </c>
    </row>
    <row r="2" spans="1:8" x14ac:dyDescent="0.25">
      <c r="B2" s="36" t="s">
        <v>53</v>
      </c>
      <c r="C2" s="36" t="s">
        <v>54</v>
      </c>
      <c r="D2" s="36" t="s">
        <v>55</v>
      </c>
      <c r="E2" s="36" t="s">
        <v>56</v>
      </c>
      <c r="F2" s="36" t="s">
        <v>57</v>
      </c>
    </row>
    <row r="3" spans="1:8" x14ac:dyDescent="0.25">
      <c r="A3">
        <v>2015</v>
      </c>
      <c r="B3" s="21">
        <v>6757.5019499999999</v>
      </c>
      <c r="C3" s="21">
        <v>5068.1264600000004</v>
      </c>
      <c r="D3" s="21">
        <v>3128.4731299999999</v>
      </c>
      <c r="E3" s="21">
        <v>1251.3892499999999</v>
      </c>
      <c r="F3" s="21">
        <v>625.69462499999997</v>
      </c>
    </row>
    <row r="4" spans="1:8" x14ac:dyDescent="0.25">
      <c r="A4">
        <v>2016</v>
      </c>
      <c r="B4" s="27">
        <f>+B3*1.36</f>
        <v>9190.2026519999999</v>
      </c>
      <c r="C4" s="27">
        <f t="shared" ref="C4:F4" si="0">+C3*1.36</f>
        <v>6892.6519856000014</v>
      </c>
      <c r="D4" s="27">
        <f t="shared" si="0"/>
        <v>4254.7234568000003</v>
      </c>
      <c r="E4" s="27">
        <f t="shared" si="0"/>
        <v>1701.8893800000001</v>
      </c>
      <c r="F4" s="27">
        <f t="shared" si="0"/>
        <v>850.94469000000004</v>
      </c>
    </row>
    <row r="5" spans="1:8" x14ac:dyDescent="0.25">
      <c r="A5" s="42">
        <v>2017</v>
      </c>
      <c r="B5" s="38">
        <f>+B4*1.39</f>
        <v>12774.381686279999</v>
      </c>
      <c r="C5" s="38">
        <f t="shared" ref="C5:F5" si="1">+C4*1.39</f>
        <v>9580.7862599840009</v>
      </c>
      <c r="D5" s="38">
        <f t="shared" si="1"/>
        <v>5914.0656049520003</v>
      </c>
      <c r="E5" s="38">
        <f t="shared" si="1"/>
        <v>2365.6262382</v>
      </c>
      <c r="F5" s="38">
        <f t="shared" si="1"/>
        <v>1182.8131191</v>
      </c>
    </row>
    <row r="6" spans="1:8" x14ac:dyDescent="0.25">
      <c r="A6" s="42">
        <v>2018</v>
      </c>
      <c r="B6" s="38">
        <f>+B5*1.3</f>
        <v>16606.696192164</v>
      </c>
      <c r="C6" s="38">
        <f t="shared" ref="C6:F6" si="2">+C5*1.3</f>
        <v>12455.022137979202</v>
      </c>
      <c r="D6" s="38">
        <f t="shared" si="2"/>
        <v>7688.2852864376009</v>
      </c>
      <c r="E6" s="38">
        <f t="shared" si="2"/>
        <v>3075.3141096600002</v>
      </c>
      <c r="F6" s="38">
        <f t="shared" si="2"/>
        <v>1537.6570548300001</v>
      </c>
    </row>
    <row r="7" spans="1:8" x14ac:dyDescent="0.25">
      <c r="A7" s="30">
        <v>2019</v>
      </c>
      <c r="B7" s="43">
        <f>+B6*1.36</f>
        <v>22585.106821343041</v>
      </c>
      <c r="C7" s="43">
        <f t="shared" ref="C7:F7" si="3">+C6*1.36</f>
        <v>16938.830107651716</v>
      </c>
      <c r="D7" s="43">
        <f t="shared" si="3"/>
        <v>10456.067989555138</v>
      </c>
      <c r="E7" s="43">
        <f t="shared" si="3"/>
        <v>4182.4271891376002</v>
      </c>
      <c r="F7" s="43">
        <f t="shared" si="3"/>
        <v>2091.2135945688001</v>
      </c>
    </row>
    <row r="8" spans="1:8" x14ac:dyDescent="0.25">
      <c r="A8" s="30"/>
      <c r="B8" s="37"/>
      <c r="C8" s="37"/>
      <c r="D8" s="44">
        <f>+D7/18459.89</f>
        <v>0.56642092610276329</v>
      </c>
      <c r="E8" s="37"/>
      <c r="F8" s="37"/>
    </row>
    <row r="10" spans="1:8" x14ac:dyDescent="0.25">
      <c r="B10" t="s">
        <v>63</v>
      </c>
      <c r="H10" s="26"/>
    </row>
    <row r="11" spans="1:8" x14ac:dyDescent="0.25">
      <c r="B11" t="s">
        <v>60</v>
      </c>
    </row>
    <row r="13" spans="1:8" x14ac:dyDescent="0.25">
      <c r="D13" t="s">
        <v>51</v>
      </c>
    </row>
    <row r="14" spans="1:8" x14ac:dyDescent="0.25">
      <c r="C14" s="23" t="s">
        <v>53</v>
      </c>
      <c r="D14" s="23" t="s">
        <v>54</v>
      </c>
      <c r="E14" s="23" t="s">
        <v>55</v>
      </c>
      <c r="F14" s="23" t="s">
        <v>56</v>
      </c>
      <c r="G14" s="23" t="s">
        <v>57</v>
      </c>
    </row>
    <row r="15" spans="1:8" x14ac:dyDescent="0.25">
      <c r="C15" s="39">
        <f>+C22/B6</f>
        <v>1.36</v>
      </c>
      <c r="D15" s="39">
        <f>+D22/C6</f>
        <v>1.36</v>
      </c>
      <c r="E15" s="39">
        <f>+E22/D6</f>
        <v>1.36</v>
      </c>
      <c r="F15" s="39">
        <f>+F22/E6</f>
        <v>1.3599999999999999</v>
      </c>
      <c r="G15" s="39">
        <f>+G22/F6</f>
        <v>1.3599999999999999</v>
      </c>
    </row>
    <row r="16" spans="1:8" ht="15.75" thickBot="1" x14ac:dyDescent="0.3"/>
    <row r="17" spans="2:14" ht="15" customHeight="1" thickBot="1" x14ac:dyDescent="0.4">
      <c r="B17" s="49" t="s">
        <v>59</v>
      </c>
      <c r="C17" s="50"/>
      <c r="D17" s="50"/>
      <c r="E17" s="50"/>
      <c r="F17" s="50"/>
      <c r="G17" s="51"/>
    </row>
    <row r="18" spans="2:14" ht="16.5" customHeight="1" x14ac:dyDescent="0.25">
      <c r="B18" s="47" t="s">
        <v>62</v>
      </c>
      <c r="C18" s="47"/>
      <c r="D18" s="47"/>
      <c r="E18" s="47"/>
      <c r="F18" s="47"/>
      <c r="G18" s="47"/>
    </row>
    <row r="19" spans="2:14" ht="16.5" customHeight="1" x14ac:dyDescent="0.25">
      <c r="B19" s="48"/>
      <c r="C19" s="48"/>
      <c r="D19" s="48"/>
      <c r="E19" s="48"/>
      <c r="F19" s="48"/>
      <c r="G19" s="48"/>
    </row>
    <row r="20" spans="2:14" x14ac:dyDescent="0.25">
      <c r="B20" s="36" t="s">
        <v>52</v>
      </c>
      <c r="C20" s="36" t="s">
        <v>53</v>
      </c>
      <c r="D20" s="36" t="s">
        <v>54</v>
      </c>
      <c r="E20" s="36" t="s">
        <v>55</v>
      </c>
      <c r="F20" s="36" t="s">
        <v>56</v>
      </c>
      <c r="G20" s="36" t="s">
        <v>57</v>
      </c>
      <c r="H20" s="24"/>
    </row>
    <row r="21" spans="2:14" x14ac:dyDescent="0.25">
      <c r="B21" s="45">
        <v>2019</v>
      </c>
      <c r="C21" s="46">
        <f>+B7</f>
        <v>22585.106821343041</v>
      </c>
      <c r="D21" s="46">
        <f t="shared" ref="D21:G21" si="4">+C7</f>
        <v>16938.830107651716</v>
      </c>
      <c r="E21" s="46">
        <f t="shared" si="4"/>
        <v>10456.067989555138</v>
      </c>
      <c r="F21" s="46">
        <f t="shared" si="4"/>
        <v>4182.4271891376002</v>
      </c>
      <c r="G21" s="46">
        <f t="shared" si="4"/>
        <v>2091.2135945688001</v>
      </c>
      <c r="H21" s="24"/>
    </row>
    <row r="22" spans="2:14" x14ac:dyDescent="0.25">
      <c r="B22" s="34">
        <v>2018</v>
      </c>
      <c r="C22" s="35">
        <f>+B7</f>
        <v>22585.106821343041</v>
      </c>
      <c r="D22" s="35">
        <f t="shared" ref="D22:G22" si="5">+C7</f>
        <v>16938.830107651716</v>
      </c>
      <c r="E22" s="35">
        <f t="shared" si="5"/>
        <v>10456.067989555138</v>
      </c>
      <c r="F22" s="35">
        <f t="shared" si="5"/>
        <v>4182.4271891376002</v>
      </c>
      <c r="G22" s="35">
        <f t="shared" si="5"/>
        <v>2091.2135945688001</v>
      </c>
      <c r="H22" s="24"/>
    </row>
    <row r="23" spans="2:14" x14ac:dyDescent="0.25">
      <c r="B23" s="34">
        <v>2017</v>
      </c>
      <c r="C23" s="35">
        <f>C22-(C22*0.01)</f>
        <v>22359.255753129612</v>
      </c>
      <c r="D23" s="35">
        <f t="shared" ref="D23:G24" si="6">D22-(D22*0.01)</f>
        <v>16769.4418065752</v>
      </c>
      <c r="E23" s="35">
        <f t="shared" si="6"/>
        <v>10351.507309659588</v>
      </c>
      <c r="F23" s="35">
        <f t="shared" si="6"/>
        <v>4140.602917246224</v>
      </c>
      <c r="G23" s="35">
        <f t="shared" si="6"/>
        <v>2070.301458623112</v>
      </c>
      <c r="H23" s="32"/>
      <c r="I23" s="24"/>
    </row>
    <row r="24" spans="2:14" x14ac:dyDescent="0.25">
      <c r="B24" s="34">
        <v>2016</v>
      </c>
      <c r="C24" s="35">
        <f>C23-(C23*0.01)</f>
        <v>22135.663195598314</v>
      </c>
      <c r="D24" s="35">
        <f t="shared" si="6"/>
        <v>16601.747388509448</v>
      </c>
      <c r="E24" s="35">
        <f t="shared" si="6"/>
        <v>10247.992236562992</v>
      </c>
      <c r="F24" s="35">
        <f t="shared" si="6"/>
        <v>4099.1968880737622</v>
      </c>
      <c r="G24" s="35">
        <f t="shared" si="6"/>
        <v>2049.5984440368811</v>
      </c>
      <c r="H24" s="33"/>
      <c r="I24" s="24"/>
    </row>
    <row r="25" spans="2:14" x14ac:dyDescent="0.25">
      <c r="B25" s="34">
        <f>B24-1</f>
        <v>2015</v>
      </c>
      <c r="C25" s="35">
        <f>C24-(C24*0.01)</f>
        <v>21914.306563642331</v>
      </c>
      <c r="D25" s="35">
        <f>D24-(D24*0.01)</f>
        <v>16435.729914624353</v>
      </c>
      <c r="E25" s="35">
        <f>E24-(E24*0.01)</f>
        <v>10145.512314197362</v>
      </c>
      <c r="F25" s="35">
        <f>F24-(F24*0.01)</f>
        <v>4058.2049191930246</v>
      </c>
      <c r="G25" s="35">
        <f>G24-(G24*0.01)</f>
        <v>2029.1024595965123</v>
      </c>
      <c r="H25" s="25"/>
    </row>
    <row r="26" spans="2:14" x14ac:dyDescent="0.25">
      <c r="B26" s="34">
        <f>B25-1</f>
        <v>2014</v>
      </c>
      <c r="C26" s="35">
        <f>C25-(C25*0.01)</f>
        <v>21695.163498005906</v>
      </c>
      <c r="D26" s="35">
        <f t="shared" ref="C26:G41" si="7">D25-(D25*0.01)</f>
        <v>16271.372615478109</v>
      </c>
      <c r="E26" s="35">
        <f t="shared" si="7"/>
        <v>10044.057191055388</v>
      </c>
      <c r="F26" s="35">
        <f t="shared" si="7"/>
        <v>4017.6228700010943</v>
      </c>
      <c r="G26" s="35">
        <f>G25-(G25*0.01)</f>
        <v>2008.8114350005471</v>
      </c>
      <c r="H26" s="25"/>
    </row>
    <row r="27" spans="2:14" x14ac:dyDescent="0.25">
      <c r="B27" s="34">
        <f t="shared" ref="B27:B90" si="8">B26-1</f>
        <v>2013</v>
      </c>
      <c r="C27" s="35">
        <f t="shared" si="7"/>
        <v>21478.211863025848</v>
      </c>
      <c r="D27" s="21">
        <f t="shared" si="7"/>
        <v>16108.658889323327</v>
      </c>
      <c r="E27" s="35">
        <f t="shared" si="7"/>
        <v>9943.6166191448337</v>
      </c>
      <c r="F27" s="35">
        <f t="shared" si="7"/>
        <v>3977.4466413010832</v>
      </c>
      <c r="G27" s="35">
        <f t="shared" si="7"/>
        <v>1988.7233206505416</v>
      </c>
      <c r="H27" s="25"/>
    </row>
    <row r="28" spans="2:14" x14ac:dyDescent="0.25">
      <c r="B28" s="34">
        <f t="shared" si="8"/>
        <v>2012</v>
      </c>
      <c r="C28" s="35">
        <f t="shared" si="7"/>
        <v>21263.429744395591</v>
      </c>
      <c r="D28" s="35">
        <f t="shared" si="7"/>
        <v>15947.572300430094</v>
      </c>
      <c r="E28" s="35">
        <f t="shared" si="7"/>
        <v>9844.1804529533856</v>
      </c>
      <c r="F28" s="35">
        <f t="shared" si="7"/>
        <v>3937.6721748880723</v>
      </c>
      <c r="G28" s="35">
        <f t="shared" si="7"/>
        <v>1968.8360874440361</v>
      </c>
      <c r="H28" s="41"/>
    </row>
    <row r="29" spans="2:14" x14ac:dyDescent="0.25">
      <c r="B29" s="34">
        <f t="shared" si="8"/>
        <v>2011</v>
      </c>
      <c r="C29" s="35">
        <f t="shared" si="7"/>
        <v>21050.795446951633</v>
      </c>
      <c r="D29" s="35">
        <f t="shared" si="7"/>
        <v>15788.096577425793</v>
      </c>
      <c r="E29" s="35">
        <f t="shared" si="7"/>
        <v>9745.7386484238523</v>
      </c>
      <c r="F29" s="35">
        <f t="shared" si="7"/>
        <v>3898.2954531391915</v>
      </c>
      <c r="G29" s="35">
        <f t="shared" si="7"/>
        <v>1949.1477265695958</v>
      </c>
      <c r="H29" s="40"/>
      <c r="J29" s="2"/>
      <c r="K29" s="2"/>
      <c r="L29" s="2"/>
      <c r="M29" s="2"/>
      <c r="N29" s="2"/>
    </row>
    <row r="30" spans="2:14" x14ac:dyDescent="0.25">
      <c r="B30" s="34">
        <f t="shared" si="8"/>
        <v>2010</v>
      </c>
      <c r="C30" s="35">
        <f t="shared" si="7"/>
        <v>20840.287492482115</v>
      </c>
      <c r="D30" s="35">
        <f t="shared" si="7"/>
        <v>15630.215611651534</v>
      </c>
      <c r="E30" s="35">
        <f t="shared" si="7"/>
        <v>9648.2812619396136</v>
      </c>
      <c r="F30" s="35">
        <f t="shared" si="7"/>
        <v>3859.3124986077996</v>
      </c>
      <c r="G30" s="35">
        <f t="shared" si="7"/>
        <v>1929.6562493038998</v>
      </c>
      <c r="H30" s="25"/>
      <c r="J30" s="2"/>
      <c r="K30" s="2"/>
      <c r="L30" s="2"/>
      <c r="M30" s="2"/>
      <c r="N30" s="2"/>
    </row>
    <row r="31" spans="2:14" x14ac:dyDescent="0.25">
      <c r="B31" s="34">
        <f t="shared" si="8"/>
        <v>2009</v>
      </c>
      <c r="C31" s="35">
        <f t="shared" si="7"/>
        <v>20631.884617557294</v>
      </c>
      <c r="D31" s="35">
        <f t="shared" si="7"/>
        <v>15473.913455535019</v>
      </c>
      <c r="E31" s="35">
        <f t="shared" si="7"/>
        <v>9551.7984493202166</v>
      </c>
      <c r="F31" s="35">
        <f t="shared" si="7"/>
        <v>3820.7193736217218</v>
      </c>
      <c r="G31" s="35">
        <f t="shared" si="7"/>
        <v>1910.3596868108609</v>
      </c>
      <c r="H31" s="25"/>
      <c r="J31" s="2"/>
      <c r="K31" s="2"/>
      <c r="L31" s="2"/>
      <c r="M31" s="2"/>
      <c r="N31" s="2"/>
    </row>
    <row r="32" spans="2:14" x14ac:dyDescent="0.25">
      <c r="B32" s="34">
        <f t="shared" si="8"/>
        <v>2008</v>
      </c>
      <c r="C32" s="35">
        <f t="shared" si="7"/>
        <v>20425.56577138172</v>
      </c>
      <c r="D32" s="35">
        <f t="shared" si="7"/>
        <v>15319.17432097967</v>
      </c>
      <c r="E32" s="35">
        <f t="shared" si="7"/>
        <v>9456.2804648270139</v>
      </c>
      <c r="F32" s="35">
        <f t="shared" si="7"/>
        <v>3782.5121798855048</v>
      </c>
      <c r="G32" s="35">
        <f t="shared" si="7"/>
        <v>1891.2560899427524</v>
      </c>
      <c r="H32" s="25"/>
      <c r="J32" s="2"/>
      <c r="K32" s="2"/>
      <c r="L32" s="2"/>
      <c r="M32" s="2"/>
      <c r="N32" s="2"/>
    </row>
    <row r="33" spans="2:14" x14ac:dyDescent="0.25">
      <c r="B33" s="34">
        <f t="shared" si="8"/>
        <v>2007</v>
      </c>
      <c r="C33" s="35">
        <f t="shared" si="7"/>
        <v>20221.310113667903</v>
      </c>
      <c r="D33" s="35">
        <f t="shared" si="7"/>
        <v>15165.982577769873</v>
      </c>
      <c r="E33" s="35">
        <f t="shared" si="7"/>
        <v>9361.7176601787432</v>
      </c>
      <c r="F33" s="35">
        <f t="shared" si="7"/>
        <v>3744.6870580866498</v>
      </c>
      <c r="G33" s="35">
        <f t="shared" si="7"/>
        <v>1872.3435290433249</v>
      </c>
      <c r="H33" s="25"/>
      <c r="J33" s="2"/>
      <c r="K33" s="2"/>
      <c r="L33" s="2"/>
      <c r="M33" s="2"/>
      <c r="N33" s="2"/>
    </row>
    <row r="34" spans="2:14" x14ac:dyDescent="0.25">
      <c r="B34" s="34">
        <f t="shared" si="8"/>
        <v>2006</v>
      </c>
      <c r="C34" s="35">
        <f t="shared" si="7"/>
        <v>20019.097012531223</v>
      </c>
      <c r="D34" s="35">
        <f t="shared" si="7"/>
        <v>15014.322751992175</v>
      </c>
      <c r="E34" s="35">
        <f t="shared" si="7"/>
        <v>9268.1004835769563</v>
      </c>
      <c r="F34" s="35">
        <f t="shared" si="7"/>
        <v>3707.2401875057835</v>
      </c>
      <c r="G34" s="35">
        <f t="shared" si="7"/>
        <v>1853.6200937528918</v>
      </c>
      <c r="H34" s="25"/>
      <c r="J34" s="2"/>
      <c r="K34" s="2"/>
      <c r="L34" s="2"/>
      <c r="M34" s="2"/>
      <c r="N34" s="2"/>
    </row>
    <row r="35" spans="2:14" x14ac:dyDescent="0.25">
      <c r="B35" s="34">
        <f t="shared" si="8"/>
        <v>2005</v>
      </c>
      <c r="C35" s="35">
        <f t="shared" si="7"/>
        <v>19818.90604240591</v>
      </c>
      <c r="D35" s="35">
        <f t="shared" si="7"/>
        <v>14864.179524472253</v>
      </c>
      <c r="E35" s="35">
        <f t="shared" si="7"/>
        <v>9175.419478741187</v>
      </c>
      <c r="F35" s="35">
        <f t="shared" si="7"/>
        <v>3670.1677856307256</v>
      </c>
      <c r="G35" s="35">
        <f t="shared" si="7"/>
        <v>1835.0838928153628</v>
      </c>
      <c r="H35" s="25"/>
      <c r="J35" s="2"/>
      <c r="K35" s="2"/>
      <c r="L35" s="2"/>
      <c r="M35" s="2"/>
      <c r="N35" s="2"/>
    </row>
    <row r="36" spans="2:14" x14ac:dyDescent="0.25">
      <c r="B36" s="34">
        <f t="shared" si="8"/>
        <v>2004</v>
      </c>
      <c r="C36" s="35">
        <f t="shared" si="7"/>
        <v>19620.716981981852</v>
      </c>
      <c r="D36" s="35">
        <f t="shared" si="7"/>
        <v>14715.53772922753</v>
      </c>
      <c r="E36" s="35">
        <f t="shared" si="7"/>
        <v>9083.6652839537746</v>
      </c>
      <c r="F36" s="35">
        <f t="shared" si="7"/>
        <v>3633.4661077744181</v>
      </c>
      <c r="G36" s="35">
        <f t="shared" si="7"/>
        <v>1816.7330538872091</v>
      </c>
      <c r="H36" s="25"/>
      <c r="J36" s="2"/>
      <c r="K36" s="2"/>
      <c r="L36" s="2"/>
      <c r="M36" s="2"/>
      <c r="N36" s="2"/>
    </row>
    <row r="37" spans="2:14" x14ac:dyDescent="0.25">
      <c r="B37" s="34">
        <f t="shared" si="8"/>
        <v>2003</v>
      </c>
      <c r="C37" s="35">
        <f t="shared" si="7"/>
        <v>19424.509812162032</v>
      </c>
      <c r="D37" s="35">
        <f t="shared" si="7"/>
        <v>14568.382351935254</v>
      </c>
      <c r="E37" s="35">
        <f t="shared" si="7"/>
        <v>8992.8286311142365</v>
      </c>
      <c r="F37" s="35">
        <f t="shared" si="7"/>
        <v>3597.1314466966737</v>
      </c>
      <c r="G37" s="35">
        <f t="shared" si="7"/>
        <v>1798.5657233483369</v>
      </c>
      <c r="H37" s="25"/>
      <c r="J37" s="2"/>
      <c r="K37" s="2"/>
      <c r="L37" s="2"/>
      <c r="M37" s="2"/>
      <c r="N37" s="2"/>
    </row>
    <row r="38" spans="2:14" x14ac:dyDescent="0.25">
      <c r="B38" s="34">
        <f t="shared" si="8"/>
        <v>2002</v>
      </c>
      <c r="C38" s="35">
        <f t="shared" si="7"/>
        <v>19230.264714040411</v>
      </c>
      <c r="D38" s="35">
        <f t="shared" si="7"/>
        <v>14422.698528415902</v>
      </c>
      <c r="E38" s="35">
        <f t="shared" si="7"/>
        <v>8902.9003448030944</v>
      </c>
      <c r="F38" s="35">
        <f t="shared" si="7"/>
        <v>3561.160132229707</v>
      </c>
      <c r="G38" s="35">
        <f t="shared" si="7"/>
        <v>1780.5800661148535</v>
      </c>
      <c r="H38" s="25"/>
      <c r="J38" s="2"/>
      <c r="K38" s="2"/>
      <c r="L38" s="2"/>
      <c r="M38" s="2"/>
      <c r="N38" s="2"/>
    </row>
    <row r="39" spans="2:14" x14ac:dyDescent="0.25">
      <c r="B39" s="34">
        <f>B38-1</f>
        <v>2001</v>
      </c>
      <c r="C39" s="35">
        <f t="shared" si="7"/>
        <v>19037.962066900007</v>
      </c>
      <c r="D39" s="35">
        <f t="shared" si="7"/>
        <v>14278.471543131744</v>
      </c>
      <c r="E39" s="35">
        <f t="shared" si="7"/>
        <v>8813.8713413550631</v>
      </c>
      <c r="F39" s="35">
        <f t="shared" si="7"/>
        <v>3525.5485309074097</v>
      </c>
      <c r="G39" s="35">
        <f t="shared" si="7"/>
        <v>1762.7742654537049</v>
      </c>
      <c r="H39" s="25"/>
      <c r="J39" s="2"/>
      <c r="K39" s="2"/>
      <c r="L39" s="2"/>
      <c r="M39" s="2"/>
      <c r="N39" s="2"/>
    </row>
    <row r="40" spans="2:14" x14ac:dyDescent="0.25">
      <c r="B40" s="34">
        <f t="shared" si="8"/>
        <v>2000</v>
      </c>
      <c r="C40" s="35">
        <f t="shared" si="7"/>
        <v>18847.582446231008</v>
      </c>
      <c r="D40" s="35">
        <f t="shared" si="7"/>
        <v>14135.686827700427</v>
      </c>
      <c r="E40" s="35">
        <f>E39-(E39*0.01)</f>
        <v>8725.732627941512</v>
      </c>
      <c r="F40" s="35">
        <f t="shared" si="7"/>
        <v>3490.2930455983355</v>
      </c>
      <c r="G40" s="35">
        <f t="shared" si="7"/>
        <v>1745.1465227991678</v>
      </c>
      <c r="H40" s="25"/>
      <c r="I40" s="25"/>
      <c r="J40" s="25"/>
      <c r="K40" s="25"/>
      <c r="L40" s="25"/>
      <c r="M40" s="2"/>
      <c r="N40" s="2"/>
    </row>
    <row r="41" spans="2:14" x14ac:dyDescent="0.25">
      <c r="B41" s="34">
        <f t="shared" si="8"/>
        <v>1999</v>
      </c>
      <c r="C41" s="35">
        <f t="shared" si="7"/>
        <v>18659.106621768697</v>
      </c>
      <c r="D41" s="35">
        <f t="shared" si="7"/>
        <v>13994.329959423423</v>
      </c>
      <c r="E41" s="35">
        <f t="shared" si="7"/>
        <v>8638.4753016620962</v>
      </c>
      <c r="F41" s="35">
        <f t="shared" si="7"/>
        <v>3455.390115142352</v>
      </c>
      <c r="G41" s="35">
        <f t="shared" si="7"/>
        <v>1727.695057571176</v>
      </c>
      <c r="H41" s="25"/>
      <c r="J41" s="2"/>
      <c r="K41" s="2"/>
      <c r="L41" s="2"/>
      <c r="M41" s="2"/>
      <c r="N41" s="2"/>
    </row>
    <row r="42" spans="2:14" x14ac:dyDescent="0.25">
      <c r="B42" s="34">
        <f t="shared" si="8"/>
        <v>1998</v>
      </c>
      <c r="C42" s="35">
        <f t="shared" ref="C42:G57" si="9">C41-(C41*0.01)</f>
        <v>18472.51555555101</v>
      </c>
      <c r="D42" s="35">
        <f t="shared" si="9"/>
        <v>13854.38665982919</v>
      </c>
      <c r="E42" s="35">
        <f t="shared" si="9"/>
        <v>8552.0905486454758</v>
      </c>
      <c r="F42" s="35">
        <f t="shared" si="9"/>
        <v>3420.8362139909286</v>
      </c>
      <c r="G42" s="35">
        <f t="shared" si="9"/>
        <v>1710.4181069954643</v>
      </c>
      <c r="H42" s="25"/>
      <c r="J42" s="2"/>
      <c r="K42" s="2"/>
      <c r="L42" s="2"/>
      <c r="M42" s="2"/>
      <c r="N42" s="2"/>
    </row>
    <row r="43" spans="2:14" x14ac:dyDescent="0.25">
      <c r="B43" s="34">
        <f t="shared" si="8"/>
        <v>1997</v>
      </c>
      <c r="C43" s="35">
        <f t="shared" si="9"/>
        <v>18287.790399995502</v>
      </c>
      <c r="D43" s="35">
        <f t="shared" si="9"/>
        <v>13715.842793230899</v>
      </c>
      <c r="E43" s="35">
        <f t="shared" si="9"/>
        <v>8466.5696431590204</v>
      </c>
      <c r="F43" s="35">
        <f t="shared" si="9"/>
        <v>3386.6278518510194</v>
      </c>
      <c r="G43" s="35">
        <f t="shared" si="9"/>
        <v>1693.3139259255097</v>
      </c>
      <c r="H43" s="25"/>
      <c r="J43" s="2"/>
      <c r="K43" s="2"/>
      <c r="L43" s="2"/>
      <c r="M43" s="2"/>
      <c r="N43" s="2"/>
    </row>
    <row r="44" spans="2:14" x14ac:dyDescent="0.25">
      <c r="B44" s="34">
        <f t="shared" si="8"/>
        <v>1996</v>
      </c>
      <c r="C44" s="35">
        <f t="shared" si="9"/>
        <v>18104.912495995548</v>
      </c>
      <c r="D44" s="35">
        <f t="shared" si="9"/>
        <v>13578.68436529859</v>
      </c>
      <c r="E44" s="35">
        <f t="shared" si="9"/>
        <v>8381.9039467274306</v>
      </c>
      <c r="F44" s="35">
        <f t="shared" si="9"/>
        <v>3352.7615733325092</v>
      </c>
      <c r="G44" s="35">
        <f t="shared" si="9"/>
        <v>1676.3807866662546</v>
      </c>
      <c r="H44" s="25"/>
      <c r="J44" s="2"/>
      <c r="K44" s="2"/>
      <c r="L44" s="2"/>
      <c r="M44" s="2"/>
      <c r="N44" s="2"/>
    </row>
    <row r="45" spans="2:14" x14ac:dyDescent="0.25">
      <c r="B45" s="34">
        <f t="shared" si="8"/>
        <v>1995</v>
      </c>
      <c r="C45" s="35">
        <f t="shared" si="9"/>
        <v>17923.863371035593</v>
      </c>
      <c r="D45" s="35">
        <f t="shared" si="9"/>
        <v>13442.897521645604</v>
      </c>
      <c r="E45" s="35">
        <f t="shared" si="9"/>
        <v>8298.0849072601559</v>
      </c>
      <c r="F45" s="35">
        <f t="shared" si="9"/>
        <v>3319.2339575991841</v>
      </c>
      <c r="G45" s="35">
        <f t="shared" si="9"/>
        <v>1659.6169787995921</v>
      </c>
      <c r="H45" s="25"/>
      <c r="J45" s="2"/>
      <c r="K45" s="2"/>
      <c r="L45" s="2"/>
      <c r="M45" s="2"/>
      <c r="N45" s="2"/>
    </row>
    <row r="46" spans="2:14" x14ac:dyDescent="0.25">
      <c r="B46" s="34">
        <f t="shared" si="8"/>
        <v>1994</v>
      </c>
      <c r="C46" s="35">
        <f t="shared" si="9"/>
        <v>17744.624737325237</v>
      </c>
      <c r="D46" s="35">
        <f t="shared" si="9"/>
        <v>13308.468546429147</v>
      </c>
      <c r="E46" s="35">
        <f t="shared" si="9"/>
        <v>8215.104058187555</v>
      </c>
      <c r="F46" s="35">
        <f t="shared" si="9"/>
        <v>3286.0416180231923</v>
      </c>
      <c r="G46" s="35">
        <f t="shared" si="9"/>
        <v>1643.0208090115962</v>
      </c>
      <c r="H46" s="25"/>
      <c r="J46" s="2"/>
      <c r="K46" s="2"/>
      <c r="L46" s="2"/>
      <c r="M46" s="2"/>
      <c r="N46" s="2"/>
    </row>
    <row r="47" spans="2:14" x14ac:dyDescent="0.25">
      <c r="B47" s="34">
        <f t="shared" si="8"/>
        <v>1993</v>
      </c>
      <c r="C47" s="35">
        <f t="shared" si="9"/>
        <v>17567.178489951984</v>
      </c>
      <c r="D47" s="35">
        <f t="shared" si="9"/>
        <v>13175.383860964856</v>
      </c>
      <c r="E47" s="35">
        <f t="shared" si="9"/>
        <v>8132.9530176056796</v>
      </c>
      <c r="F47" s="35">
        <f t="shared" si="9"/>
        <v>3253.1812018429605</v>
      </c>
      <c r="G47" s="35">
        <f t="shared" si="9"/>
        <v>1626.5906009214802</v>
      </c>
      <c r="H47" s="25"/>
      <c r="J47" s="2"/>
      <c r="K47" s="2"/>
      <c r="L47" s="2"/>
      <c r="M47" s="2"/>
      <c r="N47" s="2"/>
    </row>
    <row r="48" spans="2:14" x14ac:dyDescent="0.25">
      <c r="B48" s="34">
        <f t="shared" si="8"/>
        <v>1992</v>
      </c>
      <c r="C48" s="35">
        <f t="shared" si="9"/>
        <v>17391.506705052463</v>
      </c>
      <c r="D48" s="35">
        <f t="shared" si="9"/>
        <v>13043.630022355206</v>
      </c>
      <c r="E48" s="35">
        <f t="shared" si="9"/>
        <v>8051.6234874296224</v>
      </c>
      <c r="F48" s="35">
        <f t="shared" si="9"/>
        <v>3220.6493898245308</v>
      </c>
      <c r="G48" s="35">
        <f t="shared" si="9"/>
        <v>1610.3246949122654</v>
      </c>
      <c r="H48" s="25"/>
      <c r="J48" s="2"/>
      <c r="K48" s="2"/>
      <c r="L48" s="2"/>
      <c r="M48" s="2"/>
      <c r="N48" s="2"/>
    </row>
    <row r="49" spans="2:14" x14ac:dyDescent="0.25">
      <c r="B49" s="34">
        <f t="shared" si="8"/>
        <v>1991</v>
      </c>
      <c r="C49" s="35">
        <f t="shared" si="9"/>
        <v>17217.591638001937</v>
      </c>
      <c r="D49" s="35">
        <f t="shared" si="9"/>
        <v>12913.193722131655</v>
      </c>
      <c r="E49" s="35">
        <f t="shared" si="9"/>
        <v>7971.1072525553263</v>
      </c>
      <c r="F49" s="35">
        <f t="shared" si="9"/>
        <v>3188.4428959262855</v>
      </c>
      <c r="G49" s="35">
        <f t="shared" si="9"/>
        <v>1594.2214479631427</v>
      </c>
      <c r="H49" s="25"/>
      <c r="J49" s="2"/>
      <c r="K49" s="2"/>
      <c r="L49" s="2"/>
      <c r="M49" s="2"/>
      <c r="N49" s="2"/>
    </row>
    <row r="50" spans="2:14" x14ac:dyDescent="0.25">
      <c r="B50" s="34">
        <f t="shared" si="8"/>
        <v>1990</v>
      </c>
      <c r="C50" s="35">
        <f t="shared" si="9"/>
        <v>17045.415721621917</v>
      </c>
      <c r="D50" s="35">
        <f t="shared" si="9"/>
        <v>12784.061784910338</v>
      </c>
      <c r="E50" s="35">
        <f t="shared" si="9"/>
        <v>7891.3961800297729</v>
      </c>
      <c r="F50" s="35">
        <f t="shared" si="9"/>
        <v>3156.5584669670225</v>
      </c>
      <c r="G50" s="35">
        <f t="shared" si="9"/>
        <v>1578.2792334835112</v>
      </c>
      <c r="H50" s="25"/>
      <c r="J50" s="2"/>
      <c r="K50" s="2"/>
      <c r="L50" s="2"/>
      <c r="M50" s="2"/>
      <c r="N50" s="2"/>
    </row>
    <row r="51" spans="2:14" x14ac:dyDescent="0.25">
      <c r="B51" s="34">
        <f t="shared" si="8"/>
        <v>1989</v>
      </c>
      <c r="C51" s="35">
        <f t="shared" si="9"/>
        <v>16874.961564405698</v>
      </c>
      <c r="D51" s="35">
        <f t="shared" si="9"/>
        <v>12656.221167061234</v>
      </c>
      <c r="E51" s="35">
        <f t="shared" si="9"/>
        <v>7812.4822182294756</v>
      </c>
      <c r="F51" s="35">
        <f t="shared" si="9"/>
        <v>3124.992882297352</v>
      </c>
      <c r="G51" s="35">
        <f t="shared" si="9"/>
        <v>1562.496441148676</v>
      </c>
      <c r="H51" s="25"/>
      <c r="J51" s="2"/>
      <c r="K51" s="2"/>
      <c r="L51" s="2"/>
      <c r="M51" s="2"/>
      <c r="N51" s="2"/>
    </row>
    <row r="52" spans="2:14" x14ac:dyDescent="0.25">
      <c r="B52" s="34">
        <f t="shared" si="8"/>
        <v>1988</v>
      </c>
      <c r="C52" s="35">
        <f t="shared" si="9"/>
        <v>16706.21194876164</v>
      </c>
      <c r="D52" s="35">
        <f t="shared" si="9"/>
        <v>12529.658955390621</v>
      </c>
      <c r="E52" s="35">
        <f t="shared" si="9"/>
        <v>7734.3573960471813</v>
      </c>
      <c r="F52" s="35">
        <f t="shared" si="9"/>
        <v>3093.7429534743783</v>
      </c>
      <c r="G52" s="35">
        <f t="shared" si="9"/>
        <v>1546.8714767371891</v>
      </c>
      <c r="H52" s="25"/>
      <c r="J52" s="2"/>
      <c r="K52" s="2"/>
      <c r="L52" s="2"/>
      <c r="M52" s="2"/>
      <c r="N52" s="2"/>
    </row>
    <row r="53" spans="2:14" x14ac:dyDescent="0.25">
      <c r="B53" s="34">
        <f t="shared" si="8"/>
        <v>1987</v>
      </c>
      <c r="C53" s="35">
        <f t="shared" si="9"/>
        <v>16539.149829274025</v>
      </c>
      <c r="D53" s="35">
        <f t="shared" si="9"/>
        <v>12404.362365836716</v>
      </c>
      <c r="E53" s="35">
        <f t="shared" si="9"/>
        <v>7657.0138220867093</v>
      </c>
      <c r="F53" s="35">
        <f t="shared" si="9"/>
        <v>3062.8055239396344</v>
      </c>
      <c r="G53" s="35">
        <f t="shared" si="9"/>
        <v>1531.4027619698172</v>
      </c>
      <c r="H53" s="25"/>
      <c r="J53" s="2"/>
      <c r="K53" s="2"/>
      <c r="L53" s="2"/>
      <c r="M53" s="2"/>
      <c r="N53" s="2"/>
    </row>
    <row r="54" spans="2:14" x14ac:dyDescent="0.25">
      <c r="B54" s="34">
        <f t="shared" si="8"/>
        <v>1986</v>
      </c>
      <c r="C54" s="35">
        <f t="shared" si="9"/>
        <v>16373.758330981285</v>
      </c>
      <c r="D54" s="35">
        <f t="shared" si="9"/>
        <v>12280.31874217835</v>
      </c>
      <c r="E54" s="35">
        <f t="shared" si="9"/>
        <v>7580.4436838658421</v>
      </c>
      <c r="F54" s="35">
        <f t="shared" si="9"/>
        <v>3032.177468700238</v>
      </c>
      <c r="G54" s="35">
        <f t="shared" si="9"/>
        <v>1516.088734350119</v>
      </c>
      <c r="H54" s="25"/>
      <c r="J54" s="2"/>
      <c r="K54" s="2"/>
      <c r="L54" s="2"/>
      <c r="M54" s="2"/>
      <c r="N54" s="2"/>
    </row>
    <row r="55" spans="2:14" x14ac:dyDescent="0.25">
      <c r="B55" s="34">
        <f t="shared" si="8"/>
        <v>1985</v>
      </c>
      <c r="C55" s="35">
        <f t="shared" si="9"/>
        <v>16210.020747671473</v>
      </c>
      <c r="D55" s="35">
        <f t="shared" si="9"/>
        <v>12157.515554756566</v>
      </c>
      <c r="E55" s="35">
        <f t="shared" si="9"/>
        <v>7504.639247027184</v>
      </c>
      <c r="F55" s="35">
        <f t="shared" si="9"/>
        <v>3001.8556940132357</v>
      </c>
      <c r="G55" s="35">
        <f t="shared" si="9"/>
        <v>1500.9278470066179</v>
      </c>
      <c r="H55" s="25"/>
      <c r="J55" s="2"/>
      <c r="K55" s="2"/>
      <c r="L55" s="2"/>
      <c r="M55" s="2"/>
      <c r="N55" s="2"/>
    </row>
    <row r="56" spans="2:14" x14ac:dyDescent="0.25">
      <c r="B56" s="34">
        <f t="shared" si="8"/>
        <v>1984</v>
      </c>
      <c r="C56" s="35">
        <f t="shared" si="9"/>
        <v>16047.920540194758</v>
      </c>
      <c r="D56" s="35">
        <f t="shared" si="9"/>
        <v>12035.940399209001</v>
      </c>
      <c r="E56" s="35">
        <f t="shared" si="9"/>
        <v>7429.5928545569122</v>
      </c>
      <c r="F56" s="35">
        <f t="shared" si="9"/>
        <v>2971.8371370731033</v>
      </c>
      <c r="G56" s="35">
        <f t="shared" si="9"/>
        <v>1485.9185685365517</v>
      </c>
      <c r="H56" s="25"/>
      <c r="J56" s="2"/>
      <c r="K56" s="2"/>
      <c r="L56" s="2"/>
      <c r="M56" s="2"/>
      <c r="N56" s="2"/>
    </row>
    <row r="57" spans="2:14" x14ac:dyDescent="0.25">
      <c r="B57" s="34">
        <f t="shared" si="8"/>
        <v>1983</v>
      </c>
      <c r="C57" s="35">
        <f t="shared" si="9"/>
        <v>15887.441334792811</v>
      </c>
      <c r="D57" s="35">
        <f t="shared" si="9"/>
        <v>11915.580995216911</v>
      </c>
      <c r="E57" s="35">
        <f t="shared" si="9"/>
        <v>7355.2969260113432</v>
      </c>
      <c r="F57" s="35">
        <f t="shared" si="9"/>
        <v>2942.1187657023725</v>
      </c>
      <c r="G57" s="35">
        <f t="shared" si="9"/>
        <v>1471.0593828511862</v>
      </c>
      <c r="H57" s="25"/>
      <c r="J57" s="2"/>
      <c r="K57" s="2"/>
      <c r="L57" s="2"/>
      <c r="M57" s="2"/>
      <c r="N57" s="2"/>
    </row>
    <row r="58" spans="2:14" x14ac:dyDescent="0.25">
      <c r="B58" s="34">
        <f t="shared" si="8"/>
        <v>1982</v>
      </c>
      <c r="C58" s="35">
        <f t="shared" ref="C58:G73" si="10">C57-(C57*0.01)</f>
        <v>15728.566921444883</v>
      </c>
      <c r="D58" s="35">
        <f t="shared" si="10"/>
        <v>11796.425185264741</v>
      </c>
      <c r="E58" s="35">
        <f t="shared" si="10"/>
        <v>7281.7439567512301</v>
      </c>
      <c r="F58" s="35">
        <f t="shared" si="10"/>
        <v>2912.6975780453486</v>
      </c>
      <c r="G58" s="35">
        <f t="shared" si="10"/>
        <v>1456.3487890226743</v>
      </c>
      <c r="H58" s="25"/>
      <c r="J58" s="2"/>
      <c r="K58" s="2"/>
      <c r="L58" s="2"/>
      <c r="M58" s="2"/>
      <c r="N58" s="2"/>
    </row>
    <row r="59" spans="2:14" x14ac:dyDescent="0.25">
      <c r="B59" s="34">
        <f t="shared" si="8"/>
        <v>1981</v>
      </c>
      <c r="C59" s="35">
        <f t="shared" si="10"/>
        <v>15571.281252230434</v>
      </c>
      <c r="D59" s="35">
        <f t="shared" si="10"/>
        <v>11678.460933412094</v>
      </c>
      <c r="E59" s="35">
        <f t="shared" si="10"/>
        <v>7208.9265171837178</v>
      </c>
      <c r="F59" s="35">
        <f t="shared" si="10"/>
        <v>2883.5706022648951</v>
      </c>
      <c r="G59" s="35">
        <f t="shared" si="10"/>
        <v>1441.7853011324476</v>
      </c>
      <c r="H59" s="25">
        <f>+C59/8986.11</f>
        <v>1.7328166750941656</v>
      </c>
      <c r="J59" s="2"/>
      <c r="K59" s="2"/>
      <c r="L59" s="2"/>
      <c r="M59" s="2"/>
      <c r="N59" s="2"/>
    </row>
    <row r="60" spans="2:14" x14ac:dyDescent="0.25">
      <c r="B60" s="34">
        <f t="shared" si="8"/>
        <v>1980</v>
      </c>
      <c r="C60" s="35">
        <f t="shared" si="10"/>
        <v>15415.56843970813</v>
      </c>
      <c r="D60" s="35">
        <f t="shared" si="10"/>
        <v>11561.676324077973</v>
      </c>
      <c r="E60" s="35">
        <f t="shared" si="10"/>
        <v>7136.837252011881</v>
      </c>
      <c r="F60" s="35">
        <f t="shared" si="10"/>
        <v>2854.7348962422461</v>
      </c>
      <c r="G60" s="35">
        <f t="shared" si="10"/>
        <v>1427.3674481211231</v>
      </c>
      <c r="H60" s="25"/>
      <c r="J60" s="2"/>
      <c r="K60" s="2"/>
      <c r="L60" s="2"/>
      <c r="M60" s="2"/>
      <c r="N60" s="2"/>
    </row>
    <row r="61" spans="2:14" x14ac:dyDescent="0.25">
      <c r="B61" s="34">
        <f t="shared" si="8"/>
        <v>1979</v>
      </c>
      <c r="C61" s="35">
        <f t="shared" si="10"/>
        <v>15261.412755311048</v>
      </c>
      <c r="D61" s="35">
        <f t="shared" si="10"/>
        <v>11446.059560837193</v>
      </c>
      <c r="E61" s="35">
        <f t="shared" si="10"/>
        <v>7065.468879491762</v>
      </c>
      <c r="F61" s="35">
        <f t="shared" si="10"/>
        <v>2826.1875472798238</v>
      </c>
      <c r="G61" s="35">
        <f t="shared" si="10"/>
        <v>1413.0937736399119</v>
      </c>
      <c r="H61" s="25"/>
      <c r="J61" s="2"/>
      <c r="K61" s="2"/>
      <c r="L61" s="2"/>
      <c r="M61" s="2"/>
      <c r="N61" s="2"/>
    </row>
    <row r="62" spans="2:14" x14ac:dyDescent="0.25">
      <c r="B62" s="34">
        <f t="shared" si="8"/>
        <v>1978</v>
      </c>
      <c r="C62" s="35">
        <f t="shared" si="10"/>
        <v>15108.798627757938</v>
      </c>
      <c r="D62" s="35">
        <f t="shared" si="10"/>
        <v>11331.598965228821</v>
      </c>
      <c r="E62" s="35">
        <f t="shared" si="10"/>
        <v>6994.814190696844</v>
      </c>
      <c r="F62" s="35">
        <f t="shared" si="10"/>
        <v>2797.9256718070255</v>
      </c>
      <c r="G62" s="35">
        <f t="shared" si="10"/>
        <v>1398.9628359035128</v>
      </c>
      <c r="H62" s="25"/>
      <c r="J62" s="2"/>
      <c r="K62" s="2"/>
      <c r="L62" s="2"/>
      <c r="M62" s="2"/>
      <c r="N62" s="2"/>
    </row>
    <row r="63" spans="2:14" x14ac:dyDescent="0.25">
      <c r="B63" s="34">
        <f t="shared" si="8"/>
        <v>1977</v>
      </c>
      <c r="C63" s="35">
        <f t="shared" si="10"/>
        <v>14957.710641480358</v>
      </c>
      <c r="D63" s="35">
        <f t="shared" si="10"/>
        <v>11218.282975576532</v>
      </c>
      <c r="E63" s="35">
        <f t="shared" si="10"/>
        <v>6924.8660487898751</v>
      </c>
      <c r="F63" s="35">
        <f t="shared" si="10"/>
        <v>2769.9464150889553</v>
      </c>
      <c r="G63" s="35">
        <f t="shared" si="10"/>
        <v>1384.9732075444776</v>
      </c>
      <c r="H63" s="25"/>
      <c r="J63" s="2"/>
      <c r="K63" s="2"/>
      <c r="L63" s="2"/>
      <c r="M63" s="2"/>
      <c r="N63" s="2"/>
    </row>
    <row r="64" spans="2:14" x14ac:dyDescent="0.25">
      <c r="B64" s="34">
        <f t="shared" si="8"/>
        <v>1976</v>
      </c>
      <c r="C64" s="35">
        <f t="shared" si="10"/>
        <v>14808.133535065555</v>
      </c>
      <c r="D64" s="35">
        <f t="shared" si="10"/>
        <v>11106.100145820767</v>
      </c>
      <c r="E64" s="35">
        <f t="shared" si="10"/>
        <v>6855.6173883019765</v>
      </c>
      <c r="F64" s="35">
        <f t="shared" si="10"/>
        <v>2742.2469509380658</v>
      </c>
      <c r="G64" s="35">
        <f t="shared" si="10"/>
        <v>1371.1234754690329</v>
      </c>
      <c r="H64" s="25"/>
      <c r="J64" s="2"/>
      <c r="K64" s="2"/>
      <c r="L64" s="2"/>
      <c r="M64" s="2"/>
      <c r="N64" s="2"/>
    </row>
    <row r="65" spans="2:14" x14ac:dyDescent="0.25">
      <c r="B65" s="34">
        <f t="shared" si="8"/>
        <v>1975</v>
      </c>
      <c r="C65" s="35">
        <f t="shared" si="10"/>
        <v>14660.052199714899</v>
      </c>
      <c r="D65" s="35">
        <f t="shared" si="10"/>
        <v>10995.039144362559</v>
      </c>
      <c r="E65" s="35">
        <f t="shared" si="10"/>
        <v>6787.0612144189563</v>
      </c>
      <c r="F65" s="35">
        <f t="shared" si="10"/>
        <v>2714.824481428685</v>
      </c>
      <c r="G65" s="35">
        <f t="shared" si="10"/>
        <v>1357.4122407143425</v>
      </c>
      <c r="H65" s="25"/>
      <c r="J65" s="2"/>
      <c r="K65" s="2"/>
      <c r="L65" s="2"/>
      <c r="M65" s="2"/>
      <c r="N65" s="2"/>
    </row>
    <row r="66" spans="2:14" x14ac:dyDescent="0.25">
      <c r="B66" s="34">
        <f t="shared" si="8"/>
        <v>1974</v>
      </c>
      <c r="C66" s="35">
        <f t="shared" si="10"/>
        <v>14513.45167771775</v>
      </c>
      <c r="D66" s="35">
        <f t="shared" si="10"/>
        <v>10885.088752918933</v>
      </c>
      <c r="E66" s="35">
        <f t="shared" si="10"/>
        <v>6719.1906022747671</v>
      </c>
      <c r="F66" s="35">
        <f t="shared" si="10"/>
        <v>2687.676236614398</v>
      </c>
      <c r="G66" s="35">
        <f t="shared" si="10"/>
        <v>1343.838118307199</v>
      </c>
      <c r="H66" s="25"/>
      <c r="J66" s="2"/>
      <c r="K66" s="2"/>
      <c r="L66" s="2"/>
      <c r="M66" s="2"/>
      <c r="N66" s="2"/>
    </row>
    <row r="67" spans="2:14" x14ac:dyDescent="0.25">
      <c r="B67" s="34">
        <f t="shared" si="8"/>
        <v>1973</v>
      </c>
      <c r="C67" s="35">
        <f t="shared" si="10"/>
        <v>14368.317160940573</v>
      </c>
      <c r="D67" s="35">
        <f t="shared" si="10"/>
        <v>10776.237865389743</v>
      </c>
      <c r="E67" s="35">
        <f t="shared" si="10"/>
        <v>6651.9986962520197</v>
      </c>
      <c r="F67" s="35">
        <f t="shared" si="10"/>
        <v>2660.7994742482542</v>
      </c>
      <c r="G67" s="35">
        <f t="shared" si="10"/>
        <v>1330.3997371241271</v>
      </c>
      <c r="H67" s="25"/>
      <c r="J67" s="2"/>
      <c r="K67" s="2"/>
      <c r="L67" s="2"/>
      <c r="M67" s="2"/>
      <c r="N67" s="2"/>
    </row>
    <row r="68" spans="2:14" x14ac:dyDescent="0.25">
      <c r="B68" s="34">
        <f t="shared" si="8"/>
        <v>1972</v>
      </c>
      <c r="C68" s="35">
        <f t="shared" si="10"/>
        <v>14224.633989331167</v>
      </c>
      <c r="D68" s="35">
        <f t="shared" si="10"/>
        <v>10668.475486735846</v>
      </c>
      <c r="E68" s="35">
        <f t="shared" si="10"/>
        <v>6585.4787092894994</v>
      </c>
      <c r="F68" s="35">
        <f t="shared" si="10"/>
        <v>2634.1914795057719</v>
      </c>
      <c r="G68" s="35">
        <f t="shared" si="10"/>
        <v>1317.0957397528859</v>
      </c>
      <c r="H68" s="25"/>
      <c r="J68" s="2"/>
      <c r="K68" s="2"/>
      <c r="L68" s="2"/>
      <c r="M68" s="2"/>
      <c r="N68" s="2"/>
    </row>
    <row r="69" spans="2:14" x14ac:dyDescent="0.25">
      <c r="B69" s="34">
        <f t="shared" si="8"/>
        <v>1971</v>
      </c>
      <c r="C69" s="35">
        <f t="shared" si="10"/>
        <v>14082.387649437855</v>
      </c>
      <c r="D69" s="35">
        <f t="shared" si="10"/>
        <v>10561.790731868488</v>
      </c>
      <c r="E69" s="35">
        <f t="shared" si="10"/>
        <v>6519.6239221966043</v>
      </c>
      <c r="F69" s="35">
        <f t="shared" si="10"/>
        <v>2607.8495647107143</v>
      </c>
      <c r="G69" s="35">
        <f t="shared" si="10"/>
        <v>1303.9247823553571</v>
      </c>
      <c r="H69" s="25"/>
      <c r="J69" s="2"/>
      <c r="K69" s="2"/>
      <c r="L69" s="2"/>
      <c r="M69" s="2"/>
      <c r="N69" s="2"/>
    </row>
    <row r="70" spans="2:14" x14ac:dyDescent="0.25">
      <c r="B70" s="34">
        <f t="shared" si="8"/>
        <v>1970</v>
      </c>
      <c r="C70" s="35">
        <f t="shared" si="10"/>
        <v>13941.563772943477</v>
      </c>
      <c r="D70" s="35">
        <f t="shared" si="10"/>
        <v>10456.172824549803</v>
      </c>
      <c r="E70" s="35">
        <f t="shared" si="10"/>
        <v>6454.4276829746386</v>
      </c>
      <c r="F70" s="35">
        <f t="shared" si="10"/>
        <v>2581.7710690636072</v>
      </c>
      <c r="G70" s="35">
        <f t="shared" si="10"/>
        <v>1290.8855345318036</v>
      </c>
      <c r="H70" s="25"/>
      <c r="J70" s="2"/>
      <c r="K70" s="2"/>
      <c r="L70" s="2"/>
      <c r="M70" s="2"/>
      <c r="N70" s="2"/>
    </row>
    <row r="71" spans="2:14" x14ac:dyDescent="0.25">
      <c r="B71" s="34">
        <f t="shared" si="8"/>
        <v>1969</v>
      </c>
      <c r="C71" s="35">
        <f t="shared" si="10"/>
        <v>13802.148135214042</v>
      </c>
      <c r="D71" s="35">
        <f t="shared" si="10"/>
        <v>10351.611096304305</v>
      </c>
      <c r="E71" s="35">
        <f t="shared" si="10"/>
        <v>6389.8834061448924</v>
      </c>
      <c r="F71" s="35">
        <f t="shared" si="10"/>
        <v>2555.9533583729713</v>
      </c>
      <c r="G71" s="35">
        <f t="shared" si="10"/>
        <v>1277.9766791864856</v>
      </c>
      <c r="H71" s="25"/>
      <c r="J71" s="2"/>
      <c r="K71" s="2"/>
      <c r="L71" s="2"/>
      <c r="M71" s="2"/>
      <c r="N71" s="2"/>
    </row>
    <row r="72" spans="2:14" x14ac:dyDescent="0.25">
      <c r="B72" s="34">
        <f t="shared" si="8"/>
        <v>1968</v>
      </c>
      <c r="C72" s="35">
        <f t="shared" si="10"/>
        <v>13664.126653861902</v>
      </c>
      <c r="D72" s="35">
        <f t="shared" si="10"/>
        <v>10248.094985341262</v>
      </c>
      <c r="E72" s="35">
        <f t="shared" si="10"/>
        <v>6325.9845720834437</v>
      </c>
      <c r="F72" s="35">
        <f t="shared" si="10"/>
        <v>2530.3938247892415</v>
      </c>
      <c r="G72" s="35">
        <f t="shared" si="10"/>
        <v>1265.1969123946208</v>
      </c>
      <c r="H72" s="25"/>
      <c r="J72" s="2"/>
      <c r="K72" s="2"/>
      <c r="L72" s="2"/>
      <c r="M72" s="2"/>
      <c r="N72" s="2"/>
    </row>
    <row r="73" spans="2:14" x14ac:dyDescent="0.25">
      <c r="B73" s="34">
        <f t="shared" si="8"/>
        <v>1967</v>
      </c>
      <c r="C73" s="35">
        <f t="shared" si="10"/>
        <v>13527.485387323282</v>
      </c>
      <c r="D73" s="35">
        <f t="shared" si="10"/>
        <v>10145.61403548785</v>
      </c>
      <c r="E73" s="35">
        <f t="shared" si="10"/>
        <v>6262.7247263626095</v>
      </c>
      <c r="F73" s="35">
        <f t="shared" si="10"/>
        <v>2505.0898865413492</v>
      </c>
      <c r="G73" s="35">
        <f t="shared" si="10"/>
        <v>1252.5449432706746</v>
      </c>
      <c r="H73" s="25"/>
      <c r="J73" s="2"/>
      <c r="K73" s="2"/>
      <c r="L73" s="2"/>
      <c r="M73" s="2"/>
      <c r="N73" s="2"/>
    </row>
    <row r="74" spans="2:14" x14ac:dyDescent="0.25">
      <c r="B74" s="34">
        <f t="shared" si="8"/>
        <v>1966</v>
      </c>
      <c r="C74" s="35">
        <f t="shared" ref="C74:G89" si="11">C73-(C73*0.01)</f>
        <v>13392.21053345005</v>
      </c>
      <c r="D74" s="35">
        <f t="shared" si="11"/>
        <v>10044.157895132972</v>
      </c>
      <c r="E74" s="35">
        <f t="shared" si="11"/>
        <v>6200.0974790989831</v>
      </c>
      <c r="F74" s="35">
        <f t="shared" si="11"/>
        <v>2480.0389876759359</v>
      </c>
      <c r="G74" s="35">
        <f t="shared" si="11"/>
        <v>1240.019493837968</v>
      </c>
      <c r="H74" s="25"/>
      <c r="J74" s="2"/>
      <c r="K74" s="2"/>
      <c r="L74" s="2"/>
      <c r="M74" s="2"/>
      <c r="N74" s="2"/>
    </row>
    <row r="75" spans="2:14" x14ac:dyDescent="0.25">
      <c r="B75" s="34">
        <f t="shared" si="8"/>
        <v>1965</v>
      </c>
      <c r="C75" s="35">
        <f t="shared" si="11"/>
        <v>13258.288428115549</v>
      </c>
      <c r="D75" s="35">
        <f t="shared" si="11"/>
        <v>9943.7163161816425</v>
      </c>
      <c r="E75" s="35">
        <f t="shared" si="11"/>
        <v>6138.0965043079932</v>
      </c>
      <c r="F75" s="35">
        <f t="shared" si="11"/>
        <v>2455.2385977991767</v>
      </c>
      <c r="G75" s="35">
        <f t="shared" si="11"/>
        <v>1227.6192988995883</v>
      </c>
      <c r="H75" s="25"/>
      <c r="J75" s="2"/>
      <c r="K75" s="2"/>
      <c r="L75" s="2"/>
      <c r="M75" s="2"/>
      <c r="N75" s="2"/>
    </row>
    <row r="76" spans="2:14" x14ac:dyDescent="0.25">
      <c r="B76" s="34">
        <f t="shared" si="8"/>
        <v>1964</v>
      </c>
      <c r="C76" s="35">
        <f t="shared" si="11"/>
        <v>13125.705543834394</v>
      </c>
      <c r="D76" s="35">
        <f>D75-(D75*0.01)</f>
        <v>9844.2791530198265</v>
      </c>
      <c r="E76" s="35">
        <f>E75-(E75*0.01)</f>
        <v>6076.7155392649129</v>
      </c>
      <c r="F76" s="35">
        <f t="shared" si="11"/>
        <v>2430.6862118211848</v>
      </c>
      <c r="G76" s="35">
        <f t="shared" si="11"/>
        <v>1215.3431059105924</v>
      </c>
      <c r="H76" s="25"/>
      <c r="J76" s="2"/>
      <c r="K76" s="2"/>
      <c r="L76" s="2"/>
      <c r="M76" s="2"/>
      <c r="N76" s="2"/>
    </row>
    <row r="77" spans="2:14" x14ac:dyDescent="0.25">
      <c r="B77" s="34">
        <f t="shared" si="8"/>
        <v>1963</v>
      </c>
      <c r="C77" s="35">
        <f t="shared" si="11"/>
        <v>12994.44848839605</v>
      </c>
      <c r="D77" s="35">
        <f t="shared" si="11"/>
        <v>9745.836361489628</v>
      </c>
      <c r="E77" s="35">
        <f t="shared" si="11"/>
        <v>6015.9483838722635</v>
      </c>
      <c r="F77" s="35">
        <f t="shared" si="11"/>
        <v>2406.3793497029728</v>
      </c>
      <c r="G77" s="35">
        <f t="shared" si="11"/>
        <v>1203.1896748514864</v>
      </c>
      <c r="H77" s="25"/>
      <c r="J77" s="2"/>
      <c r="K77" s="2"/>
      <c r="L77" s="2"/>
      <c r="M77" s="2"/>
      <c r="N77" s="2"/>
    </row>
    <row r="78" spans="2:14" x14ac:dyDescent="0.25">
      <c r="B78" s="34">
        <f t="shared" si="8"/>
        <v>1962</v>
      </c>
      <c r="C78" s="35">
        <f t="shared" si="11"/>
        <v>12864.504003512089</v>
      </c>
      <c r="D78" s="35">
        <f t="shared" si="11"/>
        <v>9648.3779978747316</v>
      </c>
      <c r="E78" s="35">
        <f t="shared" si="11"/>
        <v>5955.7889000335408</v>
      </c>
      <c r="F78" s="35">
        <f t="shared" si="11"/>
        <v>2382.3155562059433</v>
      </c>
      <c r="G78" s="35">
        <f t="shared" si="11"/>
        <v>1191.1577781029716</v>
      </c>
      <c r="H78" s="25"/>
      <c r="J78" s="2"/>
      <c r="K78" s="2"/>
      <c r="L78" s="2"/>
      <c r="M78" s="2"/>
      <c r="N78" s="2"/>
    </row>
    <row r="79" spans="2:14" x14ac:dyDescent="0.25">
      <c r="B79" s="34">
        <f t="shared" si="8"/>
        <v>1961</v>
      </c>
      <c r="C79" s="35">
        <f t="shared" si="11"/>
        <v>12735.858963476969</v>
      </c>
      <c r="D79" s="35">
        <f t="shared" si="11"/>
        <v>9551.8942178959842</v>
      </c>
      <c r="E79" s="35">
        <f t="shared" si="11"/>
        <v>5896.2310110332055</v>
      </c>
      <c r="F79" s="35">
        <f t="shared" si="11"/>
        <v>2358.4924006438837</v>
      </c>
      <c r="G79" s="35">
        <f t="shared" si="11"/>
        <v>1179.2462003219418</v>
      </c>
      <c r="H79" s="25"/>
      <c r="J79" s="2"/>
      <c r="K79" s="2"/>
      <c r="L79" s="2"/>
      <c r="M79" s="2"/>
      <c r="N79" s="2"/>
    </row>
    <row r="80" spans="2:14" x14ac:dyDescent="0.25">
      <c r="B80" s="34">
        <f t="shared" si="8"/>
        <v>1960</v>
      </c>
      <c r="C80" s="35">
        <f t="shared" si="11"/>
        <v>12608.500373842198</v>
      </c>
      <c r="D80" s="35">
        <f t="shared" si="11"/>
        <v>9456.3752757170241</v>
      </c>
      <c r="E80" s="35">
        <f t="shared" si="11"/>
        <v>5837.2687009228739</v>
      </c>
      <c r="F80" s="35">
        <f t="shared" si="11"/>
        <v>2334.9074766374447</v>
      </c>
      <c r="G80" s="35">
        <f t="shared" si="11"/>
        <v>1167.4537383187223</v>
      </c>
      <c r="H80" s="25"/>
      <c r="J80" s="2"/>
      <c r="K80" s="2"/>
      <c r="L80" s="2"/>
      <c r="M80" s="2"/>
      <c r="N80" s="2"/>
    </row>
    <row r="81" spans="2:14" x14ac:dyDescent="0.25">
      <c r="B81" s="34">
        <f t="shared" si="8"/>
        <v>1959</v>
      </c>
      <c r="C81" s="35">
        <f t="shared" si="11"/>
        <v>12482.415370103776</v>
      </c>
      <c r="D81" s="35">
        <f t="shared" si="11"/>
        <v>9361.8115229598534</v>
      </c>
      <c r="E81" s="35">
        <f t="shared" si="11"/>
        <v>5778.8960139136452</v>
      </c>
      <c r="F81" s="35">
        <f t="shared" si="11"/>
        <v>2311.5584018710701</v>
      </c>
      <c r="G81" s="35">
        <f t="shared" si="11"/>
        <v>1155.7792009355351</v>
      </c>
      <c r="H81" s="25"/>
      <c r="J81" s="2"/>
      <c r="K81" s="2"/>
      <c r="L81" s="2"/>
      <c r="M81" s="2"/>
      <c r="N81" s="2"/>
    </row>
    <row r="82" spans="2:14" x14ac:dyDescent="0.25">
      <c r="B82" s="34">
        <f t="shared" si="8"/>
        <v>1958</v>
      </c>
      <c r="C82" s="35">
        <f t="shared" si="11"/>
        <v>12357.591216402738</v>
      </c>
      <c r="D82" s="35">
        <f t="shared" si="11"/>
        <v>9268.193407730254</v>
      </c>
      <c r="E82" s="35">
        <f t="shared" si="11"/>
        <v>5721.107053774509</v>
      </c>
      <c r="F82" s="35">
        <f t="shared" si="11"/>
        <v>2288.4428178523594</v>
      </c>
      <c r="G82" s="35">
        <f t="shared" si="11"/>
        <v>1144.2214089261797</v>
      </c>
      <c r="H82" s="25"/>
      <c r="J82" s="2"/>
      <c r="K82" s="2"/>
      <c r="L82" s="2"/>
      <c r="M82" s="2"/>
      <c r="N82" s="2"/>
    </row>
    <row r="83" spans="2:14" x14ac:dyDescent="0.25">
      <c r="B83" s="34">
        <f t="shared" si="8"/>
        <v>1957</v>
      </c>
      <c r="C83" s="35">
        <f t="shared" si="11"/>
        <v>12234.01530423871</v>
      </c>
      <c r="D83" s="35">
        <f t="shared" si="11"/>
        <v>9175.5114736529522</v>
      </c>
      <c r="E83" s="35">
        <f t="shared" si="11"/>
        <v>5663.8959832367636</v>
      </c>
      <c r="F83" s="35">
        <f t="shared" si="11"/>
        <v>2265.5583896738358</v>
      </c>
      <c r="G83" s="35">
        <f t="shared" si="11"/>
        <v>1132.7791948369179</v>
      </c>
      <c r="H83" s="25"/>
      <c r="J83" s="2"/>
      <c r="K83" s="2"/>
      <c r="L83" s="2"/>
      <c r="M83" s="2"/>
      <c r="N83" s="2"/>
    </row>
    <row r="84" spans="2:14" x14ac:dyDescent="0.25">
      <c r="B84" s="34">
        <f t="shared" si="8"/>
        <v>1956</v>
      </c>
      <c r="C84" s="35">
        <f t="shared" si="11"/>
        <v>12111.675151196323</v>
      </c>
      <c r="D84" s="35">
        <f t="shared" si="11"/>
        <v>9083.756358916422</v>
      </c>
      <c r="E84" s="35">
        <f t="shared" si="11"/>
        <v>5607.257023404396</v>
      </c>
      <c r="F84" s="35">
        <f t="shared" si="11"/>
        <v>2242.9028057770975</v>
      </c>
      <c r="G84" s="35">
        <f t="shared" si="11"/>
        <v>1121.4514028885487</v>
      </c>
      <c r="H84" s="25"/>
      <c r="J84" s="2"/>
      <c r="K84" s="2"/>
      <c r="L84" s="2"/>
      <c r="M84" s="2"/>
      <c r="N84" s="2"/>
    </row>
    <row r="85" spans="2:14" x14ac:dyDescent="0.25">
      <c r="B85" s="34">
        <f t="shared" si="8"/>
        <v>1955</v>
      </c>
      <c r="C85" s="35">
        <f t="shared" si="11"/>
        <v>11990.55839968436</v>
      </c>
      <c r="D85" s="35">
        <f t="shared" si="11"/>
        <v>8992.9187953272576</v>
      </c>
      <c r="E85" s="35">
        <f t="shared" si="11"/>
        <v>5551.1844531703518</v>
      </c>
      <c r="F85" s="35">
        <f t="shared" si="11"/>
        <v>2220.4737777193263</v>
      </c>
      <c r="G85" s="35">
        <f t="shared" si="11"/>
        <v>1110.2368888596632</v>
      </c>
      <c r="H85" s="25">
        <f>+F85/1281.42</f>
        <v>1.7328227885621625</v>
      </c>
      <c r="J85" s="2"/>
      <c r="K85" s="2"/>
      <c r="L85" s="2"/>
      <c r="M85" s="2"/>
      <c r="N85" s="2"/>
    </row>
    <row r="86" spans="2:14" x14ac:dyDescent="0.25">
      <c r="B86" s="34">
        <f t="shared" si="8"/>
        <v>1954</v>
      </c>
      <c r="C86" s="35">
        <f t="shared" si="11"/>
        <v>11870.652815687516</v>
      </c>
      <c r="D86" s="35">
        <f t="shared" si="11"/>
        <v>8902.9896073739856</v>
      </c>
      <c r="E86" s="35">
        <f t="shared" si="11"/>
        <v>5495.6726086386479</v>
      </c>
      <c r="F86" s="35">
        <f t="shared" si="11"/>
        <v>2198.2690399421331</v>
      </c>
      <c r="G86" s="35">
        <f t="shared" si="11"/>
        <v>1099.1345199710665</v>
      </c>
      <c r="H86" s="25"/>
      <c r="J86" s="2"/>
      <c r="K86" s="2"/>
      <c r="L86" s="2"/>
      <c r="M86" s="2"/>
      <c r="N86" s="2"/>
    </row>
    <row r="87" spans="2:14" x14ac:dyDescent="0.25">
      <c r="B87" s="34">
        <f t="shared" si="8"/>
        <v>1953</v>
      </c>
      <c r="C87" s="35">
        <f t="shared" si="11"/>
        <v>11751.94628753064</v>
      </c>
      <c r="D87" s="35">
        <f t="shared" si="11"/>
        <v>8813.9597113002455</v>
      </c>
      <c r="E87" s="35">
        <f t="shared" si="11"/>
        <v>5440.7158825522611</v>
      </c>
      <c r="F87" s="35">
        <f t="shared" si="11"/>
        <v>2176.2863495427118</v>
      </c>
      <c r="G87" s="35">
        <f t="shared" si="11"/>
        <v>1088.1431747713559</v>
      </c>
      <c r="H87" s="25"/>
      <c r="J87" s="2"/>
      <c r="K87" s="2"/>
      <c r="L87" s="2"/>
      <c r="M87" s="2"/>
      <c r="N87" s="2"/>
    </row>
    <row r="88" spans="2:14" x14ac:dyDescent="0.25">
      <c r="B88" s="34">
        <f t="shared" si="8"/>
        <v>1952</v>
      </c>
      <c r="C88" s="35">
        <f t="shared" si="11"/>
        <v>11634.426824655333</v>
      </c>
      <c r="D88" s="35">
        <f t="shared" si="11"/>
        <v>8725.8201141872432</v>
      </c>
      <c r="E88" s="35">
        <f t="shared" si="11"/>
        <v>5386.3087237267382</v>
      </c>
      <c r="F88" s="35">
        <f t="shared" si="11"/>
        <v>2154.5234860472847</v>
      </c>
      <c r="G88" s="35">
        <f t="shared" si="11"/>
        <v>1077.2617430236423</v>
      </c>
      <c r="H88" s="25"/>
      <c r="J88" s="2"/>
      <c r="K88" s="2"/>
      <c r="L88" s="2"/>
      <c r="M88" s="2"/>
      <c r="N88" s="2"/>
    </row>
    <row r="89" spans="2:14" x14ac:dyDescent="0.25">
      <c r="B89" s="34">
        <f t="shared" si="8"/>
        <v>1951</v>
      </c>
      <c r="C89" s="35">
        <f t="shared" si="11"/>
        <v>11518.082556408779</v>
      </c>
      <c r="D89" s="35">
        <f t="shared" si="11"/>
        <v>8638.5619130453706</v>
      </c>
      <c r="E89" s="35">
        <f t="shared" si="11"/>
        <v>5332.4456364894704</v>
      </c>
      <c r="F89" s="35">
        <f t="shared" si="11"/>
        <v>2132.978251186812</v>
      </c>
      <c r="G89" s="35">
        <f t="shared" si="11"/>
        <v>1066.489125593406</v>
      </c>
      <c r="H89" s="25"/>
      <c r="J89" s="2"/>
      <c r="K89" s="2"/>
      <c r="L89" s="2"/>
      <c r="M89" s="2"/>
      <c r="N89" s="2"/>
    </row>
    <row r="90" spans="2:14" x14ac:dyDescent="0.25">
      <c r="B90" s="34">
        <f t="shared" si="8"/>
        <v>1950</v>
      </c>
      <c r="C90" s="35">
        <f t="shared" ref="C90:G104" si="12">C89-(C89*0.01)</f>
        <v>11402.901730844691</v>
      </c>
      <c r="D90" s="35">
        <f t="shared" si="12"/>
        <v>8552.1762939149176</v>
      </c>
      <c r="E90" s="35">
        <f t="shared" si="12"/>
        <v>5279.1211801245754</v>
      </c>
      <c r="F90" s="35">
        <f t="shared" si="12"/>
        <v>2111.6484686749441</v>
      </c>
      <c r="G90" s="35">
        <f t="shared" si="12"/>
        <v>1055.824234337472</v>
      </c>
      <c r="H90" s="25"/>
      <c r="J90" s="2"/>
      <c r="K90" s="2"/>
      <c r="L90" s="2"/>
      <c r="M90" s="2"/>
      <c r="N90" s="2"/>
    </row>
    <row r="91" spans="2:14" x14ac:dyDescent="0.25">
      <c r="B91" s="34">
        <f t="shared" ref="B91:B103" si="13">B90-1</f>
        <v>1949</v>
      </c>
      <c r="C91" s="35">
        <f t="shared" si="12"/>
        <v>11288.872713536244</v>
      </c>
      <c r="D91" s="35">
        <f t="shared" si="12"/>
        <v>8466.6545309757676</v>
      </c>
      <c r="E91" s="35">
        <f t="shared" si="12"/>
        <v>5226.3299683233299</v>
      </c>
      <c r="F91" s="35">
        <f t="shared" si="12"/>
        <v>2090.5319839881945</v>
      </c>
      <c r="G91" s="35">
        <f t="shared" si="12"/>
        <v>1045.2659919940972</v>
      </c>
      <c r="H91" s="25"/>
      <c r="J91" s="2"/>
      <c r="K91" s="2"/>
      <c r="L91" s="2"/>
      <c r="M91" s="2"/>
      <c r="N91" s="2"/>
    </row>
    <row r="92" spans="2:14" x14ac:dyDescent="0.25">
      <c r="B92" s="34">
        <f t="shared" si="13"/>
        <v>1948</v>
      </c>
      <c r="C92" s="35">
        <f t="shared" si="12"/>
        <v>11175.983986400881</v>
      </c>
      <c r="D92" s="35">
        <f t="shared" si="12"/>
        <v>8381.98798566601</v>
      </c>
      <c r="E92" s="35">
        <f t="shared" si="12"/>
        <v>5174.0666686400964</v>
      </c>
      <c r="F92" s="35">
        <f t="shared" si="12"/>
        <v>2069.6266641483126</v>
      </c>
      <c r="G92" s="35">
        <f t="shared" si="12"/>
        <v>1034.8133320741563</v>
      </c>
      <c r="H92" s="25"/>
      <c r="J92" s="2"/>
      <c r="K92" s="2"/>
      <c r="L92" s="2"/>
      <c r="M92" s="2"/>
      <c r="N92" s="2"/>
    </row>
    <row r="93" spans="2:14" x14ac:dyDescent="0.25">
      <c r="B93" s="34">
        <f t="shared" si="13"/>
        <v>1947</v>
      </c>
      <c r="C93" s="35">
        <f t="shared" si="12"/>
        <v>11064.224146536872</v>
      </c>
      <c r="D93" s="35">
        <f t="shared" si="12"/>
        <v>8298.1681058093491</v>
      </c>
      <c r="E93" s="35">
        <f t="shared" si="12"/>
        <v>5122.3260019536956</v>
      </c>
      <c r="F93" s="35">
        <f t="shared" si="12"/>
        <v>2048.9303975068296</v>
      </c>
      <c r="G93" s="35">
        <f t="shared" si="12"/>
        <v>1024.4651987534148</v>
      </c>
      <c r="H93" s="25"/>
      <c r="J93" s="2"/>
      <c r="K93" s="2"/>
      <c r="L93" s="2"/>
      <c r="M93" s="2"/>
      <c r="N93" s="2"/>
    </row>
    <row r="94" spans="2:14" x14ac:dyDescent="0.25">
      <c r="B94" s="34">
        <f t="shared" si="13"/>
        <v>1946</v>
      </c>
      <c r="C94" s="35">
        <f t="shared" si="12"/>
        <v>10953.581905071504</v>
      </c>
      <c r="D94" s="35">
        <f t="shared" si="12"/>
        <v>8215.1864247512549</v>
      </c>
      <c r="E94" s="35">
        <f t="shared" si="12"/>
        <v>5071.102741934159</v>
      </c>
      <c r="F94" s="35">
        <f t="shared" si="12"/>
        <v>2028.4410935317615</v>
      </c>
      <c r="G94" s="35">
        <f t="shared" si="12"/>
        <v>1014.2205467658807</v>
      </c>
      <c r="H94" s="25"/>
      <c r="J94" s="2"/>
      <c r="K94" s="2"/>
      <c r="L94" s="2"/>
      <c r="M94" s="2"/>
      <c r="N94" s="2"/>
    </row>
    <row r="95" spans="2:14" x14ac:dyDescent="0.25">
      <c r="B95" s="34">
        <f t="shared" si="13"/>
        <v>1945</v>
      </c>
      <c r="C95" s="35">
        <f t="shared" si="12"/>
        <v>10844.046086020788</v>
      </c>
      <c r="D95" s="35">
        <f t="shared" si="12"/>
        <v>8133.0345605037419</v>
      </c>
      <c r="E95" s="35">
        <f t="shared" si="12"/>
        <v>5020.3917145148171</v>
      </c>
      <c r="F95" s="35">
        <f t="shared" si="12"/>
        <v>2008.1566825964439</v>
      </c>
      <c r="G95" s="35">
        <f t="shared" si="12"/>
        <v>1004.078341298222</v>
      </c>
      <c r="H95" s="25">
        <f>+D95/4693.53</f>
        <v>1.7328182754778902</v>
      </c>
      <c r="J95" s="2"/>
      <c r="K95" s="2"/>
      <c r="L95" s="2"/>
      <c r="M95" s="2"/>
      <c r="N95" s="2"/>
    </row>
    <row r="96" spans="2:14" x14ac:dyDescent="0.25">
      <c r="B96" s="34">
        <f t="shared" si="13"/>
        <v>1944</v>
      </c>
      <c r="C96" s="35">
        <f t="shared" si="12"/>
        <v>10735.605625160581</v>
      </c>
      <c r="D96" s="35">
        <f t="shared" si="12"/>
        <v>8051.7042148987048</v>
      </c>
      <c r="E96" s="35">
        <f t="shared" si="12"/>
        <v>4970.1877973696692</v>
      </c>
      <c r="F96" s="35">
        <f t="shared" si="12"/>
        <v>1988.0751157704794</v>
      </c>
      <c r="G96" s="35">
        <f t="shared" si="12"/>
        <v>994.03755788523972</v>
      </c>
      <c r="H96" s="25"/>
      <c r="J96" s="2"/>
      <c r="K96" s="2"/>
      <c r="L96" s="2"/>
      <c r="M96" s="2"/>
      <c r="N96" s="2"/>
    </row>
    <row r="97" spans="2:14" x14ac:dyDescent="0.25">
      <c r="B97" s="34">
        <f t="shared" si="13"/>
        <v>1943</v>
      </c>
      <c r="C97" s="35">
        <f t="shared" si="12"/>
        <v>10628.249568908976</v>
      </c>
      <c r="D97" s="35">
        <f t="shared" si="12"/>
        <v>7971.1871727497173</v>
      </c>
      <c r="E97" s="35">
        <f t="shared" si="12"/>
        <v>4920.4859193959728</v>
      </c>
      <c r="F97" s="35">
        <f t="shared" si="12"/>
        <v>1968.1943646127747</v>
      </c>
      <c r="G97" s="35">
        <f t="shared" si="12"/>
        <v>984.09718230638737</v>
      </c>
      <c r="H97" s="25"/>
      <c r="J97" s="2"/>
      <c r="K97" s="2"/>
      <c r="L97" s="2"/>
      <c r="M97" s="2"/>
      <c r="N97" s="2"/>
    </row>
    <row r="98" spans="2:14" x14ac:dyDescent="0.25">
      <c r="B98" s="34">
        <f t="shared" si="13"/>
        <v>1942</v>
      </c>
      <c r="C98" s="35">
        <f t="shared" si="12"/>
        <v>10521.967073219887</v>
      </c>
      <c r="D98" s="35">
        <f t="shared" si="12"/>
        <v>7891.4753010222203</v>
      </c>
      <c r="E98" s="35">
        <f t="shared" si="12"/>
        <v>4871.2810602020127</v>
      </c>
      <c r="F98" s="35">
        <f t="shared" si="12"/>
        <v>1948.5124209666469</v>
      </c>
      <c r="G98" s="35">
        <f t="shared" si="12"/>
        <v>974.25621048332346</v>
      </c>
      <c r="H98" s="25"/>
      <c r="J98" s="2"/>
      <c r="K98" s="2"/>
      <c r="L98" s="2"/>
      <c r="M98" s="2"/>
      <c r="N98" s="2"/>
    </row>
    <row r="99" spans="2:14" x14ac:dyDescent="0.25">
      <c r="B99" s="34">
        <f t="shared" si="13"/>
        <v>1941</v>
      </c>
      <c r="C99" s="35">
        <f t="shared" si="12"/>
        <v>10416.747402487688</v>
      </c>
      <c r="D99" s="35">
        <f t="shared" si="12"/>
        <v>7812.5605480119984</v>
      </c>
      <c r="E99" s="35">
        <f t="shared" si="12"/>
        <v>4822.5682495999927</v>
      </c>
      <c r="F99" s="35">
        <f t="shared" si="12"/>
        <v>1929.0272967569804</v>
      </c>
      <c r="G99" s="35">
        <f t="shared" si="12"/>
        <v>964.51364837849019</v>
      </c>
      <c r="H99" s="25"/>
      <c r="J99" s="2"/>
      <c r="K99" s="2"/>
      <c r="L99" s="2"/>
      <c r="M99" s="2"/>
      <c r="N99" s="2"/>
    </row>
    <row r="100" spans="2:14" x14ac:dyDescent="0.25">
      <c r="B100" s="34">
        <f t="shared" si="13"/>
        <v>1940</v>
      </c>
      <c r="C100" s="35">
        <f t="shared" si="12"/>
        <v>10312.579928462812</v>
      </c>
      <c r="D100" s="35">
        <f t="shared" si="12"/>
        <v>7734.4349425318787</v>
      </c>
      <c r="E100" s="35">
        <f t="shared" si="12"/>
        <v>4774.3425671039931</v>
      </c>
      <c r="F100" s="35">
        <f t="shared" si="12"/>
        <v>1909.7370237894106</v>
      </c>
      <c r="G100" s="35">
        <f t="shared" si="12"/>
        <v>954.86851189470531</v>
      </c>
      <c r="H100" s="25"/>
      <c r="J100" s="2"/>
      <c r="K100" s="2"/>
      <c r="L100" s="2"/>
      <c r="M100" s="2"/>
      <c r="N100" s="2"/>
    </row>
    <row r="101" spans="2:14" x14ac:dyDescent="0.25">
      <c r="B101" s="34">
        <f t="shared" si="13"/>
        <v>1939</v>
      </c>
      <c r="C101" s="35">
        <f t="shared" si="12"/>
        <v>10209.454129178184</v>
      </c>
      <c r="D101" s="35">
        <f t="shared" si="12"/>
        <v>7657.0905931065599</v>
      </c>
      <c r="E101" s="35">
        <f t="shared" si="12"/>
        <v>4726.5991414329528</v>
      </c>
      <c r="F101" s="35">
        <f t="shared" si="12"/>
        <v>1890.6396535515164</v>
      </c>
      <c r="G101" s="35">
        <f t="shared" si="12"/>
        <v>945.3198267757582</v>
      </c>
      <c r="H101" s="25"/>
      <c r="J101" s="2"/>
      <c r="K101" s="2"/>
      <c r="L101" s="2"/>
      <c r="M101" s="2"/>
      <c r="N101" s="2"/>
    </row>
    <row r="102" spans="2:14" x14ac:dyDescent="0.25">
      <c r="B102" s="34">
        <f t="shared" si="13"/>
        <v>1938</v>
      </c>
      <c r="C102" s="35">
        <f t="shared" si="12"/>
        <v>10107.359587886402</v>
      </c>
      <c r="D102" s="35">
        <f t="shared" si="12"/>
        <v>7580.5196871754943</v>
      </c>
      <c r="E102" s="35">
        <f t="shared" si="12"/>
        <v>4679.3331500186232</v>
      </c>
      <c r="F102" s="35">
        <f t="shared" si="12"/>
        <v>1871.7332570160013</v>
      </c>
      <c r="G102" s="35">
        <f t="shared" si="12"/>
        <v>935.86662850800064</v>
      </c>
      <c r="H102" s="25"/>
      <c r="J102" s="2"/>
      <c r="K102" s="2"/>
      <c r="L102" s="2"/>
      <c r="M102" s="2"/>
      <c r="N102" s="2"/>
    </row>
    <row r="103" spans="2:14" x14ac:dyDescent="0.25">
      <c r="B103" s="34">
        <f t="shared" si="13"/>
        <v>1937</v>
      </c>
      <c r="C103" s="35">
        <f t="shared" si="12"/>
        <v>10006.285992007537</v>
      </c>
      <c r="D103" s="35">
        <f t="shared" si="12"/>
        <v>7504.7144903037397</v>
      </c>
      <c r="E103" s="35">
        <f t="shared" si="12"/>
        <v>4632.5398185184367</v>
      </c>
      <c r="F103" s="35">
        <f t="shared" si="12"/>
        <v>1853.0159244458412</v>
      </c>
      <c r="G103" s="35">
        <f t="shared" si="12"/>
        <v>926.50796222292058</v>
      </c>
      <c r="H103" s="25"/>
      <c r="J103" s="2"/>
      <c r="K103" s="2"/>
      <c r="L103" s="2"/>
      <c r="M103" s="2"/>
      <c r="N103" s="2"/>
    </row>
    <row r="104" spans="2:14" x14ac:dyDescent="0.25">
      <c r="B104" s="34" t="s">
        <v>64</v>
      </c>
      <c r="C104" s="35">
        <f t="shared" si="12"/>
        <v>9906.2231320874616</v>
      </c>
      <c r="D104" s="35">
        <f t="shared" si="12"/>
        <v>7429.6673454007023</v>
      </c>
      <c r="E104" s="35">
        <f t="shared" si="12"/>
        <v>4586.2144203332527</v>
      </c>
      <c r="F104" s="35">
        <f t="shared" si="12"/>
        <v>1834.4857652013827</v>
      </c>
      <c r="G104" s="35">
        <f t="shared" si="12"/>
        <v>917.24288260069136</v>
      </c>
      <c r="H104" s="25"/>
      <c r="J104" s="2"/>
      <c r="K104" s="2"/>
      <c r="L104" s="2"/>
      <c r="M104" s="2"/>
      <c r="N104" s="2"/>
    </row>
    <row r="105" spans="2:14" x14ac:dyDescent="0.25">
      <c r="J105" s="2"/>
      <c r="K105" s="2"/>
      <c r="L105" s="2"/>
      <c r="M105" s="2"/>
      <c r="N105" s="2"/>
    </row>
    <row r="106" spans="2:14" x14ac:dyDescent="0.25">
      <c r="J106" s="2"/>
      <c r="K106" s="2"/>
      <c r="L106" s="2"/>
      <c r="M106" s="2"/>
      <c r="N106" s="2"/>
    </row>
    <row r="107" spans="2:14" x14ac:dyDescent="0.25">
      <c r="J107" s="2"/>
      <c r="K107" s="2"/>
      <c r="L107" s="2"/>
      <c r="M107" s="2"/>
      <c r="N107" s="2"/>
    </row>
    <row r="108" spans="2:14" x14ac:dyDescent="0.25">
      <c r="J108" s="2"/>
      <c r="K108" s="2"/>
      <c r="L108" s="2"/>
      <c r="M108" s="2"/>
      <c r="N108" s="2"/>
    </row>
    <row r="109" spans="2:14" x14ac:dyDescent="0.25">
      <c r="J109" s="2"/>
      <c r="K109" s="2"/>
      <c r="L109" s="2"/>
      <c r="M109" s="2"/>
      <c r="N109" s="2"/>
    </row>
  </sheetData>
  <mergeCells count="2">
    <mergeCell ref="B18:G19"/>
    <mergeCell ref="B17:G17"/>
  </mergeCells>
  <pageMargins left="1" right="1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2013</vt:lpstr>
      <vt:lpstr>2014</vt:lpstr>
      <vt:lpstr>2015</vt:lpstr>
      <vt:lpstr>2016</vt:lpstr>
      <vt:lpstr>tabla construccion 2016</vt:lpstr>
      <vt:lpstr>tabla const PROYECTO 2018</vt:lpstr>
      <vt:lpstr>'tabla const PROYECTO 2018'!Área_de_impresión</vt:lpstr>
      <vt:lpstr>'tabla const PROYECTO 2018'!Títulos_a_imprimir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Forte</dc:creator>
  <cp:lastModifiedBy>frodriguez</cp:lastModifiedBy>
  <cp:lastPrinted>2018-12-04T14:15:20Z</cp:lastPrinted>
  <dcterms:created xsi:type="dcterms:W3CDTF">2012-10-16T12:55:39Z</dcterms:created>
  <dcterms:modified xsi:type="dcterms:W3CDTF">2018-12-28T13:01:43Z</dcterms:modified>
</cp:coreProperties>
</file>