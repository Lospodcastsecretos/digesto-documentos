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D:\Documentos Usuarios\frodriguez\Mis Documentos\Ordenanzas\2016\"/>
    </mc:Choice>
  </mc:AlternateContent>
  <bookViews>
    <workbookView xWindow="0" yWindow="0" windowWidth="11325" windowHeight="7545"/>
  </bookViews>
  <sheets>
    <sheet name="PARA IMPRIMIR 2017" sheetId="5" r:id="rId1"/>
  </sheets>
  <definedNames>
    <definedName name="_xlnm._FilterDatabase" localSheetId="0" hidden="1">'PARA IMPRIMIR 2017'!$A$3:$G$965</definedName>
    <definedName name="_xlnm.Print_Area" localSheetId="0">'PARA IMPRIMIR 2017'!$A$731:$G$731</definedName>
    <definedName name="_xlnm.Print_Titles" localSheetId="0">'PARA IMPRIMIR 2017'!$3:$3</definedName>
  </definedNames>
  <calcPr calcId="152511"/>
</workbook>
</file>

<file path=xl/calcChain.xml><?xml version="1.0" encoding="utf-8"?>
<calcChain xmlns="http://schemas.openxmlformats.org/spreadsheetml/2006/main">
  <c r="F592" i="5" l="1"/>
  <c r="D835" i="5" l="1"/>
  <c r="E835" i="5" s="1"/>
  <c r="F965" i="5" l="1"/>
  <c r="F963" i="5"/>
  <c r="F961" i="5"/>
  <c r="F959" i="5"/>
  <c r="F958" i="5"/>
  <c r="F957" i="5"/>
  <c r="F956" i="5"/>
  <c r="F955" i="5"/>
  <c r="F953" i="5"/>
  <c r="F952" i="5"/>
  <c r="F951" i="5"/>
  <c r="F950" i="5"/>
  <c r="F949" i="5"/>
  <c r="F948" i="5"/>
  <c r="F947" i="5"/>
  <c r="F939" i="5"/>
  <c r="F935" i="5"/>
  <c r="F934" i="5"/>
  <c r="F929" i="5"/>
  <c r="F927" i="5"/>
  <c r="F926" i="5"/>
  <c r="F923" i="5"/>
  <c r="F922" i="5"/>
  <c r="F921" i="5"/>
  <c r="F920" i="5"/>
  <c r="F919" i="5"/>
  <c r="F918" i="5"/>
  <c r="F916" i="5"/>
  <c r="F914" i="5"/>
  <c r="F910" i="5"/>
  <c r="F907" i="5"/>
  <c r="F905" i="5"/>
  <c r="F904" i="5"/>
  <c r="F902" i="5"/>
  <c r="F900" i="5"/>
  <c r="F899" i="5"/>
  <c r="F898" i="5"/>
  <c r="F897" i="5"/>
  <c r="F896" i="5"/>
  <c r="F895" i="5"/>
  <c r="F894" i="5"/>
  <c r="F893" i="5"/>
  <c r="F892" i="5"/>
  <c r="F888" i="5"/>
  <c r="F846" i="5"/>
  <c r="F845" i="5"/>
  <c r="F844" i="5"/>
  <c r="F843" i="5"/>
  <c r="F840" i="5"/>
  <c r="F839" i="5"/>
  <c r="F838" i="5"/>
  <c r="F831" i="5"/>
  <c r="F827" i="5"/>
  <c r="F826" i="5"/>
  <c r="F825" i="5"/>
  <c r="F824" i="5"/>
  <c r="F813" i="5"/>
  <c r="F810" i="5"/>
  <c r="F809" i="5"/>
  <c r="F808" i="5"/>
  <c r="F807" i="5"/>
  <c r="F805" i="5"/>
  <c r="F804" i="5"/>
  <c r="F801" i="5"/>
  <c r="F800" i="5"/>
  <c r="F798" i="5"/>
  <c r="F797" i="5"/>
  <c r="F789" i="5"/>
  <c r="F782" i="5"/>
  <c r="F780" i="5"/>
  <c r="F778" i="5"/>
  <c r="F777" i="5"/>
  <c r="F776" i="5"/>
  <c r="F772" i="5"/>
  <c r="F771" i="5"/>
  <c r="F768" i="5"/>
  <c r="F765" i="5"/>
  <c r="F764" i="5"/>
  <c r="F759" i="5"/>
  <c r="F751" i="5"/>
  <c r="F750" i="5"/>
  <c r="F749" i="5"/>
  <c r="F735" i="5"/>
  <c r="F732" i="5"/>
  <c r="F730" i="5"/>
  <c r="F729" i="5"/>
  <c r="F728" i="5"/>
  <c r="F721" i="5"/>
  <c r="F718" i="5"/>
  <c r="F709" i="5"/>
  <c r="F696" i="5"/>
  <c r="F695" i="5"/>
  <c r="F690" i="5"/>
  <c r="F688" i="5"/>
  <c r="F673" i="5"/>
  <c r="F672" i="5"/>
  <c r="F659" i="5"/>
  <c r="F658" i="5"/>
  <c r="F648" i="5"/>
  <c r="F647" i="5"/>
  <c r="F644" i="5"/>
  <c r="F643" i="5"/>
  <c r="F642" i="5"/>
  <c r="F606" i="5"/>
  <c r="F605" i="5"/>
  <c r="F601" i="5"/>
  <c r="F598" i="5"/>
  <c r="F597" i="5"/>
  <c r="F596" i="5"/>
  <c r="F595" i="5"/>
  <c r="F594" i="5"/>
  <c r="F593" i="5"/>
  <c r="F590" i="5"/>
  <c r="F587" i="5"/>
  <c r="F586" i="5"/>
  <c r="F585" i="5"/>
  <c r="F584" i="5"/>
  <c r="F579" i="5"/>
  <c r="F561" i="5"/>
  <c r="F548" i="5"/>
  <c r="F545" i="5"/>
  <c r="F537" i="5"/>
  <c r="F532" i="5"/>
  <c r="F530" i="5"/>
  <c r="F529" i="5"/>
  <c r="F528" i="5"/>
  <c r="F527" i="5"/>
  <c r="F526" i="5"/>
  <c r="F516" i="5"/>
  <c r="F511" i="5"/>
  <c r="F502" i="5"/>
  <c r="F501" i="5"/>
  <c r="F500" i="5"/>
  <c r="F473" i="5"/>
  <c r="F472" i="5"/>
  <c r="F470" i="5"/>
  <c r="F463" i="5"/>
  <c r="F447" i="5"/>
  <c r="F441" i="5"/>
  <c r="F422" i="5"/>
  <c r="F421" i="5"/>
  <c r="F413" i="5"/>
  <c r="F406" i="5"/>
  <c r="F405" i="5"/>
  <c r="F404" i="5"/>
  <c r="F403" i="5"/>
  <c r="F239" i="5"/>
  <c r="F143" i="5"/>
  <c r="F142" i="5"/>
  <c r="F96" i="5"/>
  <c r="D6" i="5" l="1"/>
  <c r="E6" i="5" s="1"/>
  <c r="E908" i="5" l="1"/>
  <c r="F908" i="5" s="1"/>
  <c r="B767" i="5" l="1"/>
  <c r="E766" i="5" l="1"/>
  <c r="F766" i="5" s="1"/>
  <c r="E954" i="5" l="1"/>
  <c r="F954" i="5" s="1"/>
  <c r="E960" i="5"/>
  <c r="F960" i="5" s="1"/>
  <c r="E946" i="5"/>
  <c r="F946" i="5" s="1"/>
  <c r="E945" i="5"/>
  <c r="F945" i="5" s="1"/>
  <c r="E944" i="5"/>
  <c r="F944" i="5" s="1"/>
  <c r="E943" i="5"/>
  <c r="F943" i="5" s="1"/>
  <c r="E942" i="5"/>
  <c r="F942" i="5" s="1"/>
  <c r="E941" i="5"/>
  <c r="F941" i="5" s="1"/>
  <c r="E936" i="5"/>
  <c r="F936" i="5" s="1"/>
  <c r="E933" i="5"/>
  <c r="F933" i="5" s="1"/>
  <c r="E932" i="5"/>
  <c r="F932" i="5" s="1"/>
  <c r="E930" i="5"/>
  <c r="F930" i="5" s="1"/>
  <c r="E928" i="5"/>
  <c r="F928" i="5" s="1"/>
  <c r="E925" i="5"/>
  <c r="F925" i="5" s="1"/>
  <c r="E924" i="5"/>
  <c r="F924" i="5" s="1"/>
  <c r="E917" i="5"/>
  <c r="F917" i="5" s="1"/>
  <c r="E915" i="5"/>
  <c r="E913" i="5"/>
  <c r="F913" i="5" s="1"/>
  <c r="E912" i="5"/>
  <c r="E911" i="5"/>
  <c r="F911" i="5" s="1"/>
  <c r="E909" i="5"/>
  <c r="F909" i="5" s="1"/>
  <c r="E906" i="5"/>
  <c r="F906" i="5" s="1"/>
  <c r="E903" i="5"/>
  <c r="F903" i="5" s="1"/>
  <c r="E891" i="5"/>
  <c r="F891" i="5" s="1"/>
  <c r="E887" i="5"/>
  <c r="F887" i="5" s="1"/>
  <c r="E886" i="5"/>
  <c r="F886" i="5" s="1"/>
  <c r="E885" i="5"/>
  <c r="F885" i="5" s="1"/>
  <c r="E883" i="5"/>
  <c r="F883" i="5" s="1"/>
  <c r="E881" i="5"/>
  <c r="F881" i="5" s="1"/>
  <c r="E880" i="5"/>
  <c r="F880" i="5" s="1"/>
  <c r="E879" i="5"/>
  <c r="F879" i="5" s="1"/>
  <c r="E878" i="5"/>
  <c r="F878" i="5" s="1"/>
  <c r="E877" i="5"/>
  <c r="F877" i="5" s="1"/>
  <c r="E876" i="5"/>
  <c r="F876" i="5" s="1"/>
  <c r="E875" i="5"/>
  <c r="F875" i="5" s="1"/>
  <c r="E874" i="5"/>
  <c r="F874" i="5" s="1"/>
  <c r="E873" i="5"/>
  <c r="F873" i="5" s="1"/>
  <c r="E872" i="5"/>
  <c r="F872" i="5" s="1"/>
  <c r="E871" i="5"/>
  <c r="E870" i="5"/>
  <c r="F870" i="5" s="1"/>
  <c r="E868" i="5"/>
  <c r="F868" i="5" s="1"/>
  <c r="E867" i="5"/>
  <c r="F867" i="5" s="1"/>
  <c r="E866" i="5"/>
  <c r="F866" i="5" s="1"/>
  <c r="E865" i="5"/>
  <c r="F865" i="5" s="1"/>
  <c r="E864" i="5"/>
  <c r="F864" i="5" s="1"/>
  <c r="E863" i="5"/>
  <c r="F863" i="5" s="1"/>
  <c r="E862" i="5"/>
  <c r="F862" i="5" s="1"/>
  <c r="E861" i="5"/>
  <c r="F861" i="5" s="1"/>
  <c r="E860" i="5"/>
  <c r="F860" i="5" s="1"/>
  <c r="E859" i="5"/>
  <c r="F859" i="5" s="1"/>
  <c r="E858" i="5"/>
  <c r="F858" i="5" s="1"/>
  <c r="E857" i="5"/>
  <c r="F857" i="5" s="1"/>
  <c r="E856" i="5"/>
  <c r="F856" i="5" s="1"/>
  <c r="E855" i="5"/>
  <c r="F855" i="5" s="1"/>
  <c r="E854" i="5"/>
  <c r="F854" i="5" s="1"/>
  <c r="E853" i="5"/>
  <c r="F853" i="5" s="1"/>
  <c r="E851" i="5"/>
  <c r="E850" i="5"/>
  <c r="E849" i="5"/>
  <c r="F849" i="5" s="1"/>
  <c r="E848" i="5"/>
  <c r="F848" i="5" s="1"/>
  <c r="E847" i="5"/>
  <c r="F847" i="5" s="1"/>
  <c r="E842" i="5"/>
  <c r="F842" i="5" s="1"/>
  <c r="E841" i="5"/>
  <c r="F841" i="5" s="1"/>
  <c r="E832" i="5"/>
  <c r="F832" i="5" s="1"/>
  <c r="E828" i="5"/>
  <c r="F828" i="5" s="1"/>
  <c r="E821" i="5"/>
  <c r="F821" i="5" s="1"/>
  <c r="E820" i="5"/>
  <c r="F820" i="5" s="1"/>
  <c r="E819" i="5"/>
  <c r="F819" i="5" s="1"/>
  <c r="E818" i="5"/>
  <c r="F818" i="5" s="1"/>
  <c r="E817" i="5"/>
  <c r="F817" i="5" s="1"/>
  <c r="E816" i="5"/>
  <c r="F816" i="5" s="1"/>
  <c r="E815" i="5"/>
  <c r="F815" i="5" s="1"/>
  <c r="E814" i="5"/>
  <c r="F814" i="5" s="1"/>
  <c r="E803" i="5"/>
  <c r="F803" i="5" s="1"/>
  <c r="E802" i="5"/>
  <c r="F802" i="5" s="1"/>
  <c r="E799" i="5"/>
  <c r="F799" i="5" s="1"/>
  <c r="E795" i="5"/>
  <c r="F795" i="5" s="1"/>
  <c r="E794" i="5"/>
  <c r="F794" i="5" s="1"/>
  <c r="E793" i="5"/>
  <c r="F793" i="5" s="1"/>
  <c r="E792" i="5"/>
  <c r="F792" i="5" s="1"/>
  <c r="E791" i="5"/>
  <c r="F791" i="5" s="1"/>
  <c r="E790" i="5"/>
  <c r="F790" i="5" s="1"/>
  <c r="E788" i="5"/>
  <c r="F788" i="5" s="1"/>
  <c r="E787" i="5"/>
  <c r="F787" i="5" s="1"/>
  <c r="E786" i="5"/>
  <c r="F786" i="5" s="1"/>
  <c r="E785" i="5"/>
  <c r="F785" i="5" s="1"/>
  <c r="E784" i="5"/>
  <c r="F784" i="5" s="1"/>
  <c r="E779" i="5"/>
  <c r="F779" i="5" s="1"/>
  <c r="E775" i="5"/>
  <c r="F775" i="5" s="1"/>
  <c r="E769" i="5"/>
  <c r="F769" i="5" s="1"/>
  <c r="E761" i="5"/>
  <c r="F761" i="5" s="1"/>
  <c r="E760" i="5"/>
  <c r="F760" i="5" s="1"/>
  <c r="E756" i="5"/>
  <c r="F756" i="5" s="1"/>
  <c r="E755" i="5"/>
  <c r="F755" i="5" s="1"/>
  <c r="E754" i="5"/>
  <c r="F754" i="5" s="1"/>
  <c r="E752" i="5"/>
  <c r="F752" i="5" s="1"/>
  <c r="E742" i="5"/>
  <c r="F742" i="5" s="1"/>
  <c r="E738" i="5"/>
  <c r="F738" i="5" s="1"/>
  <c r="E734" i="5"/>
  <c r="F734" i="5" s="1"/>
  <c r="E733" i="5"/>
  <c r="F733" i="5" s="1"/>
  <c r="E731" i="5"/>
  <c r="E725" i="5"/>
  <c r="F725" i="5" s="1"/>
  <c r="E722" i="5"/>
  <c r="F722" i="5" s="1"/>
  <c r="E720" i="5"/>
  <c r="F720" i="5" s="1"/>
  <c r="E717" i="5"/>
  <c r="F717" i="5" s="1"/>
  <c r="E716" i="5"/>
  <c r="F716" i="5" s="1"/>
  <c r="E715" i="5"/>
  <c r="F715" i="5" s="1"/>
  <c r="E714" i="5"/>
  <c r="F714" i="5" s="1"/>
  <c r="E713" i="5"/>
  <c r="F713" i="5" s="1"/>
  <c r="E712" i="5"/>
  <c r="F712" i="5" s="1"/>
  <c r="E711" i="5"/>
  <c r="F711" i="5" s="1"/>
  <c r="E710" i="5"/>
  <c r="F710" i="5" s="1"/>
  <c r="E707" i="5"/>
  <c r="F707" i="5" s="1"/>
  <c r="E704" i="5"/>
  <c r="F704" i="5" s="1"/>
  <c r="E703" i="5"/>
  <c r="F703" i="5" s="1"/>
  <c r="E702" i="5"/>
  <c r="F702" i="5" s="1"/>
  <c r="E701" i="5"/>
  <c r="F701" i="5" s="1"/>
  <c r="E700" i="5"/>
  <c r="F700" i="5" s="1"/>
  <c r="E699" i="5"/>
  <c r="F699" i="5" s="1"/>
  <c r="E694" i="5"/>
  <c r="F694" i="5" s="1"/>
  <c r="E693" i="5"/>
  <c r="F693" i="5" s="1"/>
  <c r="E692" i="5"/>
  <c r="F692" i="5" s="1"/>
  <c r="E691" i="5"/>
  <c r="F691" i="5" s="1"/>
  <c r="E689" i="5"/>
  <c r="F689" i="5" s="1"/>
  <c r="E683" i="5"/>
  <c r="F683" i="5" s="1"/>
  <c r="E682" i="5"/>
  <c r="F682" i="5" s="1"/>
  <c r="E681" i="5"/>
  <c r="F681" i="5" s="1"/>
  <c r="E680" i="5"/>
  <c r="F680" i="5" s="1"/>
  <c r="E679" i="5"/>
  <c r="F679" i="5" s="1"/>
  <c r="E678" i="5"/>
  <c r="F678" i="5" s="1"/>
  <c r="E677" i="5"/>
  <c r="F677" i="5" s="1"/>
  <c r="E676" i="5"/>
  <c r="F676" i="5" s="1"/>
  <c r="E675" i="5"/>
  <c r="F675" i="5" s="1"/>
  <c r="E674" i="5"/>
  <c r="F674" i="5" s="1"/>
  <c r="E668" i="5"/>
  <c r="F668" i="5" s="1"/>
  <c r="E661" i="5"/>
  <c r="F661" i="5" s="1"/>
  <c r="E657" i="5"/>
  <c r="F657" i="5" s="1"/>
  <c r="E656" i="5"/>
  <c r="F656" i="5" s="1"/>
  <c r="E653" i="5"/>
  <c r="F653" i="5" s="1"/>
  <c r="E652" i="5"/>
  <c r="F652" i="5" s="1"/>
  <c r="E635" i="5"/>
  <c r="F635" i="5" s="1"/>
  <c r="E633" i="5"/>
  <c r="F633" i="5" s="1"/>
  <c r="E632" i="5"/>
  <c r="F632" i="5" s="1"/>
  <c r="E631" i="5"/>
  <c r="F631" i="5" s="1"/>
  <c r="E630" i="5"/>
  <c r="F630" i="5" s="1"/>
  <c r="E629" i="5"/>
  <c r="F629" i="5" s="1"/>
  <c r="E628" i="5"/>
  <c r="F628" i="5" s="1"/>
  <c r="E627" i="5"/>
  <c r="F627" i="5" s="1"/>
  <c r="E626" i="5"/>
  <c r="F626" i="5" s="1"/>
  <c r="E623" i="5"/>
  <c r="F623" i="5" s="1"/>
  <c r="E622" i="5"/>
  <c r="F622" i="5" s="1"/>
  <c r="E621" i="5"/>
  <c r="F621" i="5" s="1"/>
  <c r="E620" i="5"/>
  <c r="F620" i="5" s="1"/>
  <c r="E619" i="5"/>
  <c r="F619" i="5" s="1"/>
  <c r="E618" i="5"/>
  <c r="F618" i="5" s="1"/>
  <c r="E615" i="5"/>
  <c r="F615" i="5" s="1"/>
  <c r="E614" i="5"/>
  <c r="F614" i="5" s="1"/>
  <c r="E613" i="5"/>
  <c r="F613" i="5" s="1"/>
  <c r="E612" i="5"/>
  <c r="F612" i="5" s="1"/>
  <c r="E611" i="5"/>
  <c r="F611" i="5" s="1"/>
  <c r="E608" i="5"/>
  <c r="F608" i="5" s="1"/>
  <c r="E607" i="5"/>
  <c r="F607" i="5" s="1"/>
  <c r="E600" i="5"/>
  <c r="F600" i="5" s="1"/>
  <c r="E599" i="5"/>
  <c r="F599" i="5" s="1"/>
  <c r="E583" i="5"/>
  <c r="F583" i="5" s="1"/>
  <c r="E580" i="5"/>
  <c r="F580" i="5" s="1"/>
  <c r="E536" i="5"/>
  <c r="F536" i="5" s="1"/>
  <c r="E535" i="5"/>
  <c r="F535" i="5" s="1"/>
  <c r="E523" i="5"/>
  <c r="F523" i="5" s="1"/>
  <c r="E522" i="5"/>
  <c r="F522" i="5" s="1"/>
  <c r="E521" i="5"/>
  <c r="F521" i="5" s="1"/>
  <c r="E520" i="5"/>
  <c r="F520" i="5" s="1"/>
  <c r="E519" i="5"/>
  <c r="F519" i="5" s="1"/>
  <c r="E504" i="5"/>
  <c r="F504" i="5" s="1"/>
  <c r="E471" i="5"/>
  <c r="F471" i="5" s="1"/>
  <c r="E469" i="5"/>
  <c r="F469" i="5" s="1"/>
  <c r="E462" i="5"/>
  <c r="E446" i="5"/>
  <c r="F446" i="5" s="1"/>
  <c r="E444" i="5"/>
  <c r="F444" i="5" s="1"/>
  <c r="E442" i="5"/>
  <c r="F442" i="5" s="1"/>
  <c r="E440" i="5"/>
  <c r="F440" i="5" s="1"/>
  <c r="E439" i="5"/>
  <c r="F439" i="5" s="1"/>
  <c r="E438" i="5"/>
  <c r="F438" i="5" s="1"/>
  <c r="E435" i="5"/>
  <c r="F435" i="5" s="1"/>
  <c r="E408" i="5"/>
  <c r="F408" i="5" s="1"/>
  <c r="E402" i="5"/>
  <c r="F402" i="5" s="1"/>
  <c r="E401" i="5"/>
  <c r="F401" i="5" s="1"/>
  <c r="E400" i="5"/>
  <c r="F400" i="5" s="1"/>
  <c r="E399" i="5"/>
  <c r="F399" i="5" s="1"/>
  <c r="E398" i="5"/>
  <c r="F398" i="5" s="1"/>
  <c r="E394" i="5"/>
  <c r="F394" i="5" s="1"/>
  <c r="E393" i="5"/>
  <c r="F393" i="5" s="1"/>
  <c r="E392" i="5"/>
  <c r="F392" i="5" s="1"/>
  <c r="E387" i="5"/>
  <c r="F387" i="5" s="1"/>
  <c r="E384" i="5"/>
  <c r="F384" i="5" s="1"/>
  <c r="E383" i="5"/>
  <c r="F383" i="5" s="1"/>
  <c r="E382" i="5"/>
  <c r="F382" i="5" s="1"/>
  <c r="E377" i="5"/>
  <c r="F377" i="5" s="1"/>
  <c r="E376" i="5"/>
  <c r="F376" i="5" s="1"/>
  <c r="E356" i="5"/>
  <c r="F356" i="5" s="1"/>
  <c r="E354" i="5"/>
  <c r="F354" i="5" s="1"/>
  <c r="E353" i="5"/>
  <c r="E329" i="5"/>
  <c r="F329" i="5" s="1"/>
  <c r="E264" i="5"/>
  <c r="F264" i="5" s="1"/>
  <c r="E263" i="5"/>
  <c r="F263" i="5" s="1"/>
  <c r="E247" i="5"/>
  <c r="F247" i="5" s="1"/>
  <c r="E246" i="5"/>
  <c r="F246" i="5" s="1"/>
  <c r="E245" i="5"/>
  <c r="F245" i="5" s="1"/>
  <c r="E216" i="5"/>
  <c r="F216" i="5" s="1"/>
  <c r="E215" i="5"/>
  <c r="F215" i="5" s="1"/>
  <c r="E214" i="5"/>
  <c r="F214" i="5" s="1"/>
  <c r="E213" i="5"/>
  <c r="F213" i="5" s="1"/>
  <c r="E212" i="5"/>
  <c r="F212" i="5" s="1"/>
  <c r="E211" i="5"/>
  <c r="F211" i="5" s="1"/>
  <c r="E200" i="5"/>
  <c r="F200" i="5" s="1"/>
  <c r="E199" i="5"/>
  <c r="F199" i="5" s="1"/>
  <c r="E198" i="5"/>
  <c r="F198" i="5" s="1"/>
  <c r="E196" i="5"/>
  <c r="F196" i="5" s="1"/>
  <c r="E188" i="5"/>
  <c r="F188" i="5" s="1"/>
  <c r="E169" i="5"/>
  <c r="F169" i="5" s="1"/>
  <c r="E168" i="5"/>
  <c r="F168" i="5" s="1"/>
  <c r="E156" i="5"/>
  <c r="F156" i="5" s="1"/>
  <c r="E104" i="5"/>
  <c r="F104" i="5" s="1"/>
  <c r="E51" i="5"/>
  <c r="F51" i="5" s="1"/>
  <c r="E47" i="5"/>
  <c r="F353" i="5" l="1"/>
  <c r="D882" i="5" l="1"/>
  <c r="E882" i="5" s="1"/>
  <c r="F882" i="5" s="1"/>
  <c r="D834" i="5"/>
  <c r="E834" i="5" s="1"/>
  <c r="D833" i="5"/>
  <c r="E833" i="5" s="1"/>
  <c r="D830" i="5"/>
  <c r="E830" i="5" s="1"/>
  <c r="D829" i="5"/>
  <c r="E829" i="5" s="1"/>
  <c r="D806" i="5"/>
  <c r="E806" i="5" s="1"/>
  <c r="D767" i="5"/>
  <c r="D758" i="5"/>
  <c r="E758" i="5" s="1"/>
  <c r="D757" i="5"/>
  <c r="E757" i="5" s="1"/>
  <c r="D747" i="5"/>
  <c r="E747" i="5" s="1"/>
  <c r="D746" i="5"/>
  <c r="E746" i="5" s="1"/>
  <c r="D745" i="5"/>
  <c r="E745" i="5" s="1"/>
  <c r="D744" i="5"/>
  <c r="E744" i="5" s="1"/>
  <c r="D743" i="5"/>
  <c r="E743" i="5" s="1"/>
  <c r="D741" i="5"/>
  <c r="E741" i="5" s="1"/>
  <c r="D740" i="5"/>
  <c r="E740" i="5" s="1"/>
  <c r="D736" i="5"/>
  <c r="E736" i="5" s="1"/>
  <c r="D727" i="5"/>
  <c r="E727" i="5" s="1"/>
  <c r="D726" i="5"/>
  <c r="E726" i="5" s="1"/>
  <c r="D719" i="5"/>
  <c r="E719" i="5" s="1"/>
  <c r="D708" i="5"/>
  <c r="E708" i="5" s="1"/>
  <c r="D706" i="5"/>
  <c r="E706" i="5" s="1"/>
  <c r="D705" i="5"/>
  <c r="E705" i="5" s="1"/>
  <c r="D698" i="5"/>
  <c r="E698" i="5" s="1"/>
  <c r="D697" i="5"/>
  <c r="E697" i="5" s="1"/>
  <c r="D687" i="5"/>
  <c r="E687" i="5" s="1"/>
  <c r="D686" i="5"/>
  <c r="E686" i="5" s="1"/>
  <c r="D685" i="5"/>
  <c r="E685" i="5" s="1"/>
  <c r="D684" i="5"/>
  <c r="E684" i="5" s="1"/>
  <c r="D671" i="5"/>
  <c r="E671" i="5" s="1"/>
  <c r="D670" i="5"/>
  <c r="E670" i="5" s="1"/>
  <c r="D669" i="5"/>
  <c r="E669" i="5" s="1"/>
  <c r="D667" i="5"/>
  <c r="E667" i="5" s="1"/>
  <c r="D666" i="5"/>
  <c r="E666" i="5" s="1"/>
  <c r="D665" i="5"/>
  <c r="E665" i="5" s="1"/>
  <c r="D664" i="5"/>
  <c r="E664" i="5" s="1"/>
  <c r="D663" i="5"/>
  <c r="E663" i="5" s="1"/>
  <c r="D662" i="5"/>
  <c r="E662" i="5" s="1"/>
  <c r="D660" i="5"/>
  <c r="E660" i="5" s="1"/>
  <c r="D655" i="5"/>
  <c r="E655" i="5" s="1"/>
  <c r="D654" i="5"/>
  <c r="E654" i="5" s="1"/>
  <c r="D651" i="5"/>
  <c r="E651" i="5" s="1"/>
  <c r="D650" i="5"/>
  <c r="E650" i="5" s="1"/>
  <c r="D646" i="5"/>
  <c r="E646" i="5" s="1"/>
  <c r="D645" i="5"/>
  <c r="E645" i="5" s="1"/>
  <c r="D640" i="5"/>
  <c r="E640" i="5" s="1"/>
  <c r="D639" i="5"/>
  <c r="E639" i="5" s="1"/>
  <c r="D638" i="5"/>
  <c r="E638" i="5" s="1"/>
  <c r="D637" i="5"/>
  <c r="E637" i="5" s="1"/>
  <c r="D636" i="5"/>
  <c r="E636" i="5" s="1"/>
  <c r="D634" i="5"/>
  <c r="E634" i="5" s="1"/>
  <c r="D624" i="5"/>
  <c r="E624" i="5" s="1"/>
  <c r="D610" i="5"/>
  <c r="E610" i="5" s="1"/>
  <c r="D609" i="5"/>
  <c r="E609" i="5" s="1"/>
  <c r="D604" i="5"/>
  <c r="E604" i="5" s="1"/>
  <c r="D603" i="5"/>
  <c r="E603" i="5" s="1"/>
  <c r="D602" i="5"/>
  <c r="E602" i="5" s="1"/>
  <c r="D577" i="5"/>
  <c r="E577" i="5" s="1"/>
  <c r="D576" i="5"/>
  <c r="E576" i="5" s="1"/>
  <c r="D574" i="5"/>
  <c r="E574" i="5" s="1"/>
  <c r="D573" i="5"/>
  <c r="E573" i="5" s="1"/>
  <c r="D572" i="5"/>
  <c r="E572" i="5" s="1"/>
  <c r="D571" i="5"/>
  <c r="E571" i="5" s="1"/>
  <c r="D570" i="5"/>
  <c r="E570" i="5" s="1"/>
  <c r="D569" i="5"/>
  <c r="E569" i="5" s="1"/>
  <c r="D568" i="5"/>
  <c r="E568" i="5" s="1"/>
  <c r="D567" i="5"/>
  <c r="E567" i="5" s="1"/>
  <c r="D566" i="5"/>
  <c r="E566" i="5" s="1"/>
  <c r="D565" i="5"/>
  <c r="E565" i="5" s="1"/>
  <c r="D563" i="5"/>
  <c r="E563" i="5" s="1"/>
  <c r="D562" i="5"/>
  <c r="E562" i="5" s="1"/>
  <c r="D560" i="5"/>
  <c r="E560" i="5" s="1"/>
  <c r="D559" i="5"/>
  <c r="E559" i="5" s="1"/>
  <c r="D558" i="5"/>
  <c r="E558" i="5" s="1"/>
  <c r="D557" i="5"/>
  <c r="E557" i="5" s="1"/>
  <c r="D556" i="5"/>
  <c r="E556" i="5" s="1"/>
  <c r="D555" i="5"/>
  <c r="E555" i="5" s="1"/>
  <c r="D554" i="5"/>
  <c r="E554" i="5" s="1"/>
  <c r="D553" i="5"/>
  <c r="E553" i="5" s="1"/>
  <c r="D552" i="5"/>
  <c r="E552" i="5" s="1"/>
  <c r="D551" i="5"/>
  <c r="E551" i="5" s="1"/>
  <c r="D550" i="5"/>
  <c r="E550" i="5" s="1"/>
  <c r="D549" i="5"/>
  <c r="E549" i="5" s="1"/>
  <c r="D547" i="5"/>
  <c r="E547" i="5" s="1"/>
  <c r="D546" i="5"/>
  <c r="E546" i="5" s="1"/>
  <c r="D544" i="5"/>
  <c r="E544" i="5" s="1"/>
  <c r="D543" i="5"/>
  <c r="E543" i="5" s="1"/>
  <c r="D541" i="5"/>
  <c r="E541" i="5" s="1"/>
  <c r="D540" i="5"/>
  <c r="E540" i="5" s="1"/>
  <c r="D539" i="5"/>
  <c r="E539" i="5" s="1"/>
  <c r="D534" i="5"/>
  <c r="E534" i="5" s="1"/>
  <c r="D533" i="5"/>
  <c r="E533" i="5" s="1"/>
  <c r="D531" i="5"/>
  <c r="E531" i="5" s="1"/>
  <c r="D517" i="5"/>
  <c r="E517" i="5" s="1"/>
  <c r="D515" i="5"/>
  <c r="E515" i="5" s="1"/>
  <c r="D514" i="5"/>
  <c r="E514" i="5" s="1"/>
  <c r="D513" i="5"/>
  <c r="E513" i="5" s="1"/>
  <c r="D512" i="5"/>
  <c r="E512" i="5" s="1"/>
  <c r="D510" i="5"/>
  <c r="E510" i="5" s="1"/>
  <c r="D509" i="5"/>
  <c r="E509" i="5" s="1"/>
  <c r="D508" i="5"/>
  <c r="E508" i="5" s="1"/>
  <c r="D507" i="5"/>
  <c r="E507" i="5" s="1"/>
  <c r="D503" i="5"/>
  <c r="E503" i="5" s="1"/>
  <c r="D498" i="5"/>
  <c r="E498" i="5" s="1"/>
  <c r="D497" i="5"/>
  <c r="E497" i="5" s="1"/>
  <c r="D496" i="5"/>
  <c r="E496" i="5" s="1"/>
  <c r="D495" i="5"/>
  <c r="E495" i="5" s="1"/>
  <c r="D494" i="5"/>
  <c r="E494" i="5" s="1"/>
  <c r="D493" i="5"/>
  <c r="E493" i="5" s="1"/>
  <c r="D492" i="5"/>
  <c r="E492" i="5" s="1"/>
  <c r="D491" i="5"/>
  <c r="E491" i="5" s="1"/>
  <c r="D490" i="5"/>
  <c r="E490" i="5" s="1"/>
  <c r="D489" i="5"/>
  <c r="E489" i="5" s="1"/>
  <c r="D488" i="5"/>
  <c r="E488" i="5" s="1"/>
  <c r="D487" i="5"/>
  <c r="E487" i="5" s="1"/>
  <c r="D486" i="5"/>
  <c r="E486" i="5" s="1"/>
  <c r="D485" i="5"/>
  <c r="E485" i="5" s="1"/>
  <c r="D484" i="5"/>
  <c r="E484" i="5" s="1"/>
  <c r="D483" i="5"/>
  <c r="E483" i="5" s="1"/>
  <c r="D482" i="5"/>
  <c r="E482" i="5" s="1"/>
  <c r="D481" i="5"/>
  <c r="E481" i="5" s="1"/>
  <c r="D480" i="5"/>
  <c r="E480" i="5" s="1"/>
  <c r="D479" i="5"/>
  <c r="E479" i="5" s="1"/>
  <c r="D478" i="5"/>
  <c r="E478" i="5" s="1"/>
  <c r="D477" i="5"/>
  <c r="E477" i="5" s="1"/>
  <c r="D476" i="5"/>
  <c r="E476" i="5" s="1"/>
  <c r="D468" i="5"/>
  <c r="E468" i="5" s="1"/>
  <c r="D467" i="5"/>
  <c r="E467" i="5" s="1"/>
  <c r="D466" i="5"/>
  <c r="E466" i="5" s="1"/>
  <c r="D465" i="5"/>
  <c r="E465" i="5" s="1"/>
  <c r="D464" i="5"/>
  <c r="E464" i="5" s="1"/>
  <c r="D461" i="5"/>
  <c r="E461" i="5" s="1"/>
  <c r="D460" i="5"/>
  <c r="E460" i="5" s="1"/>
  <c r="D459" i="5"/>
  <c r="E459" i="5" s="1"/>
  <c r="D458" i="5"/>
  <c r="E458" i="5" s="1"/>
  <c r="D457" i="5"/>
  <c r="E457" i="5" s="1"/>
  <c r="D456" i="5"/>
  <c r="E456" i="5" s="1"/>
  <c r="D455" i="5"/>
  <c r="E455" i="5" s="1"/>
  <c r="D454" i="5"/>
  <c r="E454" i="5" s="1"/>
  <c r="D453" i="5"/>
  <c r="E453" i="5" s="1"/>
  <c r="D452" i="5"/>
  <c r="E452" i="5" s="1"/>
  <c r="D451" i="5"/>
  <c r="E451" i="5" s="1"/>
  <c r="D445" i="5"/>
  <c r="E445" i="5" s="1"/>
  <c r="D443" i="5"/>
  <c r="E443" i="5" s="1"/>
  <c r="D437" i="5"/>
  <c r="E437" i="5" s="1"/>
  <c r="D436" i="5"/>
  <c r="E436" i="5" s="1"/>
  <c r="D433" i="5"/>
  <c r="E433" i="5" s="1"/>
  <c r="D432" i="5"/>
  <c r="E432" i="5" s="1"/>
  <c r="D431" i="5"/>
  <c r="E431" i="5" s="1"/>
  <c r="D430" i="5"/>
  <c r="E430" i="5" s="1"/>
  <c r="D429" i="5"/>
  <c r="E429" i="5" s="1"/>
  <c r="D428" i="5"/>
  <c r="E428" i="5" s="1"/>
  <c r="D427" i="5"/>
  <c r="E427" i="5" s="1"/>
  <c r="D426" i="5"/>
  <c r="E426" i="5" s="1"/>
  <c r="D425" i="5"/>
  <c r="E425" i="5" s="1"/>
  <c r="D424" i="5"/>
  <c r="E424" i="5" s="1"/>
  <c r="D423" i="5"/>
  <c r="E423" i="5" s="1"/>
  <c r="D420" i="5"/>
  <c r="E420" i="5" s="1"/>
  <c r="D419" i="5"/>
  <c r="E419" i="5" s="1"/>
  <c r="D418" i="5"/>
  <c r="E418" i="5" s="1"/>
  <c r="D417" i="5"/>
  <c r="E417" i="5" s="1"/>
  <c r="D416" i="5"/>
  <c r="E416" i="5" s="1"/>
  <c r="D415" i="5"/>
  <c r="E415" i="5" s="1"/>
  <c r="D414" i="5"/>
  <c r="E414" i="5" s="1"/>
  <c r="D412" i="5"/>
  <c r="E412" i="5" s="1"/>
  <c r="D395" i="5"/>
  <c r="E395" i="5" s="1"/>
  <c r="D391" i="5"/>
  <c r="E391" i="5" s="1"/>
  <c r="D390" i="5"/>
  <c r="E390" i="5" s="1"/>
  <c r="D389" i="5"/>
  <c r="E389" i="5" s="1"/>
  <c r="D388" i="5"/>
  <c r="E388" i="5" s="1"/>
  <c r="D386" i="5"/>
  <c r="E386" i="5" s="1"/>
  <c r="D385" i="5"/>
  <c r="E385" i="5" s="1"/>
  <c r="D381" i="5"/>
  <c r="E381" i="5" s="1"/>
  <c r="D380" i="5"/>
  <c r="E380" i="5" s="1"/>
  <c r="D379" i="5"/>
  <c r="E379" i="5" s="1"/>
  <c r="D373" i="5"/>
  <c r="E373" i="5" s="1"/>
  <c r="D372" i="5"/>
  <c r="E372" i="5" s="1"/>
  <c r="D371" i="5"/>
  <c r="E371" i="5" s="1"/>
  <c r="D370" i="5"/>
  <c r="E370" i="5" s="1"/>
  <c r="D368" i="5"/>
  <c r="E368" i="5" s="1"/>
  <c r="D367" i="5"/>
  <c r="E367" i="5" s="1"/>
  <c r="D366" i="5"/>
  <c r="E366" i="5" s="1"/>
  <c r="D365" i="5"/>
  <c r="E365" i="5" s="1"/>
  <c r="D364" i="5"/>
  <c r="E364" i="5" s="1"/>
  <c r="D363" i="5"/>
  <c r="E363" i="5" s="1"/>
  <c r="D362" i="5"/>
  <c r="E362" i="5" s="1"/>
  <c r="D361" i="5"/>
  <c r="E361" i="5" s="1"/>
  <c r="D360" i="5"/>
  <c r="E360" i="5" s="1"/>
  <c r="D358" i="5"/>
  <c r="E358" i="5" s="1"/>
  <c r="D357" i="5"/>
  <c r="E357" i="5" s="1"/>
  <c r="D355" i="5"/>
  <c r="E355" i="5" s="1"/>
  <c r="D350" i="5"/>
  <c r="E350" i="5" s="1"/>
  <c r="D349" i="5"/>
  <c r="E349" i="5" s="1"/>
  <c r="D348" i="5"/>
  <c r="E348" i="5" s="1"/>
  <c r="D347" i="5"/>
  <c r="E347" i="5" s="1"/>
  <c r="D346" i="5"/>
  <c r="E346" i="5" s="1"/>
  <c r="D345" i="5"/>
  <c r="E345" i="5" s="1"/>
  <c r="D344" i="5"/>
  <c r="E344" i="5" s="1"/>
  <c r="D343" i="5"/>
  <c r="E343" i="5" s="1"/>
  <c r="D342" i="5"/>
  <c r="E342" i="5" s="1"/>
  <c r="D341" i="5"/>
  <c r="E341" i="5" s="1"/>
  <c r="D340" i="5"/>
  <c r="E340" i="5" s="1"/>
  <c r="D339" i="5"/>
  <c r="E339" i="5" s="1"/>
  <c r="D338" i="5"/>
  <c r="E338" i="5" s="1"/>
  <c r="D337" i="5"/>
  <c r="E337" i="5" s="1"/>
  <c r="D336" i="5"/>
  <c r="E336" i="5" s="1"/>
  <c r="D335" i="5"/>
  <c r="E335" i="5" s="1"/>
  <c r="D334" i="5"/>
  <c r="E334" i="5" s="1"/>
  <c r="D333" i="5"/>
  <c r="E333" i="5" s="1"/>
  <c r="D332" i="5"/>
  <c r="E332" i="5" s="1"/>
  <c r="D331" i="5"/>
  <c r="E331" i="5" s="1"/>
  <c r="D330" i="5"/>
  <c r="E330" i="5" s="1"/>
  <c r="D328" i="5"/>
  <c r="E328" i="5" s="1"/>
  <c r="D325" i="5"/>
  <c r="E325" i="5" s="1"/>
  <c r="D324" i="5"/>
  <c r="E324" i="5" s="1"/>
  <c r="D323" i="5"/>
  <c r="E323" i="5" s="1"/>
  <c r="D322" i="5"/>
  <c r="E322" i="5" s="1"/>
  <c r="D321" i="5"/>
  <c r="E321" i="5" s="1"/>
  <c r="D320" i="5"/>
  <c r="E320" i="5" s="1"/>
  <c r="D319" i="5"/>
  <c r="E319" i="5" s="1"/>
  <c r="D318" i="5"/>
  <c r="E318" i="5" s="1"/>
  <c r="D317" i="5"/>
  <c r="E317" i="5" s="1"/>
  <c r="D316" i="5"/>
  <c r="E316" i="5" s="1"/>
  <c r="D315" i="5"/>
  <c r="E315" i="5" s="1"/>
  <c r="D314" i="5"/>
  <c r="E314" i="5" s="1"/>
  <c r="D313" i="5"/>
  <c r="E313" i="5" s="1"/>
  <c r="D312" i="5"/>
  <c r="E312" i="5" s="1"/>
  <c r="D311" i="5"/>
  <c r="E311" i="5" s="1"/>
  <c r="D310" i="5"/>
  <c r="E310" i="5" s="1"/>
  <c r="D309" i="5"/>
  <c r="E309" i="5" s="1"/>
  <c r="D308" i="5"/>
  <c r="E308" i="5" s="1"/>
  <c r="D307" i="5"/>
  <c r="E307" i="5" s="1"/>
  <c r="D306" i="5"/>
  <c r="E306" i="5" s="1"/>
  <c r="D305" i="5"/>
  <c r="E305" i="5" s="1"/>
  <c r="D304" i="5"/>
  <c r="E304" i="5" s="1"/>
  <c r="D303" i="5"/>
  <c r="E303" i="5" s="1"/>
  <c r="D286" i="5"/>
  <c r="E286" i="5" s="1"/>
  <c r="D285" i="5"/>
  <c r="E285" i="5" s="1"/>
  <c r="D284" i="5"/>
  <c r="E284" i="5" s="1"/>
  <c r="D283" i="5"/>
  <c r="E283" i="5" s="1"/>
  <c r="D281" i="5"/>
  <c r="E281" i="5" s="1"/>
  <c r="D280" i="5"/>
  <c r="E280" i="5" s="1"/>
  <c r="D279" i="5"/>
  <c r="E279" i="5" s="1"/>
  <c r="D277" i="5"/>
  <c r="E277" i="5" s="1"/>
  <c r="D276" i="5"/>
  <c r="E276" i="5" s="1"/>
  <c r="D275" i="5"/>
  <c r="E275" i="5" s="1"/>
  <c r="D274" i="5"/>
  <c r="E274" i="5" s="1"/>
  <c r="D273" i="5"/>
  <c r="E273" i="5" s="1"/>
  <c r="D272" i="5"/>
  <c r="E272" i="5" s="1"/>
  <c r="D271" i="5"/>
  <c r="E271" i="5" s="1"/>
  <c r="D270" i="5"/>
  <c r="E270" i="5" s="1"/>
  <c r="D269" i="5"/>
  <c r="E269" i="5" s="1"/>
  <c r="D268" i="5"/>
  <c r="E268" i="5" s="1"/>
  <c r="D267" i="5"/>
  <c r="E267" i="5" s="1"/>
  <c r="D266" i="5"/>
  <c r="E266" i="5" s="1"/>
  <c r="D262" i="5"/>
  <c r="E262" i="5" s="1"/>
  <c r="D261" i="5"/>
  <c r="E261" i="5" s="1"/>
  <c r="D259" i="5"/>
  <c r="E259" i="5" s="1"/>
  <c r="D258" i="5"/>
  <c r="E258" i="5" s="1"/>
  <c r="D257" i="5"/>
  <c r="E257" i="5" s="1"/>
  <c r="D255" i="5"/>
  <c r="E255" i="5" s="1"/>
  <c r="D254" i="5"/>
  <c r="E254" i="5" s="1"/>
  <c r="D253" i="5"/>
  <c r="E253" i="5" s="1"/>
  <c r="D252" i="5"/>
  <c r="E252" i="5" s="1"/>
  <c r="D251" i="5"/>
  <c r="E251" i="5" s="1"/>
  <c r="D250" i="5"/>
  <c r="E250" i="5" s="1"/>
  <c r="D248" i="5"/>
  <c r="E248" i="5" s="1"/>
  <c r="D244" i="5"/>
  <c r="E244" i="5" s="1"/>
  <c r="D243" i="5"/>
  <c r="E243" i="5" s="1"/>
  <c r="D241" i="5"/>
  <c r="E241" i="5" s="1"/>
  <c r="D240" i="5"/>
  <c r="E240" i="5" s="1"/>
  <c r="D238" i="5"/>
  <c r="E238" i="5" s="1"/>
  <c r="D237" i="5"/>
  <c r="E237" i="5" s="1"/>
  <c r="D236" i="5"/>
  <c r="E236" i="5" s="1"/>
  <c r="D235" i="5"/>
  <c r="E235" i="5" s="1"/>
  <c r="D234" i="5"/>
  <c r="E234" i="5" s="1"/>
  <c r="D233" i="5"/>
  <c r="E233" i="5" s="1"/>
  <c r="D232" i="5"/>
  <c r="E232" i="5" s="1"/>
  <c r="D231" i="5"/>
  <c r="E231" i="5" s="1"/>
  <c r="D229" i="5"/>
  <c r="E229" i="5" s="1"/>
  <c r="D228" i="5"/>
  <c r="E228" i="5" s="1"/>
  <c r="D227" i="5"/>
  <c r="E227" i="5" s="1"/>
  <c r="D226" i="5"/>
  <c r="E226" i="5" s="1"/>
  <c r="D225" i="5"/>
  <c r="E225" i="5" s="1"/>
  <c r="D224" i="5"/>
  <c r="E224" i="5" s="1"/>
  <c r="D223" i="5"/>
  <c r="E223" i="5" s="1"/>
  <c r="D222" i="5"/>
  <c r="E222" i="5" s="1"/>
  <c r="D210" i="5"/>
  <c r="E210" i="5" s="1"/>
  <c r="D208" i="5"/>
  <c r="E208" i="5" s="1"/>
  <c r="D207" i="5"/>
  <c r="E207" i="5" s="1"/>
  <c r="D206" i="5"/>
  <c r="E206" i="5" s="1"/>
  <c r="D205" i="5"/>
  <c r="E205" i="5" s="1"/>
  <c r="D204" i="5"/>
  <c r="E204" i="5" s="1"/>
  <c r="D203" i="5"/>
  <c r="E203" i="5" s="1"/>
  <c r="D202" i="5"/>
  <c r="E202" i="5" s="1"/>
  <c r="D197" i="5"/>
  <c r="E197" i="5" s="1"/>
  <c r="D195" i="5"/>
  <c r="E195" i="5" s="1"/>
  <c r="D194" i="5"/>
  <c r="E194" i="5" s="1"/>
  <c r="D193" i="5"/>
  <c r="E193" i="5" s="1"/>
  <c r="D192" i="5"/>
  <c r="E192" i="5" s="1"/>
  <c r="D191" i="5"/>
  <c r="E191" i="5" s="1"/>
  <c r="D187" i="5"/>
  <c r="E187" i="5" s="1"/>
  <c r="D186" i="5"/>
  <c r="E186" i="5" s="1"/>
  <c r="D183" i="5"/>
  <c r="E183" i="5" s="1"/>
  <c r="D176" i="5"/>
  <c r="E176" i="5" s="1"/>
  <c r="D175" i="5"/>
  <c r="E175" i="5" s="1"/>
  <c r="D174" i="5"/>
  <c r="E174" i="5" s="1"/>
  <c r="D173" i="5"/>
  <c r="E173" i="5" s="1"/>
  <c r="D171" i="5"/>
  <c r="E171" i="5" s="1"/>
  <c r="D170" i="5"/>
  <c r="E170" i="5" s="1"/>
  <c r="D167" i="5"/>
  <c r="E167" i="5" s="1"/>
  <c r="D166" i="5"/>
  <c r="E166" i="5" s="1"/>
  <c r="D165" i="5"/>
  <c r="E165" i="5" s="1"/>
  <c r="D164" i="5"/>
  <c r="E164" i="5" s="1"/>
  <c r="D163" i="5"/>
  <c r="E163" i="5" s="1"/>
  <c r="D162" i="5"/>
  <c r="E162" i="5" s="1"/>
  <c r="D161" i="5"/>
  <c r="E161" i="5" s="1"/>
  <c r="D160" i="5"/>
  <c r="E160" i="5" s="1"/>
  <c r="D159" i="5"/>
  <c r="E159" i="5" s="1"/>
  <c r="D158" i="5"/>
  <c r="E158" i="5" s="1"/>
  <c r="D157" i="5"/>
  <c r="E157" i="5" s="1"/>
  <c r="D155" i="5"/>
  <c r="E155" i="5" s="1"/>
  <c r="D154" i="5"/>
  <c r="E154" i="5" s="1"/>
  <c r="D153" i="5"/>
  <c r="E153" i="5" s="1"/>
  <c r="D152" i="5"/>
  <c r="E152" i="5" s="1"/>
  <c r="D151" i="5"/>
  <c r="E151" i="5" s="1"/>
  <c r="D150" i="5"/>
  <c r="E150" i="5" s="1"/>
  <c r="D149" i="5"/>
  <c r="E149" i="5" s="1"/>
  <c r="D148" i="5"/>
  <c r="E148" i="5" s="1"/>
  <c r="D147" i="5"/>
  <c r="E147" i="5" s="1"/>
  <c r="D146" i="5"/>
  <c r="E146" i="5" s="1"/>
  <c r="D145" i="5"/>
  <c r="E145" i="5" s="1"/>
  <c r="D62" i="5"/>
  <c r="E62" i="5" s="1"/>
  <c r="D49" i="5"/>
  <c r="E49" i="5" s="1"/>
  <c r="D48" i="5"/>
  <c r="E48" i="5" s="1"/>
  <c r="D45" i="5"/>
  <c r="E45" i="5" s="1"/>
  <c r="D44" i="5"/>
  <c r="E44" i="5" s="1"/>
  <c r="D43" i="5"/>
  <c r="E43" i="5" s="1"/>
  <c r="D42" i="5"/>
  <c r="E42" i="5" s="1"/>
  <c r="D41" i="5"/>
  <c r="E41" i="5" s="1"/>
  <c r="D40" i="5"/>
  <c r="E40" i="5" s="1"/>
  <c r="D39" i="5"/>
  <c r="E39" i="5" s="1"/>
  <c r="D38" i="5"/>
  <c r="E38" i="5" s="1"/>
  <c r="D37" i="5"/>
  <c r="E37"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D8" i="5"/>
  <c r="E8" i="5" s="1"/>
  <c r="D7" i="5"/>
  <c r="E7" i="5" s="1"/>
  <c r="E767" i="5" l="1"/>
  <c r="F767" i="5" s="1"/>
</calcChain>
</file>

<file path=xl/comments1.xml><?xml version="1.0" encoding="utf-8"?>
<comments xmlns="http://schemas.openxmlformats.org/spreadsheetml/2006/main">
  <authors>
    <author>cdileo</author>
    <author>carlosdileo</author>
  </authors>
  <commentList>
    <comment ref="G73" authorId="0" shapeId="0">
      <text>
        <r>
          <rPr>
            <b/>
            <sz val="8"/>
            <color indexed="81"/>
            <rFont val="Tahoma"/>
            <family val="2"/>
          </rPr>
          <t>EN CBA LA ALICUOTA GRAL PARA FABRICACION ES DEL 5‰, NOSOTROS TENEMOS EL 7‰</t>
        </r>
      </text>
    </comment>
    <comment ref="G424" authorId="1" shapeId="0">
      <text>
        <r>
          <rPr>
            <b/>
            <sz val="8"/>
            <color indexed="81"/>
            <rFont val="Tahoma"/>
            <family val="2"/>
          </rPr>
          <t>ELECTRICISTA</t>
        </r>
      </text>
    </comment>
    <comment ref="G425" authorId="1" shapeId="0">
      <text>
        <r>
          <rPr>
            <b/>
            <sz val="8"/>
            <color indexed="81"/>
            <rFont val="Tahoma"/>
            <family val="2"/>
          </rPr>
          <t xml:space="preserve">GASISTA.
PLOMEROS.
</t>
        </r>
      </text>
    </comment>
    <comment ref="G581" authorId="0" shapeId="0">
      <text>
        <r>
          <rPr>
            <b/>
            <sz val="8"/>
            <color indexed="81"/>
            <rFont val="Tahoma"/>
            <family val="2"/>
          </rPr>
          <t>EN CBA LA ALICUOTA GRAL ESTA ENTRE EL 5 Y EL 6‰, NOSOTROS EL 7‰.
-COM Y JUST: en 2016 cba sube al 7‰.</t>
        </r>
      </text>
    </comment>
    <comment ref="B589" authorId="1" shapeId="0">
      <text>
        <r>
          <rPr>
            <b/>
            <sz val="8"/>
            <color indexed="81"/>
            <rFont val="Tahoma"/>
            <family val="2"/>
          </rPr>
          <t>CBA: 15.8
VILLA MARIA: 25
RIO IV: 34
SAN FRANC: 13
REUNION CON FEDE T. 17/10/16: LO PONEMOS ASI PERO ANALIZAMOS EL AÑO QUE VIENE PQ EN EL 2018 VA A ESTAR TERMINADO EL SUPER.</t>
        </r>
      </text>
    </comment>
    <comment ref="G592" authorId="1" shapeId="0">
      <text>
        <r>
          <rPr>
            <b/>
            <sz val="8"/>
            <color indexed="81"/>
            <rFont val="Tahoma"/>
            <family val="2"/>
          </rPr>
          <t>SEGÚN EUGE TORRES SE DIFERENCIA DE KIOSCO PQ SE LE PERMITE VENDER ALCOHOL. ESTA LOS PINOS</t>
        </r>
      </text>
    </comment>
    <comment ref="B652" authorId="1" shapeId="0">
      <text>
        <r>
          <rPr>
            <b/>
            <sz val="8"/>
            <color indexed="81"/>
            <rFont val="Tahoma"/>
            <family val="2"/>
          </rPr>
          <t xml:space="preserve">2016: </t>
        </r>
        <r>
          <rPr>
            <sz val="8"/>
            <color indexed="81"/>
            <rFont val="Tahoma"/>
            <family val="2"/>
          </rPr>
          <t>DE 7‰ A 8‰</t>
        </r>
      </text>
    </comment>
    <comment ref="B653" authorId="1" shapeId="0">
      <text>
        <r>
          <rPr>
            <b/>
            <sz val="8"/>
            <color indexed="81"/>
            <rFont val="Tahoma"/>
            <family val="2"/>
          </rPr>
          <t xml:space="preserve">2016: </t>
        </r>
        <r>
          <rPr>
            <sz val="8"/>
            <color indexed="81"/>
            <rFont val="Tahoma"/>
            <family val="2"/>
          </rPr>
          <t>DE 7‰ A 8‰</t>
        </r>
      </text>
    </comment>
    <comment ref="F731" authorId="1" shapeId="0">
      <text>
        <r>
          <rPr>
            <b/>
            <sz val="8"/>
            <color indexed="81"/>
            <rFont val="Tahoma"/>
            <family val="2"/>
          </rPr>
          <t>MODIFICACION PARTICULAR QUE SUFRIO EL PROYECTO. EL MONTO ORIGINAL ERA $447.98</t>
        </r>
      </text>
    </comment>
    <comment ref="G732" authorId="0" shapeId="0">
      <text>
        <r>
          <rPr>
            <b/>
            <sz val="8"/>
            <color indexed="81"/>
            <rFont val="Tahoma"/>
            <family val="2"/>
          </rPr>
          <t>TRIBUTA LA AGENCIA POR SU ACTIVIDAD DE AGENCIA Y TAMBIEN CADA UNO DE LOS VEHICULOS POR OTRO LADO.
A CADA VEHICULO SE LE LIQUIDA DE OFICIO EL MINIMO. NO PRESENTAN DDJJ.</t>
        </r>
      </text>
    </comment>
    <comment ref="B760" authorId="1" shapeId="0">
      <text>
        <r>
          <rPr>
            <b/>
            <sz val="8"/>
            <color indexed="81"/>
            <rFont val="Tahoma"/>
            <family val="2"/>
          </rPr>
          <t>2016:</t>
        </r>
        <r>
          <rPr>
            <sz val="8"/>
            <color indexed="81"/>
            <rFont val="Tahoma"/>
            <family val="2"/>
          </rPr>
          <t xml:space="preserve"> DE 10‰ A 11‰</t>
        </r>
      </text>
    </comment>
    <comment ref="B764" authorId="1" shapeId="0">
      <text>
        <r>
          <rPr>
            <b/>
            <sz val="8"/>
            <color indexed="81"/>
            <rFont val="Tahoma"/>
            <family val="2"/>
          </rPr>
          <t>2015</t>
        </r>
        <r>
          <rPr>
            <sz val="8"/>
            <color indexed="81"/>
            <rFont val="Tahoma"/>
            <family val="2"/>
          </rPr>
          <t xml:space="preserve">: DE 30‰ A 35‰
</t>
        </r>
        <r>
          <rPr>
            <b/>
            <sz val="8"/>
            <color indexed="81"/>
            <rFont val="Tahoma"/>
            <family val="2"/>
          </rPr>
          <t>2016</t>
        </r>
        <r>
          <rPr>
            <sz val="8"/>
            <color indexed="81"/>
            <rFont val="Tahoma"/>
            <family val="2"/>
          </rPr>
          <t xml:space="preserve">: DE 35‰ A 36‰
</t>
        </r>
      </text>
    </comment>
    <comment ref="B766" authorId="1" shapeId="0">
      <text>
        <r>
          <rPr>
            <b/>
            <sz val="8"/>
            <color indexed="81"/>
            <rFont val="Tahoma"/>
            <family val="2"/>
          </rPr>
          <t xml:space="preserve">2016: </t>
        </r>
        <r>
          <rPr>
            <sz val="8"/>
            <color indexed="81"/>
            <rFont val="Tahoma"/>
            <family val="2"/>
          </rPr>
          <t>DEL 43‰ AL 46‰</t>
        </r>
      </text>
    </comment>
    <comment ref="D766" authorId="0" shapeId="0">
      <text>
        <r>
          <rPr>
            <b/>
            <sz val="8"/>
            <color indexed="81"/>
            <rFont val="Tahoma"/>
            <family val="2"/>
          </rPr>
          <t>cdileo:</t>
        </r>
        <r>
          <rPr>
            <sz val="8"/>
            <color indexed="81"/>
            <rFont val="Tahoma"/>
            <family val="2"/>
          </rPr>
          <t xml:space="preserve">
MODIFICADO POR ORD. Nº 9970, ERA $7000 PASO A $700</t>
        </r>
      </text>
    </comment>
    <comment ref="E766" authorId="0" shapeId="0">
      <text>
        <r>
          <rPr>
            <b/>
            <sz val="8"/>
            <color indexed="81"/>
            <rFont val="Tahoma"/>
            <family val="2"/>
          </rPr>
          <t>2015:</t>
        </r>
        <r>
          <rPr>
            <sz val="8"/>
            <color indexed="81"/>
            <rFont val="Tahoma"/>
            <family val="2"/>
          </rPr>
          <t xml:space="preserve"> SE AUMENTO EL MINIMO A $7.000 PERO LOS COMERCIOS PRESENTARON EXPTE PIEDIENDO QUE LO BAJEMOS. QUEDO EN $ 700.</t>
        </r>
        <r>
          <rPr>
            <b/>
            <sz val="8"/>
            <color indexed="81"/>
            <rFont val="Tahoma"/>
            <family val="2"/>
          </rPr>
          <t xml:space="preserve">
2016: </t>
        </r>
        <r>
          <rPr>
            <sz val="8"/>
            <color indexed="81"/>
            <rFont val="Tahoma"/>
            <family val="2"/>
          </rPr>
          <t>AUMENTE EL 40%</t>
        </r>
      </text>
    </comment>
    <comment ref="B767" authorId="1" shapeId="0">
      <text>
        <r>
          <rPr>
            <b/>
            <sz val="8"/>
            <color indexed="81"/>
            <rFont val="Tahoma"/>
            <family val="2"/>
          </rPr>
          <t xml:space="preserve">2016: </t>
        </r>
        <r>
          <rPr>
            <sz val="8"/>
            <color indexed="81"/>
            <rFont val="Tahoma"/>
            <family val="2"/>
          </rPr>
          <t>DEL 43‰ AL 46‰</t>
        </r>
      </text>
    </comment>
    <comment ref="E767" authorId="0" shapeId="0">
      <text>
        <r>
          <rPr>
            <b/>
            <sz val="8"/>
            <color indexed="81"/>
            <rFont val="Tahoma"/>
            <family val="2"/>
          </rPr>
          <t xml:space="preserve">2015: </t>
        </r>
        <r>
          <rPr>
            <sz val="8"/>
            <color indexed="81"/>
            <rFont val="Tahoma"/>
            <family val="2"/>
          </rPr>
          <t>SE AUMENTO EL MINIMO A $7.000 PERO LOS COMERCIOS PRESENTARON EXPTE PIEDIENDO QUE LO BAJEMOS. QUEDO EN $ 700.</t>
        </r>
        <r>
          <rPr>
            <b/>
            <sz val="8"/>
            <color indexed="81"/>
            <rFont val="Tahoma"/>
            <family val="2"/>
          </rPr>
          <t xml:space="preserve">
2016: </t>
        </r>
        <r>
          <rPr>
            <sz val="8"/>
            <color indexed="81"/>
            <rFont val="Tahoma"/>
            <family val="2"/>
          </rPr>
          <t xml:space="preserve">AUMENTE EL 40% MINIMO </t>
        </r>
      </text>
    </comment>
    <comment ref="G871" authorId="0" shapeId="0">
      <text>
        <r>
          <rPr>
            <b/>
            <sz val="8"/>
            <color indexed="81"/>
            <rFont val="Tahoma"/>
            <family val="2"/>
          </rPr>
          <t>VER AUMENTO DEL DOBLE DEL MINIMO. FACTURAN $6000 POR MES CADA UNO.
2017: AUMENTE EL 200%. 
CON ESE IMPUESTO EQUIVALE A VTAS POR $90.000.</t>
        </r>
      </text>
    </comment>
    <comment ref="G962" authorId="1" shapeId="0">
      <text>
        <r>
          <rPr>
            <b/>
            <sz val="8"/>
            <color indexed="81"/>
            <rFont val="Tahoma"/>
            <family val="2"/>
          </rPr>
          <t>RECATEGORIZAR A GRABA BUS</t>
        </r>
      </text>
    </comment>
  </commentList>
</comments>
</file>

<file path=xl/sharedStrings.xml><?xml version="1.0" encoding="utf-8"?>
<sst xmlns="http://schemas.openxmlformats.org/spreadsheetml/2006/main" count="1888" uniqueCount="1054">
  <si>
    <t>ACTIVIDADES PRIMARIAS</t>
  </si>
  <si>
    <t>7,00‰</t>
  </si>
  <si>
    <t>CULTIVO DE ARROZ, TRIGO, MAÍZ, SOJA Y CEREALES FORRAJEROS, OLEAGINOSAS, SEMILLAS</t>
  </si>
  <si>
    <t>CULTIVO DE PAPA, BATATA Y MANDIOCA</t>
  </si>
  <si>
    <t>CULTIVO DE TOMATE</t>
  </si>
  <si>
    <t>CULTIVO DE BULBOS, BROTES, RAÍCES Y HORTALIZAS DE FRUTOS N.C.P. (INCLUYE AJÍ, AJO, ALCAPARRA, BERENJENA, CEBOLLA, CALABAZA, ESPÁRRAGO, FRUTILLA, MELÓN, PEPINO, PIMIENTO, SANDÍA, ZANAHORIA, ZAPALLO, ZAPALLITO)</t>
  </si>
  <si>
    <t>CULTIVO DE HORTALIZAS DE HOJA Y DE OTRAS HORTALIZAS FRESCAS (INCLUYE ACELGA, APIO, CEBOLLA DE VERO, CHOCLO, COLES, ESPINACA, LECHUGA, PEREJIL, RADICHETA, REPOLLO)</t>
  </si>
  <si>
    <t>CULTIVO DE LEGUMBRES FRESCAS (INCLUYE ARVEJA, CHAUCHA, HABA, LUPINO, POROTO)</t>
  </si>
  <si>
    <t>CULTIVO DE LEGUMBRES SECAS (INCLUYE ARVEJA, GARBANZO, HABA, LENTEJA, POROTO)</t>
  </si>
  <si>
    <t>CULTIVO DE FLORES</t>
  </si>
  <si>
    <t>CULTIVO DE PLANTAS ORNAMENTALES</t>
  </si>
  <si>
    <t>CULTIVO DE MANZANA Y PERA</t>
  </si>
  <si>
    <t>CULTIVO DE FRUTAS DE PEPITA N.C.P. (INCLUYE MEMBRILLO, NÍSPERO)</t>
  </si>
  <si>
    <t>CULTIVO DE FRUTAS DE CAROZO (INCLUYE CEREZA, CIRUELA, DAMASCO, DURAZNO, MELÓN)</t>
  </si>
  <si>
    <t>CULTIVO DE FRUTAS CÍTRICAS (INCLUYE BERGAMOTA, LIMA, LIMÓN, MANDARINA, NARANJA, POMELO, KINOTO)</t>
  </si>
  <si>
    <t>CULTIVO DE NUECES Y FRUTAS SECAS (INCLUYE ALMENDRA, AVELLANA, CASTAÑA, NUEZ, PISTACHO)</t>
  </si>
  <si>
    <t>CULTIVO DE FRUTAS N.C.P. (INCLUYE ANANÁ, BANANA, HIGO, KIWI, MAMÓN, PALTA, UVA DE MESA)</t>
  </si>
  <si>
    <t>CULTIVO DE ALGODÓN</t>
  </si>
  <si>
    <t>CULTIVO DE PLANTAS PARA LA OBTENCIÓN DE FIBRAS N.C.P. (INCLUYE ABACÁ, CÁÑAMO, FORMIO, LINO TEXTIL, MAÍZ DE GUINEA, RAMIO, YUTE)</t>
  </si>
  <si>
    <t>CULTIVO DE CAÑA DE AZÚCAR</t>
  </si>
  <si>
    <t>CULTIVO DE PLANTAS SACARÍFERAS N.C.P. (INCLUYE REMOLACHA AZUCARERA)</t>
  </si>
  <si>
    <t>CULTIVO DE VID PARA VINIFICAR</t>
  </si>
  <si>
    <t>CULTIVO DE TÉ, YERBA MATE Y OTRAS PLANTAS CUYAS HOJAS SE UTILIZAN P/PREPARAR BEBIDAS (INFUSIONES)</t>
  </si>
  <si>
    <t>CULTIVO DE TABACO</t>
  </si>
  <si>
    <t>CULTIVO DE ESPECIAS (DE HOJA, DE SEMILLA, DE FLOR Y DE FRUTO) Y DE PLANTAS AROMÁTICAS Y MEDICINALES</t>
  </si>
  <si>
    <t>CULTIVOS INDUSTRIALES N.C.P. (INCLUYE OLIVO PARA CONSERVA, PALMITOS)</t>
  </si>
  <si>
    <t>PRODUCCIÓN DE SEMILLAS HÍBRIDAS DE CEREALES Y OLEAGINOSAS</t>
  </si>
  <si>
    <t>PRODUCCIÓN DE SEMILLAS VARIETALES O AUTO FECUNDADAS DE CEREALES, OLEAGINOSAS Y FORRAJERAS</t>
  </si>
  <si>
    <t>PRODUCCIÓN DE SEMILLAS DE HORTALIZAS Y LEGUMBRES, FLORES Y PLANTAS ORNAMENTALES Y ÁRBOLES FRUTALES</t>
  </si>
  <si>
    <t>PRODUCCIÓN DE SEMILLAS DE CULTIVOS AGRÍCOLAS N.C.P.</t>
  </si>
  <si>
    <t>PRODUCCIÓN DE OTRAS FORMAS DE PROPAGACIÓN DE CULTIVOS AGRÍCOLAS (INCLUYE GAJOS, BULBOS, ESTACAS ENRAIZADAS O NO, ESQUEJES, PLANTINES)</t>
  </si>
  <si>
    <t>CULTIVOS N.C.P.</t>
  </si>
  <si>
    <t>CRÍA DE ANIMALES</t>
  </si>
  <si>
    <t>CRÍA DE GANADO (INCLUYE OVINO, BOVINO, EQUINO, CAPRINO, PORCINO)</t>
  </si>
  <si>
    <t>CRÍA DE AVES PARA PRODUCCIÓN DE CARNE</t>
  </si>
  <si>
    <t>CRÍA DE AVES PARA PRODUCCIÓN DE HUEVOS</t>
  </si>
  <si>
    <t>PRODUCCIÓN DE HUEVOS</t>
  </si>
  <si>
    <t>APICULTURA (INCLUYE LA PRODUCCIÓN DE MIEL, JALEA REAL, POLEN, PROPÓLEO)</t>
  </si>
  <si>
    <t>CRÍA DE ANIMALES PARA LA OBTENCIÓN DE PIELES Y CUEROS</t>
  </si>
  <si>
    <t>CRÍA DE ANIMALES PARA LA OBTENCIÓN DE PELOS</t>
  </si>
  <si>
    <t>CRÍA DE ANIMALES PARA LA OBTENCIÓN DE PLUMAS</t>
  </si>
  <si>
    <t>CRÍA DE ANIMALES Y OBTENCIÓN DE PRODUCTOS DE ORIGEN ANIMAL, N.C.P. (INCLUYE CIERVO, CONEJO -EXCEPTO PARA PELOS-, GATO, GUSANO DE SEDA, LOMBRIZ, PÁJARO, PERRO, RANA, ANIMALES PARA EXPERIMENTACIÓN, CARACOLES VIVOS, FRESCOS, CONGELADOS Y SECOS -EXCEPTO MARINO-, CERA DE INSECTOS EXCEPTO LA DE ABEJA)</t>
  </si>
  <si>
    <t>SERVICIOS AGRÍCOLAS Y PECUARIOS</t>
  </si>
  <si>
    <t>7,00%</t>
  </si>
  <si>
    <t>SERVICIOS AGROPECUARIOS NO CLASIFICADOS EN OTRA PARTE</t>
  </si>
  <si>
    <t xml:space="preserve">INSEMINACIÓN ARTIFICIAL Y SERVICIOS N.C.P. PARA MEJORAR LA REPRODUCCIÓN DE LOS ANIMALES Y EL RENDIMIENTO DE SUS PRODUCTOS </t>
  </si>
  <si>
    <t>SERVICIOS CONTRATISTAS DE MANO DE OBRA PECUARIA (INCLUYE ARREO, CASTRACIÓN DE AVES, ESQUILA DE OVEJAS, RECOLECCIÓN DE ESTIÉRCOL)</t>
  </si>
  <si>
    <t>SILVICULTURA, EXTRACCIÓN DE MADERA Y VIVEROS</t>
  </si>
  <si>
    <t>VIVEROS</t>
  </si>
  <si>
    <t>SERVICIOS FORESTALES</t>
  </si>
  <si>
    <t>EXPLOTACIÓN DE MINAS DE CARBÓN, PETRÓLEO CRUDO Y GAS NATURAL</t>
  </si>
  <si>
    <t>EXTRACCIÓN Y AGLOMERACIÓN DE CARBÓN (INCLUYE LA PRODUCCIÓN DE HULLA NO AGLOMERADA, ANTRACITA, CARBÓN BITUMINOSO NO AGLOMERADO, BRIQUETAS, OVOIDES Y COMBUSTIBLES SÓLIDOS ANÁLOGOS A BASE DE HULLA)</t>
  </si>
  <si>
    <t>EXTRACCIÓN DE PETRÓLEO CRUDO Y GAS NATURAL (INCLUYE GAS NATURAL LICUADO Y GASEOSO, ARENAS ALQUITRANÍFERAS, ESQUISTOS BITUMINOSOS O LUTITAS, ACEITES DE PETRÓLEO Y DE MINERALES BITUMINOSOS, PETRÓLEO, COQUE DE PETRÓLEO)</t>
  </si>
  <si>
    <t>ACTIVIDADES DE SERVICIOS RELACIONADAS CON LA EXTRACCIÓN DE PETRÓLEO Y GAS, EXCEPTO LAS ACTIVIDADES DE PROSPECCIÓN</t>
  </si>
  <si>
    <t>EXTRACCIÓN DE MINERALES METÁLICOS</t>
  </si>
  <si>
    <t>EXTRACCIÓN DE MINERALES Y CONCENTRADOS DE URANIO Y TORIO</t>
  </si>
  <si>
    <t>EXTRACCIÓN DE MINERALES DE HIERRO (INCLUYE HEMATITAS, LIMONITAS, MAGNETITAS, SIDERITA)</t>
  </si>
  <si>
    <t>EXTRACCIÓN DE MINERALES METALÍFEROS NO FERROSOS, EXCEPTO MINERALES DE URANIO Y TORIO (INCLUYE ALUMINIO, COBRE, ESTAÑO, MANGANESO, NÍQUEL, ORO, PLATA, PLOMO, VOLFRAMIO, ANTIMONIO, BISMUTO, CINC, MOLIBDENO, TITANIO, CIRCONIO, NIOBIO, TÁNTALO, VANADIO, CROMO, COBALTO)</t>
  </si>
  <si>
    <t>EXTRACCIÓN DE PIEDRA, PIEDRA CALIZA, ARCILLA Y ARENA</t>
  </si>
  <si>
    <t>10,00‰</t>
  </si>
  <si>
    <t>EXTRACCIÓN DE TIERRA</t>
  </si>
  <si>
    <t>EXTRACCIÓN DE ROCAS ORNAMENTALES (INCLUYE ARENISCAS, CUARCITA, DOLOMITA, GRANITO, MÁRMOL, PIEDRA LAJA, PIZARRA, PÓRFIDO, SERPENTINA)</t>
  </si>
  <si>
    <t>EXTRACCIÓN DE PIEDRA CALIZA Y YESO (INCLUYE CALIZA, CASTINA, CONCHILLA, RIOLITA, YESO NATURAL, ANHIDRITA)</t>
  </si>
  <si>
    <t>EXTRACCIÓN DE ARENAS, CANTO RODADO Y TRITURADOS PÉTREOS (INCLUYE ARENA PARA CONSTRUCCIÓN, ARENA SILÍCEA, OTRAS ARENAS NATURALES, CANTO RODADO, DOLOMITA TRITURADA, GRANITO TRITURADO, PIEDRA PARTIDA Y OTROS TRITURADOS PÉTREOS)</t>
  </si>
  <si>
    <t>EXTRACCIÓN DE ARCILLA Y CAOLÍN (INCLUYE ANDALUCITA, ARCILLAS, BENTONITA, CAOLÍN, PIROFILITA, SILIMANITA, MULITA, TIERRA DE CHAMOTA O DE DINAS)</t>
  </si>
  <si>
    <t>EXTRACCIÓN DE MINERALES PARA LA FABRICACIÓN DE ABONOS EXCEPTO TURBA (INCLUYE GUANO, SILVITA, SILVINITA Y OTRAS SALES DE POTASIO NATURALES)</t>
  </si>
  <si>
    <t>EXTRACCIÓN DE MINERALES PARA LA FABRICACIÓN DE PRODUCTOS QUÍMICOS (INCLUYE AZUFRE, BORACITA E HIDROBORACITA, CALCITA, CELESTINA, COLEMANITA, FLUORITA, LITIO Y SALES DE LITIO NATURALES, SULFATO DE ALUMINIO, SULFATO DE HIERRO, SULFATO DE MAGNESIO, SULFATO DE SODIO, OCRES, TINKAL, ULEXITA, ASFALTITA, LATERITA)</t>
  </si>
  <si>
    <t>EXPLOTACIÓN DE MINAS Y CANTERAS N.C.P. (INCLUYE AMIANTO, BARITINA, CUARZO, DIATOMITA, PIEDRA PÓMEZ, ÁGATA, AGUA MARINA, AMATISTA, CRISTAL DE ROCA, RODOCROSITA, TOPACIO, CORINDÓN, FELDESPATO, MICA, ZEOLITA, PERLITA, GRANULADO VOLCÁNICO, PUZOLANA, TOBA, TALCO, VERMICULITA, TOSCA, GRAFITO)</t>
  </si>
  <si>
    <t>ACTIVIDADES INDUSTRIALES</t>
  </si>
  <si>
    <t>FABRICACIÓN DE PRODUCTOS ALIMENTARIOS</t>
  </si>
  <si>
    <t>MATANZA DE GANADO</t>
  </si>
  <si>
    <t>FRIGORÍFICOS, MATANZA DE GANADO, PREPARACIÓN Y CONSERVACIÓN DE SUS CARNES</t>
  </si>
  <si>
    <t xml:space="preserve">SALADO Y PELADO DE CUEROS. SALADEROS Y PELADEROS DE CUERO </t>
  </si>
  <si>
    <t>MATANZA, PREPARACIÓN, ELABORACIÓN Y CONSERVACIÓN DE CARNES DE AVES</t>
  </si>
  <si>
    <t>FÁBRICA DE CHACINADOS. ELABORACIÓN DE FIAMBRES, EMBUTIDOS Y PREPARADOS A BASE DE CARNE</t>
  </si>
  <si>
    <t>MATANZA, PREPARACIÓN Y CONSERVACIÓN DE ANIMALES DE LA CAZA</t>
  </si>
  <si>
    <t>ELABORACIÓN DE PESCADOS DE MAR, CRUSTÁCEOS Y OTROS PRODUCTOS MARINOS ENVASADO Y CONSERVACIÓN</t>
  </si>
  <si>
    <t xml:space="preserve">ELABORACIÓN DE PESCADOS DE RÍO, LAGUNAS Y OTROS PRODUCTOS PLUVIALES Y LACUSTRES. ENVASADO Y CONSERVACIÓN </t>
  </si>
  <si>
    <t>ELABORACIÓN DE ACEITES Y HARINAS DE PESCADO Y OTROS ANIMALES MARINOS</t>
  </si>
  <si>
    <t>ELABORACIÓN, ENVASADO Y CONSERVACIÓN DE FRUTAS Y LEGUMBRES</t>
  </si>
  <si>
    <t>ELABORACIÓN, ENVASADO Y CONSERVACIÓN DE JUGOS DE FRUTAS NATURALES O ARTIFICIALES</t>
  </si>
  <si>
    <t>ELABORACIÓN Y ENVASADO DE DULCES, MERMELADAS Y JALEAS</t>
  </si>
  <si>
    <t>ELABORACIÓN DE FRUTAS, HORTALIZAS Y LEGUMBRES CONGELADAS</t>
  </si>
  <si>
    <t>ELABORACIÓN Y ENVASADO DE CONSERVAS, CALDOS CONCENTRADOS Y OTROS ALIMENTOS DESHIDRATADOS</t>
  </si>
  <si>
    <t>ELABORACIÓN, ENVASADO Y CONSERVACIÓN DE FRUTAS, LEGUMBRES Y HORTALIZAS N.C.P. (INCLUYE LA ELABORACIÓN DE SÉMOLA DE HORTALIZAS Y LEGUMBRES)</t>
  </si>
  <si>
    <t>ELABORACIÓN DE ACEITES Y GRASAS VEGETALES Y SUBPRODUCTOS</t>
  </si>
  <si>
    <t>ELABORACIÓN, PASTEURIZACIÓN Y HOMOGENEIZACIÓN DE LECHE (INCLUIDA LA CONDENSADA Y EN POLVO)</t>
  </si>
  <si>
    <t>FABRICACIÓN DE QUESOS</t>
  </si>
  <si>
    <t>FÁBRICA INDUSTRIAL DE HELADOS</t>
  </si>
  <si>
    <t>ELABORACIÓN ARTESANAL DE HELADOS</t>
  </si>
  <si>
    <t>FABRICACIÓN DE PRODUCTOS LÁCTEOS NO CLASIFICADOS EN OTRA PARTE (INCLUYE CREMAS, YOGURES, MANTECAS)</t>
  </si>
  <si>
    <t>ELABORACIÓN ARTESANAL DE ALIMENTOS SIN LOCAL DE ATENCIÓN, SIN EMPLEADOS</t>
  </si>
  <si>
    <t>MOLIENDA DE TRIGO</t>
  </si>
  <si>
    <t>DESCASCARAMIENTO, PULIDO, LIMPIEZA Y MOLIENDA DE ARROZ</t>
  </si>
  <si>
    <t>MOLIENDA DE CEREALES (EXCEPTO TRIGO), LEGUMBRES, OTRAS PREPARACIONES Y MOLIENDAS N.C.P.</t>
  </si>
  <si>
    <t>ELABORACIÓN DE ALMIDONES Y PRODUCTOS DERIVADOS DEL ALMIDÓN (INCLUYE LA ELABORACIÓN DE GLUCOSA Y GLUTEN)</t>
  </si>
  <si>
    <t>ELABORACIÓN DE ALIMENTOS PREPARADOS PARA ANIMALES</t>
  </si>
  <si>
    <t>FABRICACIÓN DE GALLETITAS Y BIZCOCHOS Y OTROS PRODUCTOS SECOS DE PANADERÍAS</t>
  </si>
  <si>
    <t>FABRICACIÓN DE PAN Y PRODUCTOS DE PANIFICACIÓN. PANIFICADORAS</t>
  </si>
  <si>
    <t>HORNEADO DE PAN</t>
  </si>
  <si>
    <t>FABRICACIÓN DE MASAS Y DEMÁS PRODUCTOS DE PASTELERÍA (CONFITERÍAS)</t>
  </si>
  <si>
    <t>ELABORACIÓN DE PRODUCTOS DE PANADERÍA N.C.P. (INCLUYE LA ELABORACIÓN DE CHURROS, PREPIZZAS, MASAS FRITAS, DE HOJALDRE, EN ESTABLECIMIENTOS DE HASTA 10 OCUPADOS)</t>
  </si>
  <si>
    <t>REFINACIÓN Y FRACCIONAMIENTO DE AZÚCAR</t>
  </si>
  <si>
    <t>FABRICACIÓN Y REFINACIÓN DE AZÚCAR NO CLASIFICADA EN OTRA PARTE</t>
  </si>
  <si>
    <t>ELABORACIÓN DE CACAO, CHOCOLATE, BOMBONES Y OTROS PRODUCTOS SIMILARES A BASE DE CACAO</t>
  </si>
  <si>
    <t>ELABORACIÓN DE CARAMELOS, GOLOSINAS Y OTROS PRODUCTOS DE CONFITERÍAS N.C.P.</t>
  </si>
  <si>
    <t>ELABORACIÓN DE PASTAS FRESCAS</t>
  </si>
  <si>
    <t>FABRICACIÓN DE PASTAS SECAS</t>
  </si>
  <si>
    <t>ELABORACIÓN DE PRODUCTOS ALIMENTARIOS DIVERSOS</t>
  </si>
  <si>
    <t>ELABORACIÓN DE ALIMENTOS DE CEREALES</t>
  </si>
  <si>
    <t>TOSTADO, TORRADO Y MOLIENDA DE CAFÉ</t>
  </si>
  <si>
    <t>ELABORACIÓN DE ESPECIES</t>
  </si>
  <si>
    <t>ELABORACIÓN DE TÉ</t>
  </si>
  <si>
    <t>ELABORACIÓN Y MOLIENDA DE YERBA MATE (INCLUYE CONCENTRADOS)</t>
  </si>
  <si>
    <t>ELABORACIÓN DE EXTRACTOS, JARABES Y CONCENTRADOS</t>
  </si>
  <si>
    <t>ELABORACIÓN DE VINAGRE</t>
  </si>
  <si>
    <t>REFINACIÓN Y MOLIENDA DE SAL</t>
  </si>
  <si>
    <t>ELABORACIÓN DE CONCENTRADOS: CAFÉ, TÉ</t>
  </si>
  <si>
    <t>PROCESADORES DE PAPAS (PELADERO, LAVADERO, INCLUYENDO ELABORACIÓN DE PURÉ, HARINA Y ESCAMAS)</t>
  </si>
  <si>
    <t>ELABORACIÓN DE PRODUCTOS DIETÉTICOS</t>
  </si>
  <si>
    <t>ELABORACIÓN DE PRODUCTOS ALIMENTICIOS N.C.P. (INCLUYE LA ELABORACIÓN DE POLVOS PARA PREPARAR POSTRES Y GELATINAS, LEVADURA, PRODUCTOS PARA COPETÍN, SAL DE MESA, MAYONESA, MOSTAZA)</t>
  </si>
  <si>
    <t>FÁBRICA DE MILANESAS Y HAMBURGUESAS</t>
  </si>
  <si>
    <t>FÁBRICA DE SÁNDWICHES</t>
  </si>
  <si>
    <t>INDUSTRIAS DE BEBIDAS</t>
  </si>
  <si>
    <t>8,00‰</t>
  </si>
  <si>
    <t>DESTILACIÓN DE ALCOHOL ETÍLICO</t>
  </si>
  <si>
    <t>DESTILACIÓN DE ALCOHOLES EXCEPTO EL ETÍLICO</t>
  </si>
  <si>
    <t>DESTILACIÓN, RECTIFICACIÓN Y MEZCLA DE BEBIDAS ALCOHÓLICAS (INCLUYE WHISKY, COÑAC, RON)</t>
  </si>
  <si>
    <t>ELABORACIÓN DE VINOS</t>
  </si>
  <si>
    <t>ELABORACIÓN DE SIDRAS Y BEBIDAS FERMENTADAS EXCEPTO LAS MALTEADAS</t>
  </si>
  <si>
    <t>9,00‰</t>
  </si>
  <si>
    <t>ELABORACIÓN DE MALTA, CERVEZA Y BEBIDAS MALTEADAS</t>
  </si>
  <si>
    <t>EMBOTELLAMIENTO DE AGUAS NATURALES Y MINERALES</t>
  </si>
  <si>
    <t>ELABORACIÓN DE SODA</t>
  </si>
  <si>
    <t>ELABORACIÓN DE BEBIDAS NO ALCOHÓLICAS (INCLUYE BEBIDAS REFRESCANTES, GASEOSAS, EXCEPTO JUGOS O JARABES PARA DILUIR)</t>
  </si>
  <si>
    <t xml:space="preserve">FABRICACIÓN DE HIELO NATURAL </t>
  </si>
  <si>
    <t>ELABORACIÓN DE JUGOS ENVASADOS PARA DILUIR</t>
  </si>
  <si>
    <t>ELABORACIÓN DE BEBIDAS N.C.P.</t>
  </si>
  <si>
    <t>INDUSTRIA DEL TABACO</t>
  </si>
  <si>
    <t>12,00‰</t>
  </si>
  <si>
    <t>FABRICACIÓN DE CIGARRILLOS</t>
  </si>
  <si>
    <t>FABRICACIÓN DE OTROS PRODUCTOS DE TABACO</t>
  </si>
  <si>
    <t>FABRICACIÓN DE TEXTILES</t>
  </si>
  <si>
    <t>PREPARACIÓN DE FIBRAS DE ALGODÓN (INCLUYE DESMOTADO)</t>
  </si>
  <si>
    <t>PREPARACIÓN DE FIBRAS TEXTILES VEGETALES EXCEPTO ALGODÓN</t>
  </si>
  <si>
    <t>LAVADO Y LIMPIEZA DE LANA. LAVADERO</t>
  </si>
  <si>
    <t>LAVANDERÍA Y TINTORERÍA INDUSTRIAL</t>
  </si>
  <si>
    <t>HILADOS DE LANA. HILANDERÍA DE LANA Y SUS MEZCLAS</t>
  </si>
  <si>
    <t>HILADOS DE ALGODÓN. HILANDERÍA DE ALGODÓN Y SUS MEZCLAS</t>
  </si>
  <si>
    <t>HILANDERÍA DE FIBRAS TEXTILES (EXCEPTO ALGODÓN Y LANA)</t>
  </si>
  <si>
    <t>TEJIDO DE LANA. TEJEDURÍA DE LANA</t>
  </si>
  <si>
    <t>TEJIDO DE ALGODÓN. TEJEDURÍA DE ALGODÓN</t>
  </si>
  <si>
    <t>TEJIDO DE FIBRAS SINTÉTICAS Y SEDA (EXCLUIDO FABRICACIÓN DE MEDIAS. TEJEDURÍA)</t>
  </si>
  <si>
    <t>TEJIDO DE FIBRAS TEXTILES NO CLASIFICADOS EN OTRA PARTE</t>
  </si>
  <si>
    <t>TERMINADO ARTESANAL DE TEXTILES Y CALZADOS SIN LOCAL DE ATENCIÓN, SIN EMPLEADOS</t>
  </si>
  <si>
    <t>ACABADO DE TEXTILES (INCLUYE BLANQUEO, TEÑIDO Y ESTAMPADO)</t>
  </si>
  <si>
    <t>FABRICACIÓN DE FRAZADAS, MANTAS, COLCHAS, COBERTORES</t>
  </si>
  <si>
    <t>FABRICACIÓN DE ROPA PARA CAMA Y MANTELERÍA</t>
  </si>
  <si>
    <t>FABRICACIÓN DE ARTÍCULOS DE LONA Y SUCEDÁNEOS DE LONA</t>
  </si>
  <si>
    <t>FABRICACIÓN DE BOLSAS DE MATERIALES TEXTILES PARA PRODUCTOS A GRANEL</t>
  </si>
  <si>
    <t>FABRICACIÓN DE ARTÍCULOS CONFECCIONADOS CON MATERIALES TEXTILES. N.C.P. (EXCEPTO PRENDAS DE VESTIR)</t>
  </si>
  <si>
    <t>FABRICACIÓN DE TAPICES Y ALFOMBRAS</t>
  </si>
  <si>
    <t>FABRICACIÓN DE SOGAS, CABLES, CORDELES Y ARTÍCULOS CONEXOS DE CÁÑAMO, SISAL, LINO Y OTRAS FIBRAS NATURALES</t>
  </si>
  <si>
    <t>FABRICACIÓN DE CORTINAS. CORTINERÍAS</t>
  </si>
  <si>
    <t>FABRICACIÓN DE MEDIAS</t>
  </si>
  <si>
    <t>FABRICACIÓN DE TEJIDOS Y ARTÍCULOS DE PUNTO</t>
  </si>
  <si>
    <t>TEJIDOS ARTESANALES SIN LOCAL DE ATENCIÓN, SIN EMPLEADOS</t>
  </si>
  <si>
    <t>COSTURERA CON SUPERFICIE MENOR A 100 M2</t>
  </si>
  <si>
    <t>FÁBRICA DE TEXTILES EN GENERAL</t>
  </si>
  <si>
    <t>FÁBRICA DE ESTROPAJOS</t>
  </si>
  <si>
    <t>FABRICACIÓN DE PRENDAS DE VESTIR EXCEPTO CALZADOS</t>
  </si>
  <si>
    <t>CONFECCIÓN DE IMPERMEABLES Y PILOTOS</t>
  </si>
  <si>
    <t>FABRICACIÓN DE ACCESORIOS DE VESTIR EXCEPTO DE CUERO</t>
  </si>
  <si>
    <t>CONFECCIÓN DE PRENDAS DE VESTIR (EXCEPTO LAS DE PIEL, DE CUERO Y SUCEDÁNEOS, PILOTOS E IMPERMEABLES). INCLUYE ROPA INTERIOR, PRENDAS DE DORMIR Y PLAYA, INDUMENTARIA DE TRABAJO, UNIFORMES, GUARDAPOLVOS, ROPA DE BEBÉ Y NIÑO</t>
  </si>
  <si>
    <t>FABRICACIÓN DE ACCESORIOS DE VESTIR DE CUERO</t>
  </si>
  <si>
    <t>CONFECCIÓN DE PRENDA DE VESTIR DE CUERO</t>
  </si>
  <si>
    <t>CONFECCIÓN DE PRENDAS DE VESTIR DE PIEL Y SUCEDÁNEOS</t>
  </si>
  <si>
    <t>PREPARACIÓN, DECOLORACIÓN Y TEÑIDO DE PIELES</t>
  </si>
  <si>
    <t>CONFECCIÓN DE ARTÍCULOS DE PIEL (EXCLUIDAS LAS PRENDAS DE VESTIR)</t>
  </si>
  <si>
    <t>CURTIDO, ACABADO, REPUJADO, CHAROLADO Y TERMINADO DEL CUERO. CURTIEMBRES Y TALLERES DE ACABADO</t>
  </si>
  <si>
    <t>FABRICACIÓN DE PRODUCTOS DE CUERO Y SUCEDÁNEOS DE CUERO (EXCEPTO CALZADO Y PRENDAS VESTIR). INCLUYE MALETAS, BOLSOS DE MANO Y SIMILARES, ARTÍCULOS DE TALABARTERÍA Y DE CUERO N.C.P.</t>
  </si>
  <si>
    <t>FABRICACIÓN DE CALZADO DE CUERO, INCLUYENDO EL ORTOPÉDICO</t>
  </si>
  <si>
    <t>FABRICACIÓN DE CALZADO DE TELA Y OTROS MATERIALES (EXCLUIDO DE CAUCHO VULCANIZADO O MOLDEADO,DE MADERA O DE PLÁSTICOS)</t>
  </si>
  <si>
    <t>FABRICACIÓN DE PARTES O ACCESORIOS DEL CALZADO</t>
  </si>
  <si>
    <t>ASERRADEROS. PREPARACIÓN Y CONSERVACIÓN DE MADERAS (EXCEPTO LAS TERCIADAS Y CONGLOMERADAS)</t>
  </si>
  <si>
    <t>FABRICACIÓN DE MADERAS TERCIADAS, ENCHAPADAS O CONGLOMERADAS, TABLEROS O PANELES</t>
  </si>
  <si>
    <t>FABRICACIÓN DE PUERTAS, VENTANAS Y ESTRUCTURAS DE MADERA PARA LA CONSTRUCCIÓN. CARPINTERÍA DE OBRAS</t>
  </si>
  <si>
    <t>FABRICACIÓN DE VIVIENDAS PREFABRICADAS DE MADERA</t>
  </si>
  <si>
    <t>FABRICACIÓN DE ENVASES, RECIPIENTES Y EMBALAJES DE MADERA (BARRILES, TAMBORES, CAJA)</t>
  </si>
  <si>
    <t>FABRICACIÓN DE ARTÍCULOS DE CESTERÍA, CAÑA Y MIMBRE</t>
  </si>
  <si>
    <t>FABRICACIÓN DE ATAÚDES</t>
  </si>
  <si>
    <t xml:space="preserve">FABRICACIÓN DE ARTÍCULOS DE MADERA EN TORNERÍAS </t>
  </si>
  <si>
    <t>FABRICACIÓN DE PRODUCTOS DE CORCHO</t>
  </si>
  <si>
    <t>FABRICACIÓN DE PRODUCTOS DE MADERA, DE CORCHO, CAÑA Y MIMBRE NO CLASIFICADOS EN OTRA PARTE</t>
  </si>
  <si>
    <t>FABRICACIÓN DE PAPEL Y PRODUCTOS DE PAPEL</t>
  </si>
  <si>
    <t>FABRICACIÓN DE PULPA DE MADERA</t>
  </si>
  <si>
    <t>FABRICACIÓN DE PAPEL Y CARTÓN</t>
  </si>
  <si>
    <t>FABRICACIÓN DE ENVASES DE PAPEL</t>
  </si>
  <si>
    <t>FABRICACIÓN DE ENVASES DE CARTÓN</t>
  </si>
  <si>
    <t>FABRICACIÓN DE ARTÍCULOS DE PAPEL Y CARTÓN N.C.P.</t>
  </si>
  <si>
    <t>FABRICACIÓN DE ARTÍCULOS DE PULPA, PAPEL Y CARTÓN NO CLASIFICADOS EN OTRA PARTE</t>
  </si>
  <si>
    <t>TALLER DE ENROLLADO, BOBINADO Y ENFARDADO DE PAPEL</t>
  </si>
  <si>
    <t>IMPRENTAS, EDITORIALES E INDUSTRIAS CONEXAS</t>
  </si>
  <si>
    <t>EDICIÓN DE LIBROS Y PUBLICACIONES. EDITORIALES CON TALLERES PROPIOS</t>
  </si>
  <si>
    <t>EDITORIAL DE DIARIOS, PERIÓDICOS Y REVISTAS</t>
  </si>
  <si>
    <t>EDITORIALES SIN IMPRENTA</t>
  </si>
  <si>
    <t>EDICIÓN N.C.P.</t>
  </si>
  <si>
    <t>IMPRESIÓN DE DIARIOS Y REVISTAS</t>
  </si>
  <si>
    <t>IMPRESIÓN Y ENCUADERNACIÓN (EXCEPTO DIARIOS Y REVISTAS)</t>
  </si>
  <si>
    <t>SERVICIOS RELACIONADOS CON LA IMPRENTA (ELECTROTIPIA, COMPOSICIÓN DE TIPO, GRABADO)</t>
  </si>
  <si>
    <t>FABRICACIÓN DE PRODUCTOS DIVERSOS DERIVADOS DEL PETRÓLEO Y CARBÓN</t>
  </si>
  <si>
    <t>FABRICACIÓN DE PRODUCTOS DIVERSOS DERIVADOS DEL PETRÓLEO Y DEL CARBÓN EXCEPTO LA REFINACIÓN DE PETRÓLEO</t>
  </si>
  <si>
    <t>FABRICACIÓN DE SUSTANCIAS QUÍMICAS INDUSTRIALES BÁSICAS</t>
  </si>
  <si>
    <t>FABRICACIÓN DE GASES COMPRIMIDOS Y LICUADOS, EXCEPTO LOS DE USO DOMÉSTICO</t>
  </si>
  <si>
    <t>FABRICACIÓN DE GASES COMPRIMIDOS Y LICUADOS PARA USO DOMÉSTICO</t>
  </si>
  <si>
    <t>FABRICACIÓN DE TANINO Y CURTIENTES NATURALES O SINTÉTICOS</t>
  </si>
  <si>
    <t>FABRICACIÓN DE HIELO SECO</t>
  </si>
  <si>
    <t>FABRICACIÓN DE MATERIAS QUÍMICAS INORGÁNICAS BÁSICAS N.C.P.</t>
  </si>
  <si>
    <t>FABRICACIÓN DE MATERIAS QUÍMICAS ORGÁNICAS BÁSICAS N.C.P. (INCLUYE LA FABRICACIÓN DE ALCOHOLES EXCEPTO EL ETÍLICO, SUSTANCIAS QUÍMICAS PARA ELABORACIÓN DE SUSTANCIAS PLÁSTICAS)</t>
  </si>
  <si>
    <t>FABRICACIÓN DE ABONOS Y FERTILIZANTES (INCLUYE LOS BIOLÓGICOS)</t>
  </si>
  <si>
    <t>FABRICACIÓN DE RESINAS Y CAUCHOS SINTÉTICOS</t>
  </si>
  <si>
    <t>FABRICACIÓN DE MATERIALES PLÁSTICOS</t>
  </si>
  <si>
    <t>FABRICACIÓN DE FIBRAS ARTIFICIALES NO CLASIFICADOS EN OTRA PARTE EXCEPTO VIDRIO</t>
  </si>
  <si>
    <t>FABRICACIÓN DE PRODUCTOS QUÍMICOS DIVERSOS</t>
  </si>
  <si>
    <t>FABRICACIÓN DE PLAGUICIDAS (INCLUYE LOS BIOLÓGICOS)</t>
  </si>
  <si>
    <t>FABRICACIÓN DE PINTURAS, BARNICES, LACAS, ESMALTES Y PRODUCTOS SIMILARES Y CONEXOS (EXCEPTO TINTAS)</t>
  </si>
  <si>
    <t>FABRICACIÓN DE MEDICAMENTOS PARA USO HUMANO, PRODUCTOS FARMACÉUTICOS Y MEDICINALES (EXCEPTO PRODUCTOS VETERINARIOS)</t>
  </si>
  <si>
    <t>ELABORACIÓN DE PRODUCTOS MEDICINALES PARA ANIMALES (INCLUYE VACUNAS, SUEROS Y SIMILARES DE USO VETERINARIO)</t>
  </si>
  <si>
    <t>FABRICACIÓN DE PREPARADOS PARA LA LIMPIEZA, PULIDO Y SANEAMIENTO</t>
  </si>
  <si>
    <t>FABRICACIÓN DE JABONES Y DETERGENTES</t>
  </si>
  <si>
    <t>FABRICACIÓN DE PERFUMES, COSMÉTICOS Y OTROS PRODUCTOS DE HIGIENE Y TOCADOR</t>
  </si>
  <si>
    <t>FABRICACIÓN DE TINTAS Y NEGRO DE HUMO (INCLUYE TINTAS DE IMPRENTA)</t>
  </si>
  <si>
    <t>FABRICACIÓN DE EXPLOSIVOS, MUNICIONES Y PRODUCTOS DE PIROTECNIA</t>
  </si>
  <si>
    <t>FABRICACIÓN DE COLAS, ADHESIVOS, APRESTOS Y CEMENTO (EXCEPTO LOS ODONTOLÓGICOS) OBTENIDOS DE SUSTANCIAS MINERALES Y VEGETALES</t>
  </si>
  <si>
    <t>FABRICACIÓN DE PRODUCTOS QUÍMICOS N.C.P. (INCLUYE ACEITES ESENCIALES)</t>
  </si>
  <si>
    <t>FABRICACIÓN DE PRODUCTOS DE CAUCHO</t>
  </si>
  <si>
    <t>FABRICACIÓN DE CALZADO DE CAUCHO</t>
  </si>
  <si>
    <t>FABRICACIÓN DE CÁMARAS Y CUBIERTAS</t>
  </si>
  <si>
    <t>RECAUCHUTAJE Y VULCANIZACIÓN DE CUBIERTAS</t>
  </si>
  <si>
    <t>FABRICACIÓN DE PRODUCTOS DE CAUCHO DESTINADOS A LA INDUSTRIA AUTOMOTOR (EXCEPTO CÁMARAS Y CUBIERTAS)</t>
  </si>
  <si>
    <t>FABRICACIÓN DE JUEGOS Y JUGUETES DE CAUCHO</t>
  </si>
  <si>
    <t>FABRICACIÓN DE PRODUCTOS DE CAUCHO N.C.P.</t>
  </si>
  <si>
    <t>FABRICACIÓN DE PRODUCTOS PLÁSTICOS DIVERSOS</t>
  </si>
  <si>
    <t>FÁBRICA DE BOLSAS DE POLIETILENO</t>
  </si>
  <si>
    <t>FABRICACIÓN DE ENVASES DE PLÁSTICO</t>
  </si>
  <si>
    <t>FABRICACIÓN DE JUGUETES, JUEGOS Y CALZADOS PLÁSTICOS</t>
  </si>
  <si>
    <t>FABRICACIÓN DE MOSAICOS, BALDOSAS, REVESTIMIENTOS DE PAREDES PISOS, DE PRODUCTOS PLÁSTICOS</t>
  </si>
  <si>
    <t>FABRICACIÓN DE PRODUCTOS PLÁSTICOS N.C.P.</t>
  </si>
  <si>
    <t>FABRICACIÓN DE MUEBLES DE PLÁSTICO, SUS PARTES Y ACCESORIOS</t>
  </si>
  <si>
    <t>FABRICACIÓN DE VIDRIO Y PRODUCTOS DE VIDRIO</t>
  </si>
  <si>
    <t>FABRICACIÓN DE VIDRIOS PLANOS Y TEMPLADOS</t>
  </si>
  <si>
    <t>FABRICACIÓN DE ESPEJOS Y VITRALES</t>
  </si>
  <si>
    <t>FABRICACIÓN DE ARTÍCULOS DE VIDRIO Y CRISTAL EXCEPTO ESPEJOS Y VITRALES</t>
  </si>
  <si>
    <t>FABRICACIÓN DE OBJETOS DE BARRO, LOZA, PORCELANA Y CERÁMICA</t>
  </si>
  <si>
    <t>FABRICACIÓN DE ARTEFACTOS SANITARIOS DE BARRO, LOZA, PORCELANA Y CERÁMICA</t>
  </si>
  <si>
    <t>FABRICACIÓN DE OBJETOS DE BARRO, LOZA, PORCELANA Y CERÁMICA PARA USO INDUSTRIAL Y DE LABORATORIO</t>
  </si>
  <si>
    <t>FABRICACIÓN DE OBJETOS DE BARRO, LOZA, PORCELANA Y CERÁMICA PARA USO DOMÉSTICO (EXCEPTO ARTEFACTOS SANITARIOS)</t>
  </si>
  <si>
    <t>FABRICACIÓN DE OBJETOS DE BARRO, LOZA, PORCELANA Y CERÁMICA N.C.P. (EXCEPTO REFRACTARIOS, LADRILLOS Y REVESTIMIENTOS PARA PISOS Y PAREDES)</t>
  </si>
  <si>
    <t>FABRICACIÓN DE OTROS PRODUCTOS MINERALES NO METÁLICOS</t>
  </si>
  <si>
    <t>FABRICACIÓN DE MATERIAL REFRACTARIO</t>
  </si>
  <si>
    <t>FABRICACIÓN DE LADRILLOS Y BLOQUES</t>
  </si>
  <si>
    <t>FABRICACIÓN DE REVESTIMIENTOS CERÁMICOS PARA PISOS Y PAREDES</t>
  </si>
  <si>
    <t>FABRICACIÓN DE PRODUCTOS DE ARCILLA Y CERÁMICA NO REFRACTARIA PARA USO ESTRUCTURAL</t>
  </si>
  <si>
    <t xml:space="preserve">FABRICACIÓN DE CEMENTO </t>
  </si>
  <si>
    <t>ELABORACIÓN DE YESO</t>
  </si>
  <si>
    <t>FABRICACIÓN DE CAL</t>
  </si>
  <si>
    <t>FABRICACIÓN DE MOSAICOS, BALDOSAS, REVESTIMIENTOS DE PAREDES Y PISOS (EXCLUIDOS LOS CERÁMICOS Y PLÁSTICOS)</t>
  </si>
  <si>
    <t>FABRICACIÓN DE ARTÍCULOS DE CEMENTO Y FIBROCEMENTO (EXCEPTO LADRILLOS)</t>
  </si>
  <si>
    <t>FABRICACIÓN DE PREMOLDEADOS PARA LA CONSTRUCCIÓN (INCLUYE VIVIENDAS PREMOLDEADAS)</t>
  </si>
  <si>
    <t>FABRICACIÓN DE PRODUCTOS DE PIEDRA, MÁRMOL Y GRANITO (INCLUYE CORTE Y TALLADO)</t>
  </si>
  <si>
    <t>FABRICACIÓN DE PRODUCTOS MINERALES NO METÁLICOS N.C.P.</t>
  </si>
  <si>
    <t>INDUSTRIAS BÁSICAS DE HIERRO Y ACERO</t>
  </si>
  <si>
    <t>FUNDICIÓN EN HORNOS Y ACERÍAS. PRODUCCIÓN DE LINGOTES, PLANCHAS O BARRAS</t>
  </si>
  <si>
    <t>LAMINACIÓN Y ESTIRADO. LAMINADORAS. CORTES, DOBLADO Y PLEGADO DE CHAPAS /O ACEROS</t>
  </si>
  <si>
    <t>FABRICACIÓN EN INDUSTRIAS BÁSICAS DE PRODUCTOS DE HIERRO Y ACERO N.C.P. (INCLUYE ALAMBRE, CAÑERÍAS, TUBERÍAS) EN GENERAL</t>
  </si>
  <si>
    <t>ELABORACIÓN DE ALUMINIO PRIMARIO Y SEMIELABORADOS DE ALUMINIO</t>
  </si>
  <si>
    <t>PRODUCCIÓN DE METALES NO FERROSOS N.C.P. Y SUS SEMIELABORADOS</t>
  </si>
  <si>
    <t>FUNDICIÓN DE HIERRO Y ACERO</t>
  </si>
  <si>
    <t>FUNDICIÓN DE METALES NO FERROSOS</t>
  </si>
  <si>
    <t>FABRICACIÓN DE PRODUCTOS METÁLICOS EXCEPTO MAQUINARIA Y EQUIPOS</t>
  </si>
  <si>
    <t>FABRICACIÓN DE PRODUCTOS DE CARPINTERÍA METÁLICA</t>
  </si>
  <si>
    <t>FABRICACIÓN DE ESTRUCTURAS METÁLICAS PARA LA CONSTRUCCIÓN</t>
  </si>
  <si>
    <t>MONTAJES INDUSTRIALES</t>
  </si>
  <si>
    <t>FABRICACIÓN DE TANQUES Y DEPÓSITOS METÁLICOS</t>
  </si>
  <si>
    <t>FABRICACIÓN DE CALDERAS Y GENERADORES DE VAPOR</t>
  </si>
  <si>
    <t>GALVANOPLASTÍA, ESMALTADO, Y OTROS PROCESOS SIMILARES EN METALES, INCLUYENDO PULVIMETALURGIA, INCLUYE ESTAMPADO, PRENSADO, FORJADO Y LAMINADO DE METALES</t>
  </si>
  <si>
    <t>FABRICACIÓN DE HERRAMIENTAS MANUALES Y SUS ACCESORIOS (PARA USO GENERAL, PLOMERÍA, ALBAÑILERÍA, INCLUYENDO LAS DE CAMPO Y JARDÍN)</t>
  </si>
  <si>
    <t>FABRICACIÓN DE CUCHILLERÍA, VAJILLA, UTENSILIOS Y BATERÍAS DE COCINA</t>
  </si>
  <si>
    <t>FABRICACIÓN DE CERRADURAS, LLAVES, HERRAJES Y OTROS ARTÍCULOS DE FERRETERÍA INCLUYENDO CLAVOS Y BULONES</t>
  </si>
  <si>
    <t>FABRICACIÓN DE ENVASES METÁLICOS, INCLUYENDO BRONCE, LATÓN, ALUMINIO, HOJALATA</t>
  </si>
  <si>
    <t>FABRICACIÓN DE TEJIDOS DE ALAMBRE</t>
  </si>
  <si>
    <t>FABRICACIÓN DE CAJAS DE SEGURIDAD</t>
  </si>
  <si>
    <t>FABRICACIÓN DE PRODUCTOS METÁLICOS DE TORNERÍA Y MATRICERÍA</t>
  </si>
  <si>
    <t>FABRICACIÓN DE PRODUCTOS METÁLICOS N.C.P.</t>
  </si>
  <si>
    <t>FABRICACIÓN Y REPARACIÓN DE MAQUINARIA EXCEPTO LA ELÉCTRICA</t>
  </si>
  <si>
    <t>FABRICACIÓN Y REPARACIÓN DE MOTORES Y TURBINAS, INCLUYENDO MÁQUINAS DE VAPOR (EXCEPTO DE MOTOCICLETAS, AUTOMOTORES Y NAVES)</t>
  </si>
  <si>
    <t xml:space="preserve">FABRICACIÓN Y REPARACIÓN DE BOMBAS, COMPRESORES Y MAQUINARIA O EQUIPOS SIMILARES </t>
  </si>
  <si>
    <t>FABRICACIÓN DE VÁLVULAS, GRIFOS Y ACCESORIOS DE CAÑERÍAS</t>
  </si>
  <si>
    <t>FABRICACIÓN DE HORNOS, HOGARES, ESTUFAS Y CALEFACTORES INDUSTRIALES (EXCLUIDOS LOS ELÉCTRICOS)</t>
  </si>
  <si>
    <t>FABRICACIÓN Y REPARACIÓN DE ASCENSORES, ESCALERAS MECÁNICAS, MONTACARGAS</t>
  </si>
  <si>
    <t xml:space="preserve">FABRICACIÓN Y REPARACIÓN DE MAQUINARIA Y EQUIPOS PARA LA INDUSTRIA EN GENERAL N.C.P. </t>
  </si>
  <si>
    <t>FABRICACIÓN Y REPARACIÓN DE MAQUINARIA Y EQUIPO PARA USO VIAL</t>
  </si>
  <si>
    <t>FABRICACIÓN Y REPARACIÓN DE MÁQUINAS Y EQUIPOS N.C.P. (EXCEPTO LA MAQUINARIA ELÉCTRICA)</t>
  </si>
  <si>
    <t>FABRICACIÓN Y REPARACIÓN DE ACCESORIOS DE MÁQUINAS Y EQUIPOS N.C.P. (EXCEPTO LOS ELÉCTRICOS)</t>
  </si>
  <si>
    <t>FABRICACIÓN Y REPARACIÓN DE TRACTORES</t>
  </si>
  <si>
    <t>FABRICACIÓN Y REPARACIÓN DE MAQUINARIA AGROPECUARIA Y FORESTAL (EXCEPTO TRACTORES)</t>
  </si>
  <si>
    <t>FABRICACIÓN Y REPARACIÓN DE MAQUINARIA Y EQUIPO PARA TRABAJAR LOS METALES, INCLUYENDO MÁQUINAS HERRAMIENTA Y MÁQUINAS PARA METALURGIA</t>
  </si>
  <si>
    <t>FABRICACIÓN Y REPARACIÓN DE MAQUINARIA Y EQUIPO PARA LA INDUSTRIA MINERA, PETROLERA Y CANTERAS</t>
  </si>
  <si>
    <t>FABRICACIÓN Y REPARACIÓN DE MAQUINARIA Y EQUIPO PARA LA CONSTRUCCIÓN</t>
  </si>
  <si>
    <t>FABRICACIÓN Y REPARACIÓN DE MAQUINARIA PARA LA ELABORACIÓN Y ENVASES DE PRODUCTOS ALIMENTICIOS, BEBIDAS Y TABACO</t>
  </si>
  <si>
    <t>FABRICACIÓN Y REPARACIÓN DE MAQUINARIA Y EQUIPO PARA LA INDUSTRIA TEXTIL, PRENDAS DE VESTIR Y CUERO</t>
  </si>
  <si>
    <t>FABRICACIÓN Y REPARACIÓN DE ARMAS (EXCEPTO MUNICIONES)</t>
  </si>
  <si>
    <t>FABRICACIÓN Y REPARACIÓN DE MAQUINARIA Y EQUIPO PARA LA INDUSTRIA DEL PAPEL Y LAS ARTES GRÁFICAS</t>
  </si>
  <si>
    <t>FABRICACIÓN Y REPARACIÓN DE BÁSCULAS, BALANZAS Y DINAMÓMETROS, EXCEPTO LOS CIENTÍFICOS PARA USO DE LABORATORIO</t>
  </si>
  <si>
    <t>FABRICACIÓN Y REPARACIÓN DE MAQUINARIA Y EQUIPO PARA TRABAJAR LA MADERA</t>
  </si>
  <si>
    <t>FABRICACIÓN Y REPARACIÓN DE MÁQUINAS Y EQUIPOS DE REFRIGERACIÓN</t>
  </si>
  <si>
    <t>FABRICACIÓN Y REPARACIÓN DE COCINAS, CALEFONES, ESTUFAS Y CALEFACTORES DE USO DOMÉSTICO, NO ELÉCTRICOS</t>
  </si>
  <si>
    <t xml:space="preserve">FABRICACIÓN DE ARTEFACTOS PARA ILUMINACIÓN METÁLICOS, EXCEPTO LOS ELÉCTRICOS </t>
  </si>
  <si>
    <t>FABRICACIÓN DE HELADERAS, FREEZERS, LAVARROPAS Y SECARROPAS</t>
  </si>
  <si>
    <t>FABRICACIÓN Y REPARACIÓN DE MÁQUINAS DE COSER Y TEJER</t>
  </si>
  <si>
    <t>FABRICACIÓN DE VENTILADORES Y EXTRACTORES DE AIRE, ASPIRADORAS Y OTROS APARATOS SEMEJANTES</t>
  </si>
  <si>
    <t>FABRICACIÓN Y REPARACIÓN DE ACONDICIONADORES DE AIRE</t>
  </si>
  <si>
    <t>FABRICACIÓN DE ENCERADORAS, PULIDORAS, BATIDORAS, LICUADORAS Y OTROS APARATOS SEMEJANTES</t>
  </si>
  <si>
    <t>FABRICACIÓN DE PLANCHAS, CALEFACTORES, HORNOS ELÉCTRICOS, MICROONDAS Y OTROS APARATOS GENERADORES DE CALOR</t>
  </si>
  <si>
    <t>FABRICACIÓN DE APARATOS Y SUMINISTROS ELÉCTRICOS NO CLASIFICADOS EN OTRA PARTE (INCLUYE ACCESORIOS ELÉCTRICOS)</t>
  </si>
  <si>
    <t>FABRICACIÓN DE APARATOS Y ACCESORIOS ELÉCTRICOS DE USO DOMÉSTICO NO CLASIFICADOS EN OTRA PARTE</t>
  </si>
  <si>
    <t>FABRICACIÓN Y REPARACIÓN DE MÁQUINAS Y APARATOS INDUSTRIALES ELÉCTRICOS NO CLASIFICADOS EN OTRA PARTE</t>
  </si>
  <si>
    <t>FABRICACIÓN Y REPARACIÓN DE EQUIPOS DE COMPUTACIÓN</t>
  </si>
  <si>
    <t>FABRICACIÓN Y REPARACIÓN DE MAQUINARIA DE OFICINA, CÁLCULO, CONTABILIDAD, MÁQUINAS DE ESCRIBIR, CAJAS REGISTRADORAS</t>
  </si>
  <si>
    <t>FABRICACIÓN Y REPARACIÓN DE MOTORES ELÉCTRICOS, TRANSFORMADORES Y GENERADORES</t>
  </si>
  <si>
    <t>FABRICACIÓN Y REPARACIÓN DE EQUIPOS DE DISTRIBUCIÓN Y TRANSMISIÓN DE ELECTRICIDAD</t>
  </si>
  <si>
    <t xml:space="preserve">FABRICACIÓN DE CONDUCTORES ELÉCTRICOS </t>
  </si>
  <si>
    <t>FABRICACIÓN DE ACUMULADORES Y PILAS ELÉCTRICAS</t>
  </si>
  <si>
    <t>FABRICACIÓN DE ARTEFACTOS ELÉCTRICOS PARA LA ILUMINACIÓN</t>
  </si>
  <si>
    <t>FABRICACIÓN DE LÁMPARAS Y TUBOS ELÉCTRICOS</t>
  </si>
  <si>
    <t>FABRICACIÓN DE TRANSMISORES DE RADIO Y TELEVISIÓN Y APARATOS DE TELEFONÍA Y TELEGRAFÍA CON HILOS</t>
  </si>
  <si>
    <t>FABRICACIÓN DE BOBINAS, ARRANQUES, BUJÍAS Y OTROS EQUIPOS Y APARATOS ELÉCTRICOS PARA MOTORES DE COMBUSTIÓN INTERNA</t>
  </si>
  <si>
    <t>FABRICACIÓN DE EQUIPOS Y APARATOS DE COMUNICACIONES</t>
  </si>
  <si>
    <t>FABRICACIÓN DE RECEPTORES DE RADIO, TELEVISIÓN, GRABACIÓN Y REPRODUCCIÓN DE IMÁGENES GRABADAS Y SONIDO</t>
  </si>
  <si>
    <t>FABRICACIÓN Y GRABACIÓN DE DISCOS Y CINTAS MAGNETOFÓNICAS</t>
  </si>
  <si>
    <t>FABRICACIÓN DE PIEZAS Y SUMINISTROS UTILIZADOS ESPECIALMENTE PARA APARATOS DE RADIO Y TELEVISIÓN</t>
  </si>
  <si>
    <t>FABRICACIÓN Y REPARACIÓN E INSTRUMENTOS Y APARATOS DE CIRUGÍA, MEDICINA, ODONTOLOGÍA, ORTOPEDIA, SUS PARTES Y ACCESORIOS</t>
  </si>
  <si>
    <t>FABRICACIÓN DE APARATOS Y ACCESORIOS PARA FOTOGRAFÍA</t>
  </si>
  <si>
    <t>FABRICACIÓN DE LENTES Y ARTÍCULOS OFTÁLMICOS</t>
  </si>
  <si>
    <t>FABRICACIÓN DE INSTRUMENTOS DE ÓPTICA</t>
  </si>
  <si>
    <t>FABRICACIÓN Y ARMADO DE RELOJES (INCLUYE FABRICACIÓN DE PIEZAS Y CAJAS PARA RELOJES Y MECANISMOS SIMILARES)</t>
  </si>
  <si>
    <t>FABRICACIÓN DE EQUIPOS DE TRANSPORTE</t>
  </si>
  <si>
    <t>FABRICACIÓN DE MOTORES PARA AUTOMÓVILES, CAMIONES Y OTROS VEHÍCULOS PARA TRANSPORTE DE CARGA Y PASAJEROS (EXCLUIDOS MOTOS Y SIMILARES)</t>
  </si>
  <si>
    <t>FABRICACIÓN Y ARMADO DE VEHÍCULOS AUTOMOTORES</t>
  </si>
  <si>
    <t>FABRICACIÓN DE REMOLQUES Y SEMIRREMOLQUES</t>
  </si>
  <si>
    <t>FABRICACIÓN Y ARMADO DE CARROCERÍAS PARA AUTOMÓVILES, CAMIONES Y OTROS VEHÍCULOS PARA TRANSPORTE DE CARGA Y PASAJEROS (INCLUYE CASAS RODANTES)</t>
  </si>
  <si>
    <t>FABRICACIÓN DE REPUESTOS, PIEZAS Y ACCESORIOS PARA VEHÍCULOS AUTOMOTORES</t>
  </si>
  <si>
    <t>RECTIFICACIÓN DE MOTORES</t>
  </si>
  <si>
    <t>CONSTRUCCIÓN DE MOTORES Y PIEZAS PARA NAVÍOS</t>
  </si>
  <si>
    <t>CONSTRUCCIÓN Y REPARACIÓN DE EMBARCACIONES, INCLUYE BUQUES, YATES, VELEROS, BOTES, ASTILLEROS</t>
  </si>
  <si>
    <t>CONSTRUCCIÓN DE MAQUINARIA Y EQUIPO FERROVIARIO (INCLUYE LOCOMOTORAS Y MATERIAL RODANTE)</t>
  </si>
  <si>
    <t>FABRICACIÓN DE AERONAVES, PLANEADORES Y SIMILARES, SUS COMPONENTES, REPUESTOS Y ACCESORIOS</t>
  </si>
  <si>
    <t>FABRICACIÓN DE MOTOCICLETAS, VEHÍCULOS SIMILARES Y SUS PARTES, INCLUYENDO EL MOTOR</t>
  </si>
  <si>
    <t>FABRICACIÓN Y ARMADO DE BICICLETAS Y RODADOS SIMILARES</t>
  </si>
  <si>
    <t>FABRICACIÓN DE MATERIAL DE TRANSPORTE NO CLASIFICADO EN OTRA PARTE</t>
  </si>
  <si>
    <t>FABRICACIÓN Y REPARACIÓN DE GRÚAS Y EQUIPAMIENTO DE TRANSPORTE MECÁNICO</t>
  </si>
  <si>
    <t>FABRICACIÓN DE MUEBLES, SUS PARTES Y ACCESORIOS, EXCEPTO METÁLICOS Y PLÁSTICOS</t>
  </si>
  <si>
    <t>FABRICACIÓN DE ACCESORIOS PARA MUEBLES</t>
  </si>
  <si>
    <t>OTRAS INDUSTRIAS MANUFACTURERAS</t>
  </si>
  <si>
    <t>ELABORACIÓN DE ACEITES Y GRASAS ANIMALES NO COMESTIBLES</t>
  </si>
  <si>
    <t>FABRICACIÓN DE COLCHONES, SOMMIERS, ALMOHADONES Y ALMOHADAS</t>
  </si>
  <si>
    <t>FABRICACIÓN DE JOYAS Y ARTÍCULOS CONEXOS</t>
  </si>
  <si>
    <t>FABRICACIÓN DE OBJETOS DE PLATERÍA Y ENCHAPADOS</t>
  </si>
  <si>
    <t>FABRICACIÓN DE INSTRUMENTOS DE MÚSICA</t>
  </si>
  <si>
    <t>FABRICACIÓN DE EQUIPOS Y APARATOS PARA DEPORTE, ATLETISMO Y CAMPING</t>
  </si>
  <si>
    <t>FABRICACIÓN DE JUEGOS Y JUGUETES (EXCEPTO LOS DE CAUCHO Y PLÁSTICO)</t>
  </si>
  <si>
    <t>FABRICACIÓN DE LÁPICES, LAPICERAS, BOLÍGRAFOS, PLUMAS ESTILOGRÁFICAS Y ARTÍCULOS SIMILARES PARA OFICINA</t>
  </si>
  <si>
    <t>FABRICACIÓN DE CEPILLOS, PINCELES Y ESCOBAS</t>
  </si>
  <si>
    <t xml:space="preserve">7,00‰ </t>
  </si>
  <si>
    <t>FABRICACIÓN DE FÓSFOROS</t>
  </si>
  <si>
    <t>FABRICACIÓN DE PARAGUAS</t>
  </si>
  <si>
    <t>FABRICACIÓN DE EQUIPOS Y ARTÍCULOS PARA GASTRONOMÍA</t>
  </si>
  <si>
    <t>FABRICACIÓN DE ARTÍCULOS NO CLASIFICADOS EN OTRA PARTE</t>
  </si>
  <si>
    <t>RECICLAMIENTO DE DESPERDICIOS Y DESECHOS METÁLICOS</t>
  </si>
  <si>
    <t>RECICLAMIENTO DE DESPERDICIOS Y DESECHOS NO METÁLICOS</t>
  </si>
  <si>
    <t>DESARROLLO DE SOFTWARE</t>
  </si>
  <si>
    <t>FABRICACIÓN Y ARMADO DE LETREROS Y ANUNCIOS PUBLICITARIOS</t>
  </si>
  <si>
    <t>ELECTRICIDAD, GAS Y SIMILARES</t>
  </si>
  <si>
    <t>ELECTRICIDAD, GAS Y VAPOR</t>
  </si>
  <si>
    <t>PRODUCCIÓN Y DISTRIBUCIÓN DE GAS NATURAL</t>
  </si>
  <si>
    <t>PRODUCCIÓN Y DISTRIBUCIÓN DE GASES NO CLASIFICADOS EN OTRA PARTE</t>
  </si>
  <si>
    <t>SUMINISTRO DE VAPOR Y AGUA CALIENTE</t>
  </si>
  <si>
    <t>CAPTACIÓN, PURIFICACIÓN Y DISTRIBUCIÓN DE AGUA</t>
  </si>
  <si>
    <t>CONSTRUCCIÓN</t>
  </si>
  <si>
    <t>EXCAVACIÓN Y DEMOLICIÓN DE EDIFICIOS Y SUS PARTES</t>
  </si>
  <si>
    <t>PERFORACIÓN Y SONDEO (EXCEPTO PERFORACIÓN DE POZOS DE PETRÓLEO, DE GAS, DE MINAS E HIDRÁULICOS Y PROSPECCIÓN DE YACIMIENTOS DE PETRÓLEO)</t>
  </si>
  <si>
    <t>MOVIMIENTO DE SUELOS Y PREPARACIÓN DE TERRENOS PARA OBRAS N.C.P. (INCLUYE EL DRENAJE, REMOCIÓN DE ROCAS, EXCAVACIÓN DE ZANJAS PARA SERVICIOS PÚBLICOS, ALCANTARILLADO URBANO Y PARA CONSTRUCCIONES DIVERSAS, MOVIMIENTOS DE TIERRAS PARA HACER TERRAPLENES O DESMONTES PREVIOS A LA CONSTRUCCIÓN DE VÍAS, AUTOPISTAS, FF.CC.)</t>
  </si>
  <si>
    <t>CONSTRUCCIÓN, REFORMA Y REPARACIÓN DE EDIFICIOS (INCLUYE VIVIENDAS UNIFAMILIARES Y MULTIFAMILIARES; BUNGALOWS, CABAÑAS, CASAS DE CAMPO, DEPARTAMENTO, ALBERGUES PARA ANCIANOS, ESTUDIANTES, NIÑOS)</t>
  </si>
  <si>
    <t>15,00‰</t>
  </si>
  <si>
    <t>CONSTRUCCIÓN O REPARACIÓN DE CALLES, PUENTES, AEROPUERTOS, CENTRALES HIDROELÉCTRICAS Y/U OBRAS PESADAS SIMILARES</t>
  </si>
  <si>
    <t>PERFORACIÓN DE POZOS DE AGUA</t>
  </si>
  <si>
    <t>PERFORACIÓN DE POZO NEGRO</t>
  </si>
  <si>
    <t>HORMIGONADO, HINCADO DE PILOTES, CIMENTACIÓN Y OTROS TRABAJOS DE HORMIGÓN ARMADO</t>
  </si>
  <si>
    <t>COLOCACIÓN DE CUBIERTAS ASFÁLTICAS Y TECHOS</t>
  </si>
  <si>
    <t>OBRAS DE INGENIERÍA CIVIL N.C.P.</t>
  </si>
  <si>
    <t>CONSTRUCCIONES N.C.P.</t>
  </si>
  <si>
    <t>EJECUCIÓN Y MANTENIMIENTO DE INSTALACIONES ELÉCTRICAS N.C.P.</t>
  </si>
  <si>
    <t>INSTALACIONES PARA EDIFICIOS Y OBRAS DE INGENIERÍA CIVIL N.C.P. (INCLUYE AISLAMIENTO TÉRMINO, ACÚSTICO, ANTIVIBRATORIO)</t>
  </si>
  <si>
    <t>COLOCACIÓN DE CARPINTERÍA Y HERRERÍA DE OBRA, VIDRIOS Y CERRAMIENTOS</t>
  </si>
  <si>
    <t>REVOQUE Y ENYESADO DE PAREDES Y CIELORRASOS</t>
  </si>
  <si>
    <t>COLOCACIÓN Y PULIDO DE PISOS Y REVESTIMIENTOS DE MOSAICOS, MÁRMOL, CERÁMICOS Y SIMILARES</t>
  </si>
  <si>
    <t>COLOCACIÓN DE PISOS Y REVESTIMIENTOS N.C.P. (INCLUYE PLASTIFICADO DE PISOS)</t>
  </si>
  <si>
    <t>PINTURA, EMPAPELADO Y TRABAJOS DE DECORACIÓN</t>
  </si>
  <si>
    <t>TERMINACIÓN DE EDIFICIOS Y OBRAS DE INGENIERÍA CIVIL N.C.P. (INCLUYE TRABAJOS DE ORNAMENTACIÓN, LIMPIEZA EXTERIOR DE EDIFICIOS CON VAPOR, CHORRO DE ARENA U OTROS MÉTODOS)</t>
  </si>
  <si>
    <t>ALQUILER DE EQUIPO DE CONSTRUCCIÓN O DEMOLICIÓN</t>
  </si>
  <si>
    <t>MANTENIMIENTO Y REPARACIÓN DE AUTOMOTORES Y MOTOCICLETAS</t>
  </si>
  <si>
    <t>TALLER DE GOMERÍA. INCLUYE LAS QUE POSEEN ANEXOS DE RECAPADOS</t>
  </si>
  <si>
    <t>REPARACIÓN DE AUTOMOTORES Y MOTOCICLETAS (AMORTIGUADORES, ALINEACIÓN DE DIRECCIÓN, BALANCEO DE RUEDAS, LLANTAS)</t>
  </si>
  <si>
    <t>INSTALACIÓN Y REPARACIÓN DE LUNETAS Y VENTANILLAS, SISTEMA DE CLIMATIZACIÓN, GRABADO DE CRISTALES DE AUTOMOTORES, POLARIZADOS</t>
  </si>
  <si>
    <t xml:space="preserve">TAPIZADO Y RETAPIZADO DE AUTOMOTORES </t>
  </si>
  <si>
    <t>SERVICIO DE TAPICERÍA (EXCLUIDO P/AUTOMOTORES)</t>
  </si>
  <si>
    <t>REPARACIONES ELÉCTRICAS DE AUTOMOTORES (INCLUYENDO TABLEROS, INSTRUMENTAL Y REPARACIÓN O RECARGA DE BATERÍAS)</t>
  </si>
  <si>
    <t>TALLER DE CHAPA Y PINTURA DE AUTOMOTORES</t>
  </si>
  <si>
    <t>LAVADERO DE AUTOS</t>
  </si>
  <si>
    <t>MANTENIMIENTO Y REPARACIÓN DE FRENOS DE AUTOMOTORES</t>
  </si>
  <si>
    <t>SERVICIO DE CERRAJERÍA</t>
  </si>
  <si>
    <t>REPARACIÓN DE AUTOMOTORES Y MOTOCICLETAS (MOTORES Y MECÁNICA INTEGRAL; INCLUIDOS CARBURADOR, RADIADOR, Y SERVICIO DE AUXILIO Y REMOLQUE DE AUTOMOTORES). INCLUYE INSTALACIÓN DE EQUIPOS DE GNC</t>
  </si>
  <si>
    <t>REPARACIÓN DE BICICLETAS Y RODADOS INFANTILES</t>
  </si>
  <si>
    <t>LUBRICENTROS</t>
  </si>
  <si>
    <t xml:space="preserve">ACTIVIDADES COMERCIALES </t>
  </si>
  <si>
    <t>POR MAYOR</t>
  </si>
  <si>
    <t>VENTA AL POR MAYOR EN COMISIÓN O CONSIGNACIÓN</t>
  </si>
  <si>
    <t>20,00‰</t>
  </si>
  <si>
    <t>VENTA Y DISTRIBUCIÓN POR MAYOR EN COMISIÓN O CONSIGNACIÓN DE CEREALES</t>
  </si>
  <si>
    <t>VENTA Y DISTRIBUCIÓN POR MAYOR EN COMISIÓN O CONSIGNACIÓN DE PRODUCTOS Y SUBPRODUCTOS GANADEROS Y AGRÍCOLAS N.C.P.</t>
  </si>
  <si>
    <t>OPERACIONES DE INTERMEDIACIÓN DE GANADO EN PIE DE TERCEROS. CONSIG. DE HACIENDA</t>
  </si>
  <si>
    <t>OPERACIONES DE INTERMEDIACIÓN DE GANADO EN PIE EN REMATES FERIAS</t>
  </si>
  <si>
    <t>VENTA AL POR MAYOR O CONSIGNACIÓN DE LANAS, CUEROS Y FRUTOS DEL PAÍS</t>
  </si>
  <si>
    <t>MATARIFES</t>
  </si>
  <si>
    <t>VENTA AL POR MAYOR EN COMISIÓN O CONSIGNACIÓN DE ALIMENTOS Y BEBIDAS NO ALCOHÓLICAS</t>
  </si>
  <si>
    <t>VENTA AL POR MAYOR EN COMISIÓN O CONSIGNACIÓN DE BEBIDAS ALCOHÓLICAS</t>
  </si>
  <si>
    <t>VENTA AL POR MAYOR EN COMISIÓN O CONSIGNACIÓN DE TABACO</t>
  </si>
  <si>
    <t>VENTA AL POR MAYOR EN COMISIÓN O CONSIGNACIÓN DE PRODUCTOS TEXTILES</t>
  </si>
  <si>
    <t>VENTA AL POR MAYOR EN COMISIÓN O CONSIGNACIÓN DE MADERA Y MATERIALES PARA LA CONSTRUCCIÓN</t>
  </si>
  <si>
    <t>VENTA AL POR MAYOR EN COMISIÓN O CONSIGNACIÓN DE ENERGÍA ELÉCTRICA, GAS Y COMBUSTIBLES</t>
  </si>
  <si>
    <t>VENTA DE COMBUSTIBLES AL POR MENOR (POR COMISIONES)</t>
  </si>
  <si>
    <t>VENTA AL POR MAYOR EN COMISIÓN O CONSIGNACIÓN DE MINERALES, METALES Y PRODUCTOS QUÍMICOS INDUSTRIALES</t>
  </si>
  <si>
    <t>VENTA AL POR MAYOR EN COMISIÓN O CONSIGNACIÓN DE MÁQUINAS, EQUIPOS Y APARATOS DE USO DOMÉSTICO, INCLUIDOS LOS ELECTRÓNICOS</t>
  </si>
  <si>
    <t>VENTA AL POR MAYOR EN COMISIÓN O CONSIGNACIÓN DE MAQUINARIA, EQUIPO PROFESIONAL INDUSTRIAL Y COMERCIAL, EMBARCACIONES Y AERONAVES</t>
  </si>
  <si>
    <t>VENTA AL POR MAYOR EN COMISIÓN O CONSIGNACIÓN DE PAPEL, CARTÓN, LIBROS, REVISTAS, DIARIOS, MATERIALES DE EMBALAJE Y ARTÍCULOS DE LIBRERÍA</t>
  </si>
  <si>
    <t>VENTA AL POR MAYOR EN COMISIÓN O CONSIGNACIÓN DE PRODUCTOS MEDICINALES</t>
  </si>
  <si>
    <t>VENTA DE ANTIGÜEDADES, POR COMISIONES O CONSIGNACIONES</t>
  </si>
  <si>
    <t>20,50‰</t>
  </si>
  <si>
    <t>VENTA DE AUTOMOTORES NUEVOS POR COMISIONES O CONSIGNACIONES. INCLUYE PLANES DE AHORRO</t>
  </si>
  <si>
    <t>VENTA AL POR MAYOR EN COMISIÓN O CONSIGNACIÓN DE MERCADERÍAS N.C.P.</t>
  </si>
  <si>
    <t>VENTA AL POR MAYOR EN COMISIÓN O CONSIGNACIÓN DE FRUTAS, HORTALIZAS Y VERDURAS EN EL MERCADO DE ABASTO</t>
  </si>
  <si>
    <t>VENTA DE AUTOMOTORES USADOS POR COMISIONES O CONSIGNACIONES. INCLUYE PLANES DE AHORRO</t>
  </si>
  <si>
    <t>VENTA POR MAYOR DE CEREALES Y LEGUMBRES</t>
  </si>
  <si>
    <t>VENTA POR MAYOR DE SEMILLAS</t>
  </si>
  <si>
    <t>VENTA AL POR MAYOR DE LANAS, CUEROS Y FRUTOS DEL PAÍS</t>
  </si>
  <si>
    <t>VENTA AL POR MAYOR DE MATERIAS PRIMAS PECUARIAS, INCLUYE ANIMALES VIVOS</t>
  </si>
  <si>
    <t>VENTA AL POR MAYOR DE PRODUCTOS LÁCTEOS (EXCEPTO QUESOS)</t>
  </si>
  <si>
    <t>VENTA AL POR MAYOR DE FIAMBRES, EMBUTIDOS Y CHACINADOS</t>
  </si>
  <si>
    <t>QUESERÍAS. VENTA AL POR MAYOR DE QUESOS</t>
  </si>
  <si>
    <t>VENTA Y ABASTECIMIENTO DE CARNE Y DERIVADOS</t>
  </si>
  <si>
    <t>VENTA AL POR MAYOR DE AVES Y HUEVOS</t>
  </si>
  <si>
    <t>VENTA AL POR MAYOR DE PESCADOS Y PRODUCTOS MARINOS</t>
  </si>
  <si>
    <t xml:space="preserve">VENTA AL POR MAYOR DE FRUTAS, HORTALIZAS Y VERDURAS </t>
  </si>
  <si>
    <t>DISTRIBUCIÓN Y VENTA AL POR MAYOR DE PAN Y PRODUCTOS DE PANIFICACIÓN</t>
  </si>
  <si>
    <t>VENTA AL POR MAYOR DE CHOCOLATE Y SUS PREPARADOS, CARAMELOS Y OTROS DERIVADOS DEL AZÚCAR</t>
  </si>
  <si>
    <t>FRACCIONAMIENTO Y VENTA AL POR MAYOR DE AZÚCAR</t>
  </si>
  <si>
    <t>VENTA AL POR MAYOR DE ACEITES Y GRASAS COMESTIBLES, VINAGRES</t>
  </si>
  <si>
    <t>VENTA AL POR MAYOR DE CAFÉ, TÉ Y YERBA MATE (INCLUYE FRACCIONAMIENTO, Y VENTA AL POR MAYOR DE SAL), (FRACCIONAMIENTO, Y VENTA AL POR MAYOR DE TÉ Y ESPECIAS)</t>
  </si>
  <si>
    <t>DISTRIBUCIÓN Y VENTA AL POR MAYOR DE PRODUCTOS Y SUBPRODUCTOS DE MOLINERÍA</t>
  </si>
  <si>
    <t>VENTA POR MAYOR DE PRODUCTOS PARA ANIMALES INCLUIDOS MEDICAMENTOS Y MASCOTAS</t>
  </si>
  <si>
    <t>FRACCIONAMIENTO, DISTRIBUCIÓN Y VENTA AL POR MAYOR DE ENCURTIDOS</t>
  </si>
  <si>
    <t>DISTRIBUCIÓN Y VENTA AL POR MAYOR DE ALIMENTOS Y SUPLEMENTOS DIETARIOS</t>
  </si>
  <si>
    <t>VENTA, DISTRIBUCIÓN Y FRACCIONAMIENTO AL POR MAYOR DE PRODUCTOS DIETÉTICOS</t>
  </si>
  <si>
    <t>VENTA Y DISTRIBUCIÓN AL POR MAYOR DE OTROS PRODUCTOS Y SUBPRODUCTOS GANADEROS Y AGRÍCOLAS</t>
  </si>
  <si>
    <t>FRACCIONAMIENTO, DISTRIBUCIÓN Y VENTA POR MAYOR DE PRODUCTOS ALIMENTARIOS N.C.P.</t>
  </si>
  <si>
    <t>FRACCIONAMIENTO Y VENTA POR MAYOR DE BEBIDAS Y TABACOS</t>
  </si>
  <si>
    <t>VENTA AL POR MAYOR DE VINOS SIN FRACCIONAMIENTO</t>
  </si>
  <si>
    <t>VENTA AL POR MAYOR DE BEBIDAS ALCOHÓLICAS Y ENERGIZANTES</t>
  </si>
  <si>
    <t>FRACCIONAMIENTO, DISTRIBUCIÓN Y VENTA POR MAYOR DE ALCOHOLES</t>
  </si>
  <si>
    <t>VENTA AL POR MAYOR DE BEBIDAS NO ALCOHÓLICAS, AGUAS, GASEOSAS</t>
  </si>
  <si>
    <t>-</t>
  </si>
  <si>
    <t>25,00‰</t>
  </si>
  <si>
    <t>VENTA AL POR MAYOR DE TABACOS Y CIGARRILLOS</t>
  </si>
  <si>
    <t>VENTA AL POR MAYOR DE FIBRAS, HILADOS E HILOS</t>
  </si>
  <si>
    <t>VENTA AL POR MAYOR DE TEJIDOS</t>
  </si>
  <si>
    <t>VENTA AL POR MAYOR DE MANTELERÍA Y ROPA DE CAMA</t>
  </si>
  <si>
    <t>VENTA AL POR MAYOR DE ARTÍCULOS DE TAPICERÍA, TAPICES Y ALFOMBRAS</t>
  </si>
  <si>
    <t>VENTA AL POR MAYOR DE PRENDAS DE VESTIR DE CUERO (EXCEPTO CALZADO)</t>
  </si>
  <si>
    <t>VENTA AL POR MAYOR DE ARTÍCULOS DE MERCERÍA, MEDIAS Y ARTÍCULOS DE PUNTO</t>
  </si>
  <si>
    <t>VENTA DE PAÑALES POR MAYOR</t>
  </si>
  <si>
    <t>VENTA AL POR MAYOR DE PRENDAS DE VESTIR (EXCEPTO DE CUERO Y CALZADO)</t>
  </si>
  <si>
    <t>VENTA AL POR MAYOR DE CALZADOS (INCLUYE ZAPATOS Y ZAPATILLAS)</t>
  </si>
  <si>
    <t>VENTA AL POR MAYOR DE PIELES Y CUEROS</t>
  </si>
  <si>
    <t>VENTA AL POR MAYOR DE ARTÍCULOS DE MARROQUINERÍA</t>
  </si>
  <si>
    <t>DEPÓSITO Y VENTA POR MAYOR DE MADERA, PAPEL Y DERIVADOS</t>
  </si>
  <si>
    <t>VENTA AL POR MAYOR DE TEXTOS NUEVOS</t>
  </si>
  <si>
    <t>VENTA AL POR MAYOR DE TEXTOS USADOS</t>
  </si>
  <si>
    <t>DISTRIBUCIÓN POR MAYOR DE DIARIOS Y REVISTAS</t>
  </si>
  <si>
    <t>VENTA AL POR MAYOR DE PAPEL Y PRODUCTOS DE PAPEL Y CARTÓN</t>
  </si>
  <si>
    <t>VENTA AL POR MAYOR DE ARTÍCULOS DE LIBRERÍA Y PAPELERÍA</t>
  </si>
  <si>
    <t>VENTA POR MAYOR DE PRODUCTOS FARMACÉUTICOS Y VETERINARIOS (MEDICAMENTOS)</t>
  </si>
  <si>
    <t>COMBUSTIBLES DERIVADOS DEL PETRÓLEO Y GAS NATURAL COMPRIMIDO.</t>
  </si>
  <si>
    <t>VENTA AL POR MAYOR DE SUSTANCIAS QUÍMICAS INDUSTRIALES Y MATERIAS PRIMAS PARA LA ELABORACIÓN DE PLÁSTICOS</t>
  </si>
  <si>
    <t>VENTA AL POR MAYOR DE COMBUSTIBLES Y LUBRICANTES PARA AUTOMOTORES</t>
  </si>
  <si>
    <t>FRACCIONAMIENTO, DISTRIBUCIÓN Y VENTA AL POR MAYOR DE ADITIVOS Y LUBRICANTES</t>
  </si>
  <si>
    <t>FRACCIONAMIENTO Y DISTRIBUIDORES AL POR MAYOR DE GAS LICUADO (INCLUYE ENVASADO DE GARRAFAS)</t>
  </si>
  <si>
    <t>VENTA AL POR MAYOR DE COMBUSTIBLES Y LUBRICANTES, EXCEPTO PARA AUTOMOTORES Y GAS EN GARRAFAS</t>
  </si>
  <si>
    <t>DISTRIBUCIÓN Y VENTA AL POR MAYOR DE CARBÓN Y SUS DERIVADOS</t>
  </si>
  <si>
    <t>VENTA AL POR MAYOR DE ABONOS Y PLAGUICIDAS</t>
  </si>
  <si>
    <t>DISTRIBUCIÓN Y VENTA AL POR MAYOR DE PRODUCTOS DE CAUCHO</t>
  </si>
  <si>
    <t>VENTA AL POR MAYOR DE ARTÍCULOS DE PLÁSTICO</t>
  </si>
  <si>
    <t>DISTRIBUCIÓN Y VENTA AL POR MAYOR DE PETRÓLEO Y SUS DERIVADOS (EXCEPTO COMBUSTIBLES)</t>
  </si>
  <si>
    <t>DEPÓSITO, DISTRIBUCIÓN Y VENTA POR MAYOR DE PRODUCTOS METÁLICOS</t>
  </si>
  <si>
    <t>VENTA AL POR MAYOR DE HIERROS, ACEROS, METALES NO FERROSOS Y SUBPRODUCTOS, EXCEPTO CHATARRA</t>
  </si>
  <si>
    <t>VENTA AL POR MAYOR DE MUEBLES DE METAL Y SUS ACCESORIOS</t>
  </si>
  <si>
    <t>VENTA AL POR MAYOR DE CHATARRA</t>
  </si>
  <si>
    <t>DEPÓSITO, DISTRIBUCIÓN Y VENTA POR MAYOR DE OTROS ARTÍCULOS</t>
  </si>
  <si>
    <t>VENTA AL POR MAYOR DE ARTÍCULOS DE TOCADOR, JABONES, PERFUMES, COSMÉTICOS</t>
  </si>
  <si>
    <t>VENTA AL POR MAYOR DE APARATOS FOTOGRÁFICOS E INSTRUMENTOS DE ÓPTICA</t>
  </si>
  <si>
    <t>VENTA AL POR MAYOR DE JOYAS, RELOJES Y ARTÍCULOS CONEXOS</t>
  </si>
  <si>
    <t>VENTA AL POR MAYOR DE ARTÍCULOS DE BAZAR Y MENAJE</t>
  </si>
  <si>
    <t>VENTA AL POR MAYOR DE INSTRUMENTOS MUSICALES</t>
  </si>
  <si>
    <t>VENTA AL POR MAYOR DE DISCOS, CASSETTES, DVD, VIDEOJUEGOS. DISQUERÍAS</t>
  </si>
  <si>
    <t>VENTA AL POR MAYOR DE EQUIPOS Y APARATOS DE RADIO, TELEVISIÓN, COMUNICACIONES Y SUS COMPONENTES</t>
  </si>
  <si>
    <t>VENTA AL POR MAYOR DE ARTÍCULOS DE LIMPIEZA Y SANEAMIENTO</t>
  </si>
  <si>
    <t>VENTA AL POR MAYOR DE JUGUETES Y ARTÍCULOS DE COTILLÓN</t>
  </si>
  <si>
    <t>VENTA AL POR MAYOR DE BICICLETAS Y RODADOS SIMILARES</t>
  </si>
  <si>
    <t>VENTA AL POR MAYOR DE ARTÍCULOS PARA DEPORTES Y CAMPING</t>
  </si>
  <si>
    <t>VENTA AL POR MAYOR DE PAPELES PARA PARED, REVESTIMIENTO PARA PISOS DE GOMA, PLÁSTICO Y TEXTILES, Y ARTÍCULOS SIMILARES PARA LA DECORACIÓN</t>
  </si>
  <si>
    <t>VENTA AL POR MAYOR DE ARTÍCULOS PARA KIOSCO Y PARA SALONES DE VENTA</t>
  </si>
  <si>
    <t>VENTA AL POR MAYOR DE TARJETAS MAGNÉTICAS DE TRANSPORTE</t>
  </si>
  <si>
    <t>VENTA AL POR MAYOR DE TARJETAS MAGNÉTICAS DE TELEFONÍA</t>
  </si>
  <si>
    <t>VENTA AL POR MAYOR DE MÁQUINAS, EQUIPOS Y APARATOS DE USO DOMÉSTICO (INCLUIDOS LOS ELÉCTRICOS)</t>
  </si>
  <si>
    <t>VENTA AL POR MAYOR DE CÁMARAS Y CUBIERTAS</t>
  </si>
  <si>
    <t>VENTA AL POR MAYOR DE PRODUCTOS N.C.P.</t>
  </si>
  <si>
    <t>VENTA AL POR MAYOR DE PIROTECNIA</t>
  </si>
  <si>
    <t>VENTA AL POR MAYOR DE DESCARTABLES DE USO MÉDICO, PARAMÉDICO, ODONTOLÓGICO Y ORTOPÉDICO</t>
  </si>
  <si>
    <t>VENTA AL POR MAYOR DE MUEBLES Y ACCESORIOS EXCEPTO LOS METÁLICOS</t>
  </si>
  <si>
    <t>VENTA POR MAYOR DE MATERIALES PARA LA CONSTRUCCIÓN</t>
  </si>
  <si>
    <t>VENTA AL POR MAYOR DE ARTÍCULOS DE CRISTAL Y VIDRIO</t>
  </si>
  <si>
    <t>VENTA AL POR MAYOR DE ABERTURAS (PUERTAS, VENTANAS, ARMAZONES)</t>
  </si>
  <si>
    <t>VENTA AL POR MAYOR DE MADERA Y PRODUCTOS DE MADERA, EXCEPTO MUEBLES</t>
  </si>
  <si>
    <t>VENTA AL POR MAYOR EN FERRETERÍAS</t>
  </si>
  <si>
    <t>VENTA AL POR MAYOR DE PINTURAS, BARNICES, LACAS Y ESMALTES</t>
  </si>
  <si>
    <t>VENTA AL POR MAYOR DE VIDRIOS PLANOS Y TEMPLADOS</t>
  </si>
  <si>
    <t>VENTA AL POR MAYOR DE ARTÍCULOS DE PLOMERÍA, ELECTRICIDAD, ILUMINACIÓN, CALEFACCIÓN, OBRAS SANITARIAS Y SIMILARES</t>
  </si>
  <si>
    <t>VENTA AL POR MAYOR DE ARTÍCULOS Y OBJETOS DE BARRO, LOZA Y PORCELANA</t>
  </si>
  <si>
    <t>VENTA AL POR MAYOR DE LADRILLOS, CEMENTO, CAL, ARENA, PIEDRA, MÁRMOL Y SIMILARES</t>
  </si>
  <si>
    <t>VENTA AL POR MAYOR DE ARTÍCULOS PARA LA CONSTRUCCIÓN N.C.P.</t>
  </si>
  <si>
    <t>VENTA POR MAYOR DE MOTORES, MÁQUINAS Y EQUIPOS</t>
  </si>
  <si>
    <t>VENTA AL POR MAYOR DE EQUIPOS E IMPLEMENTOS DE USO EN LOS SECTORES AGROPECUARIO, JARDINERÍA, SILVICULTURA, PESCA Y CAZA</t>
  </si>
  <si>
    <t>VENTA AL POR MAYOR DE EQUIPO INFORMÁTICO Y MÁQUINAS DE OFICINA, CÁLCULO Y CONTABILIDAD</t>
  </si>
  <si>
    <t>VENTA AL POR MAYOR DE AUTOMOTORES, MOTONETAS Y MOTOCICLETAS</t>
  </si>
  <si>
    <t>VENTA AL POR MAYOR DE MOTOCICLETAS NUEVAS Y USADAS</t>
  </si>
  <si>
    <t>VENTA AL POR MAYOR DE AUTOMOTORES NUEVOS Y USADOS</t>
  </si>
  <si>
    <t>POR MENOR</t>
  </si>
  <si>
    <t>VENTA DE AUTOMOTORES, MOTONETAS Y MOTOCICLETAS</t>
  </si>
  <si>
    <t>VENTA POR MENOR DE VEHÍCULOS AUTOMOTORES NUEVOS</t>
  </si>
  <si>
    <t>VENTA POR MENOR DE VEHÍCULOS AUTOMOTORES USADOS</t>
  </si>
  <si>
    <t>VENTA POR MENOR DE MOTOCICLETAS NUEVAS Y USADAS EN CONSIGNACIÓN</t>
  </si>
  <si>
    <t>VENTA POR MENOR DE AUTOMOTORES NUEVOS Y USADOS EN CONSIGNACIÓN</t>
  </si>
  <si>
    <t>VENTA POR MENOR DE MOTOCICLETAS NUEVAS Y USADAS</t>
  </si>
  <si>
    <t>VENTA AL POR MENOR DE PRODUCTOS ALIMENTICIOS Y BEBIDAS</t>
  </si>
  <si>
    <t>HIPERMERCADO</t>
  </si>
  <si>
    <t>MINIMERCADO</t>
  </si>
  <si>
    <t>KIOSCOS,POLIRRUBROS Y COMERCIOS NO ESPECIALIZADOS CON EL PREDOMINIO DE PRODUCTOS ALIMENTICIOS Y BEBIDAS N.C.P. (EXCEPTO EL CÓDIGO 522991)</t>
  </si>
  <si>
    <t>VENTA AL POR MENOR DE LECHE Y PRODUCTOS LÁCTEOS</t>
  </si>
  <si>
    <t>VENTA AL POR MENOR DE QUESOS</t>
  </si>
  <si>
    <t>FIAMBRERÍA. VENTA AL POR MENOR DE FIAMBRES</t>
  </si>
  <si>
    <t>VENTA AL POR MENOR DE PRODUCTOS DIETÉTICOS</t>
  </si>
  <si>
    <t>VENTA AL POR MENOR DE ALIMENTOS Y SUPLEMENTOS DIETARIOS</t>
  </si>
  <si>
    <t>ALMACÉN DE COMESTIBLES</t>
  </si>
  <si>
    <t>VENTA DE HELADOS ENVASADOS</t>
  </si>
  <si>
    <t>VERDULERÍA Y FRUTERÍA</t>
  </si>
  <si>
    <t>CARNICERÍA. VENTA AL POR MENOR DE CARNES Y SUS PREPARADOS Y DERIVADOS (EXCEPTO ENVASADA Y CONGELADA)</t>
  </si>
  <si>
    <t>VENTA AL POR MENOR DE CARNE ENVASADA Y CONGELADA</t>
  </si>
  <si>
    <t>POLLERÍA. VENTA AL POR MENOR DE AVES EVISCERADAS Y HUEVOS</t>
  </si>
  <si>
    <t>VENTA AL POR MENOR DE LEGUMBRES, FRUTAS, CEREALES SECOS Y EN CONSERVAS</t>
  </si>
  <si>
    <t>VENTA AL POR MENOR DE PANIFICADORAS Y PANADERÍAS</t>
  </si>
  <si>
    <t>VENTA AL POR MENOR DE BOMBONES Y GOLOSINAS. CARAMELERÍA, GALLETITERÍA</t>
  </si>
  <si>
    <t>VENTA AL POR MENOR DE BEBIDAS NO ALCOHÓLICAS, GASEOSAS Y JUGOS</t>
  </si>
  <si>
    <t>VENTA AL POR MENOR DE VINOS Y OTRAS BEBIDAS ALCOHÓLICAS Y BEBIDAS ENERGIZANTES. VINOTECAS. VINERÍAS</t>
  </si>
  <si>
    <t>PESCADERÍA</t>
  </si>
  <si>
    <t>VENTA AL POR MENOR DE PRODUCTOS DE REPOSTERÍA</t>
  </si>
  <si>
    <t>VENTA AL POR MENOR DE MASAS Y DEMÁS PRODUCTOS DE PASTELERÍAS. CONFITERÍAS</t>
  </si>
  <si>
    <t>VENTA AL POR MENOR DE PASTAS FRESCAS</t>
  </si>
  <si>
    <t>VENTA AL POR MENOR DE CAFÉ, TÉ, YERBA MATE Y ESPECIAS</t>
  </si>
  <si>
    <t>VENTA DE CHORIPÁN, HAMBURGUESAS Y PANCHOS</t>
  </si>
  <si>
    <t>QUINIELA</t>
  </si>
  <si>
    <t>PRODE</t>
  </si>
  <si>
    <t>LOTERÍA</t>
  </si>
  <si>
    <t>BINGO, QUINI-6 U OTROS SIMILARES</t>
  </si>
  <si>
    <t>OTROS JUEGOS DE AZAR</t>
  </si>
  <si>
    <t>LOTERÍA INSTANTÁNEA</t>
  </si>
  <si>
    <t>VENTA AL POR MENOR DE TABACOS Y CIGARRILLOS</t>
  </si>
  <si>
    <t>VENTA AL POR MENOR DE LANAS, HILOS Y ARTÍCULOS AFINES</t>
  </si>
  <si>
    <t>VENTA AL POR MENOR DE ARTÍCULOS DE MERCERÍA</t>
  </si>
  <si>
    <t>VENTA AL POR MENOR DE TEJIDOS DE PUNTO</t>
  </si>
  <si>
    <t>VENTA AL POR MENOR DE TAPICES Y ALFOMBRAS</t>
  </si>
  <si>
    <t>VENTA AL POR MENOR DE ARTÍCULOS DE LENCERÍA</t>
  </si>
  <si>
    <t>VENTA AL POR MENOR DE ROPA Y ACCESORIOS PARA BEBÉS Y NIÑOS</t>
  </si>
  <si>
    <t>VENTA AL POR MENOR DE TELAS. TIENDAS</t>
  </si>
  <si>
    <t>VENTA AL POR MENOR DE PIELES NATURALES Y SINTÉTICAS. PELETERÍA</t>
  </si>
  <si>
    <t>VENTA AL POR MENOR DE PRENDAS DE VESTIR DE CUERO Y SUCEDÁNEOS</t>
  </si>
  <si>
    <t>VENTA AL POR MENOR DE PRODUCTOS Y ARTÍCULOS CONFECCIONADOS CON MATERIALES TEXTILES N.C.P.</t>
  </si>
  <si>
    <t>VENTA AL POR MENOR DE PRENDAS DE VESTIR, EXCEPTO LAS DE CUERO</t>
  </si>
  <si>
    <t>VENTA AL POR MENOR DE INDUMENTARIA DE TRABAJO, UNIFORMES Y/O GUARDAPOLVOS</t>
  </si>
  <si>
    <t>VENTA AL POR MENOR DE CALZADO. ZAPATERÍAS Y ZAPATILLERÍAS</t>
  </si>
  <si>
    <t>VENTA AL POR MENOR DE CARTERAS Y DEMÁS ARTÍCULOS DE MARROQUINERÍA</t>
  </si>
  <si>
    <t>VENTA AL POR MENOR DE INDUMENTARIA DEPORTIVA Y SUS ACCESORIOS</t>
  </si>
  <si>
    <t>DEPÓSITO, DISTRIBUCIÓN Y VENTA POR MENOR DE MATERIALES PARA LA CONSTRUCCIÓN</t>
  </si>
  <si>
    <t>VENTA AL POR MENOR DE ABERTURAS (PUERTAS, VENTANAS, ARMAZONES)</t>
  </si>
  <si>
    <t>VENTA AL POR MENOR DE ARTÍCULOS DE FERRETERÍA. FERRETERÍA</t>
  </si>
  <si>
    <t>VENTA AL POR MENOR DE PINTURAS, BARNICES, LACAS, ESMALTES Y ARTÍCULOS DE PINTURERÍA</t>
  </si>
  <si>
    <t>VENTA AL POR MENOR DE VIDRIOS, CRISTALES, ESPEJOS, MAMPARAS Y CERRAMIENTOS (INCLUYE SU COLOCACIÓN). VIDRIERÍAS</t>
  </si>
  <si>
    <t>VENTA AL POR MENOR DE ARTÍCULOS DE REVESTIMIENTO Y DECORACIÓN</t>
  </si>
  <si>
    <t>VENTA AL POR MENOR DE SANITARIOS</t>
  </si>
  <si>
    <t>VENTA AL POR MENOR DE MATERIALES DE CONSTRUCCIÓN</t>
  </si>
  <si>
    <t>VENTA AL POR MENOR DE ARTÍCULOS DIVERSOS</t>
  </si>
  <si>
    <t>VENTA AL POR MENOR DE REPUESTOS Y ACCESORIOS PARA VEHÍCULOS AUTOMOTORES, INCLUIDO EQUIPOS DE GNC</t>
  </si>
  <si>
    <t>VENTA AL POR MENOR DE REPUESTOS Y ACCESORIOS PARA MOTOCICLETAS</t>
  </si>
  <si>
    <t>VENTA AL POR MENOR EN FARMACIAS DE PRODUCTOS MEDICINALES</t>
  </si>
  <si>
    <t>VENTA AL POR MENOR DE HERBORISTERÍA</t>
  </si>
  <si>
    <t>VENTA AL POR MENOR DE CÁMARAS Y CUBIERTAS</t>
  </si>
  <si>
    <t>VENTA AL POR MENOR DE LUBRICANTES LÍQUIDOS Y SÓLIDOS</t>
  </si>
  <si>
    <t>VENTA AL POR MENOR DE ARTÍCULOS DE PERFUMERÍA Y COSMÉTICA</t>
  </si>
  <si>
    <t>VENTA AL POR MENOR DE PAÑALES</t>
  </si>
  <si>
    <t>VENTA AL POR MENOR DE ARTÍCULOS DE CAÑA Y MIMBRE. VENTA DE MUEBLES. MUEBLERÍA</t>
  </si>
  <si>
    <t>VENTA AL POR MENOR DE COLCHONES, ALMOHADAS Y ACCESORIOS</t>
  </si>
  <si>
    <t>VENTA AL POR MENOR DE APARATOS Y ARTEFACTOS ELÉCTRICOS PARA LA ILUMINACIÓN</t>
  </si>
  <si>
    <t>VENTA AL POR MENOR DE ARTÍCULOS DE BAZAR Y MENAJE</t>
  </si>
  <si>
    <t>VENTA AL POR MENOR DE ARTÍCULOS DEL HOGAR</t>
  </si>
  <si>
    <t>VENTA AL POR MENOR DE INSTRUMENTOS MUSICALES</t>
  </si>
  <si>
    <t>VENTA AL POR MENOR DE DISCOS, CASSETTES, DVD, DVC, VIDEOS JUEGOS Y SIMILARES. DISQUERÍAS</t>
  </si>
  <si>
    <t>VENTA AL POR MENOR DE APARATOS PARA VIDEOJUEGOS; CASSETTES, DVD; REPRODUCTORES; VIDEOGRABADORAS Y SIMILARES</t>
  </si>
  <si>
    <t>VENTA AL POR MENOR Y COLOCACIÓN DE EQUIPOS DE AUDIO; DE RADIOLLAMADO, ALARMAS; CIERRE CENTRALIZADO; LEVANTA CRISTALES PARA AUTOMOTORES</t>
  </si>
  <si>
    <t>COMPRA Y VENTA DE ARTÍCULOS DEL HOGAR Y MUEBLES</t>
  </si>
  <si>
    <t>VENTA AL POR MENOR DE ARTÍCULOS DE MADERA N.C.P.</t>
  </si>
  <si>
    <t>VENTA AL POR MENOR DE APARATOS FOTOGRÁFICOS, ARTÍCULOS DE FOTOGRAFÍA</t>
  </si>
  <si>
    <t>VENTA AL POR MENOR DE ARTÍCULOS DE ÓPTICA Y ORTOPEDIA</t>
  </si>
  <si>
    <t>VENTA DE ARTÍCULOS DE FANTASÍAS, BIJOUTERIE, PLATERÍA, ALHAJAS Y ORFEBRERÍA</t>
  </si>
  <si>
    <t>VENTA AL POR MENOR DE JOYAS, RELOJES Y ARTÍCULOS CONEXOS</t>
  </si>
  <si>
    <t>COMPRA Y VENTA DE ORO</t>
  </si>
  <si>
    <t>VENTA AL POR MENOR DE TEXTOS NUEVOS, LIBROS Y PUBLICACIONES</t>
  </si>
  <si>
    <t xml:space="preserve">VENTA AL POR MENOR DE DIARIOS Y REVISTAS </t>
  </si>
  <si>
    <t>VENTA AL POR MENOR DE ARTÍCULOS DE LIBRERÍA, PAPELERÍA Y PARA OFICINA</t>
  </si>
  <si>
    <t>VENTA AL POR MENOR DE FLORES Y PLANTAS NATURALES Y ARTIFICIALES</t>
  </si>
  <si>
    <t>VENTA AL POR MENOR DE SEMILLAS, ABONOS, FERTILIZANTES Y OTROS PRODUCTOS DE VIVERO</t>
  </si>
  <si>
    <t>VENTA AL POR MENOR DE FORRAJES</t>
  </si>
  <si>
    <t>VENTA AL POR MENOR DE PLAGUICIDAS-AGROQUIMICOS</t>
  </si>
  <si>
    <t>VENTA AL POR MENOR DE ARTÍCULOS, PRODUCTOS E INSUMOS DE LIMPIEZA</t>
  </si>
  <si>
    <t>VENTA AL POR MENOR DE JUGUETES. JUGUETERÍAS</t>
  </si>
  <si>
    <t>VENTA AL POR MENOR DE ARTÍCULOS DE COTILLÓN</t>
  </si>
  <si>
    <t>VENTA AL POR MENOR DE ARMAS Y ARTÍCULOS DE CUCHILLERÍA. ARMERÍA. CUCHILLERÍA. VENTA AL POR MENOR DE ARTÍCULOS DE CAZA Y PESCA</t>
  </si>
  <si>
    <t>VENTA AL POR MENOR DE MÁQUINAS DE OFICINA, COMPUTADORAS, CÁLCULO, SUS COMPONENTES Y REPUESTOS</t>
  </si>
  <si>
    <t>VENTA POR MENOR DE INSUMOS DE COMPUTACIÓN</t>
  </si>
  <si>
    <t>VENTA AL POR MENOR DE ARTÍCULOS DE TELEFONÍA - CELULARES Y SUS ACCESORIOS</t>
  </si>
  <si>
    <t>COMBUSTIBLES DERIVADOS DEL PETRÓLEO Y GAS NATURAL COMPRIMIDO</t>
  </si>
  <si>
    <t>CARBÓN Y LEÑA</t>
  </si>
  <si>
    <t>VENTA DE GNC</t>
  </si>
  <si>
    <t>RECARGA Y VENTA AL POR MENOR DE GAS CARBÓNICO P/MATAFUEGOS Y GASIFICADORES</t>
  </si>
  <si>
    <t>RECARGA Y VENTA AL POR MENOR DE GARRAFAS Y COMBUSTIBLES SÓLIDOS Y LÍQUIDOS</t>
  </si>
  <si>
    <t>VENTA POR MENOR DE PRODUCTOS PARA ANIMALES INCLUIDOS MEDICAMENTOS Y MASCOTAS</t>
  </si>
  <si>
    <t>VENTA AL POR MENOR DE PRODUCTOS DE CAUCHO N.C.P.</t>
  </si>
  <si>
    <t>VENTA AL POR MENOR DE MOTORES, MAQUINARIAS, EQUIPOS Y APARATOS INDUSTRIALES (INCLUIDOS LOS ELÉCTRICOS)</t>
  </si>
  <si>
    <t>VENTA AL POR MENOR DE MÁQUINAS N.C.P. Y MOTORES, INCLUIDOS SUS REPUESTOS</t>
  </si>
  <si>
    <t>VENTA AL POR MENOR DE EQUIPO PROFESIONAL, CIENTÍFICO E INSTRUMENTOS DE MEDIDA Y DE CONTROL</t>
  </si>
  <si>
    <t>VENTA AL POR MENOR DE HERRAJES EN GENERAL</t>
  </si>
  <si>
    <t>ARTESANOS. VENTA AL POR MENOR DE ARTESANÍAS</t>
  </si>
  <si>
    <t>VENTA AL POR MENOR DE ARTÍCULOS PARA REGALOS. REGALERÍA</t>
  </si>
  <si>
    <t xml:space="preserve">VENTA AL POR MENOR DE ARTÍCULOS REGIONALES </t>
  </si>
  <si>
    <t>VENTA AL POR MENOR DE BICICLETAS Y RODADOS INFANTILES, SUS REPUESTOS Y ACCESORIOS</t>
  </si>
  <si>
    <t>VENTA AL POR MENOR DE ARTÍCULOS DE PLÁSTICO Y DESCARTABLES</t>
  </si>
  <si>
    <t>VENTA AL POR MENOR DE ARTÍCULOS PARA PUBLICIDAD</t>
  </si>
  <si>
    <t>VENTA AL POR MENOR DE TARJETAS MAGNÉTICAS DE TRANSPORTE DE PASAJEROS Y DE TELEFONÍA</t>
  </si>
  <si>
    <t>VENTA AL POR MENOR DE ALARMAS Y OTROS ARTÍCULOS DE SEGURIDAD</t>
  </si>
  <si>
    <t>VENTA AL POR MENOR DE INSUMOS MÉDICOS</t>
  </si>
  <si>
    <t>VENTA AL POR MENOR DE ARTÍCULOS ELECTRÓNICOS, SUS REPUESTOS Y ACCESORIOS (EXCEPTO DEL HOGAR)</t>
  </si>
  <si>
    <t>VENTA AL POR MENOR DE LANCHAS Y EMBARCACIONES DEPORTIVAS</t>
  </si>
  <si>
    <t>VENTA AL POR MENOR DE ARTÍCULOS DE SANTERÍA</t>
  </si>
  <si>
    <t>VENTA AL POR MENOR DE ARTÍCULOS DE CAMPING</t>
  </si>
  <si>
    <t>VENTA AL POR MENOR DE TEXTOS USADOS</t>
  </si>
  <si>
    <t>VENTA AL POR MENOR DE ANTIGÜEDADES, OBJETOS DE ARTE, CUADROS, MARCOS, FILATELIA Y NUMISMÁTICA</t>
  </si>
  <si>
    <t>ARTÍCULOS USADOS O REACONDICIONADOS</t>
  </si>
  <si>
    <t>6,00‰</t>
  </si>
  <si>
    <t>DESARMADEROS DE AUTOS Y VENTA AL POR MENOR DE SUS PARTES. REPUESTOS Y ACCESORIOS USADOS</t>
  </si>
  <si>
    <t>VENTA AL POR MENOR DE SUSTANCIAS QUÍMICAS INDUSTRIALES</t>
  </si>
  <si>
    <t>VENTA AL POR MENOR DE ARTÍCULOS N.C.P.</t>
  </si>
  <si>
    <t>PIROTECNIA POR MENOR</t>
  </si>
  <si>
    <t>VENTA AL POR MENOR DE ARTÍCULOS VARIOS. POLIRRUBROS</t>
  </si>
  <si>
    <t>VENTA AMBULANTE DE PRODUCTOS NO ALIMENTICIOS</t>
  </si>
  <si>
    <t xml:space="preserve">SEX SHOP </t>
  </si>
  <si>
    <t>VENTA DE MATERIALES DE REZAGO Y CHATARRA</t>
  </si>
  <si>
    <t>TRANSPORTE</t>
  </si>
  <si>
    <t>TRANSPORTE TERRESTRE</t>
  </si>
  <si>
    <t>TRANSPORTE FERROVIARIO</t>
  </si>
  <si>
    <t>SERVICIO DE MUDANZAS</t>
  </si>
  <si>
    <t>TRANSPORTE URBANO DE CARGAS N.C.P. (INCLUYE FLETES)</t>
  </si>
  <si>
    <t>TRANSPORTE AUTOMOTORES DE CARGA Y ENCOMIENDA A CORTA, MEDIA Y LARGA DISTANCIA</t>
  </si>
  <si>
    <t>TRANSPORTE URBANO DE PASAJEROS</t>
  </si>
  <si>
    <t>TRANSPORTE INTERURBANO DE PASAJEROS</t>
  </si>
  <si>
    <t>SERVICIO DE RADIOTAXI,TAXI Y REMISES</t>
  </si>
  <si>
    <t>TRANSPORTE DE PASAJEROS POR REMISES. LA AGENCIA TRIBUTARÁ</t>
  </si>
  <si>
    <t>TRANSPORTE ESCOLAR</t>
  </si>
  <si>
    <t>TRANSPORTE PRIVADO N.C.P. (EXCEPTO TAXIS, REMIS, TRANSPORTE ESCOLAR, ALQUILER DE AUTO)</t>
  </si>
  <si>
    <t>TRANSPORTE DE PASAJEROS DE LARGA DISTANCIA</t>
  </si>
  <si>
    <t>TRANSPORTE POR OLEODUCTOS Y GASODUCTOS</t>
  </si>
  <si>
    <t>TRANSPORTE AÉREO</t>
  </si>
  <si>
    <t>TRANSPORTE AÉREO, DE PASAJEROS Y CARGAS</t>
  </si>
  <si>
    <t>SERVICIOS CONEXOS CON LOS DE TRANSPORTE</t>
  </si>
  <si>
    <t>AGENCIAS AÉREAS. SERVICIOS CONEXOS PROPIOS</t>
  </si>
  <si>
    <t>AGENCIAS AÉREAS. SERVICIOS POR COMISIÓN</t>
  </si>
  <si>
    <t>PEAJES</t>
  </si>
  <si>
    <t xml:space="preserve">SERVICIOS COMPLEMENTARIOS PARA EL TRANSPORTE TERRESTRE N.C.P.                                                                                                                                                                                                                                                                                                                                                </t>
  </si>
  <si>
    <t>SERVICIOS RELACIONADOS CON EL TRANSPORTE AÉREO N.C.P.</t>
  </si>
  <si>
    <t>AGENCIAS DE TURISMO Y SERVICIOS CONEXOS PROPIOS</t>
  </si>
  <si>
    <t>AGENCIAS DE TURISMO Y SERVICIOS CONEXOS (POR COMISIONES)</t>
  </si>
  <si>
    <t>SERVICIOS DE GESTIÓN Y LOGÍSTICA PARA EL TRANSPORTE DE MERCADERÍAS</t>
  </si>
  <si>
    <t>DEPÓSITO Y ALMACENAMIENTO</t>
  </si>
  <si>
    <t>DEPÓSITOS Y ALMACENAMIENTOS EN GENERAL, EXCEPTO ALIMENTOS</t>
  </si>
  <si>
    <t>DEPÓSITOS Y ALMACENAMIENTOS DE ALIMENTOS REFRIGERADOS</t>
  </si>
  <si>
    <t>DEPÓSITOS Y ALMACENAMIENTOS DE ALIMENTOS NO REFRIGERADOS</t>
  </si>
  <si>
    <t>DEPÓSITOS , ALMACENAMIENTO Y VENTA DE PIROTECNIA, PÓLVORA, ARMAMENTO, EXPLOSIVOS</t>
  </si>
  <si>
    <t>COMUNICACIONES</t>
  </si>
  <si>
    <t xml:space="preserve">EMISIONES DE RADIO Y TELEVISIÓN </t>
  </si>
  <si>
    <t>COMUNICACIONES POR CORREO, TELÉGRAFO Y TÉLEX.</t>
  </si>
  <si>
    <t>EMPRESAS DE COMUNICACIONES TELEFÓNICAS CON LÍNEAS FIJAS Y MÓVILES.</t>
  </si>
  <si>
    <t>CABINAS TELEFÓNICAS (POR CABINA MÍNIMO $ 21,60).</t>
  </si>
  <si>
    <t>ESTAFETA POSTAL.</t>
  </si>
  <si>
    <t>SERVICIOS COMPLEMENTARIOS DE ANTENA COMUNITARIA DE TV Y CIRCUITO CERRADO COMUNITARIO DE TV -COMO LA TELEVISIÓN SATELITAL Y POR CABLE.</t>
  </si>
  <si>
    <t>SERVICIOS DE TRANSMISIÓN DE SONIDO, IMÁGENES, DATOS U OTRA INFORMACIÓN.</t>
  </si>
  <si>
    <t>COMUNICACIONES POR RADIO EXCEPTO RADIODIFUSIÓN Y TELEVISIÓN (RADIOAFICIONADOS).</t>
  </si>
  <si>
    <t>ENTIDADES FINANCIERAS</t>
  </si>
  <si>
    <t>ESTABLECIMIENTOS Y SERVICIOS FINANCIEROS</t>
  </si>
  <si>
    <t>30,00‰</t>
  </si>
  <si>
    <t>BANCOS Y OTRAS INSTITUCIONES SUJETAS AL RÉGIMEN DE ENTIDADES FINANCIERAS.</t>
  </si>
  <si>
    <t>21,00‰</t>
  </si>
  <si>
    <t xml:space="preserve">COMPAÑÍAS DE CAPITALIZACIÓN Y AHORRO PARA FINES DETERMINADOS. </t>
  </si>
  <si>
    <t>PRESTAMOS DE DINERO CON GARANTÍA HIPOTECARIA, PRENDARIA O SIN GARANTÍA REAL Y DESCUENTOS DE DOCUMENTOS DE TERCEROS, EXCLUIDAS LAS ACTIVIDADES REGIDAS POR LA LEY DE ENTIDADES FINANCIERAS.</t>
  </si>
  <si>
    <t>OPERACIONES O PRÉSTAMOS NO INVOLUCRADOS EN LOS APARTADOS ANTERIORES.</t>
  </si>
  <si>
    <t>OPERACIONES DE PRÉSTAMOS Y DEMÁS OPERACIONES, EFECTUADAS POR ASOCIACIONES PROFESIONALES, ENTIDADES MUTUALES, GREMIALES O SINDICALES.</t>
  </si>
  <si>
    <t>INTERMEDIARIOS, CONSIGNATARIOS, COMISIONISTAS, QUE PERCIBAN COMISIONES U OTRAS RETRIBUCIONES ANÁLOGAS O PORCENTAJES.</t>
  </si>
  <si>
    <t>SEGUROS</t>
  </si>
  <si>
    <t>SEGUROS (COOPERATIVA, MUTUAL Y COMPAÑÍA PRIVADA). REASEGUROS.</t>
  </si>
  <si>
    <t xml:space="preserve">BIENES MUEBLES E INMUEBLES </t>
  </si>
  <si>
    <t>SERVICIOS INMOBILIARIOS</t>
  </si>
  <si>
    <t>VENTA DE INMUEBLES PROPIOS</t>
  </si>
  <si>
    <t>ADMINISTRACIÓN, ALQUILER Y VENTA DE TERCEROS. INMOBILIARIAS</t>
  </si>
  <si>
    <t>LOCACIÓN DE BIENES INMUEBLES PROPIOS</t>
  </si>
  <si>
    <t>COMPRA-VENTA DE BIENES INMUEBLES</t>
  </si>
  <si>
    <t>CORREDOR INMOBILIARIO</t>
  </si>
  <si>
    <t>PLAYAS DE ESTACIONAMIENTO</t>
  </si>
  <si>
    <t>ESPACIO DESTINADO A GARAJES, PLAYAS DE ESTACIONAMIENTO, GUARDACOCHES.</t>
  </si>
  <si>
    <t>ALQUILER Y ARRENDAMIENTO DE MÁQUINAS, AUTOS Y EQUIPOS</t>
  </si>
  <si>
    <t>ALQUILER DE EQUIPO DE TRANSPORTE PARA VÍA TERRESTRE, SIN OPERARIOS NI TRIPULACIÓN</t>
  </si>
  <si>
    <t>ALQUILER DE EQUIPO DE TRANSPORTE PARA VÍA AÉREA, SIN OPERARIOS NI TRIPULACIÓN</t>
  </si>
  <si>
    <t>ALQUILER DE AUTOMÓVILES SIN CHOFER</t>
  </si>
  <si>
    <t>ALQUILER Y ARRENDAMIENTO DE MAQUINARIA Y EQUIPO AGRÍCOLA (SIN PERSONAL)</t>
  </si>
  <si>
    <t>ALQUILER Y ARRENDAMIENTO DE MAQUINARIA Y EQUIPO PARA LA CONSTRUCCIÓN Y LA INDUSTRIA (SIN PERSONAL)</t>
  </si>
  <si>
    <t xml:space="preserve">ALQUILER DE COMPUTADORAS Y SUS EQUIPOS Y MÁQUINAS DE OFICINA CÁLCULO Y CONTABILIDAD </t>
  </si>
  <si>
    <t>ALQUILER Y ARRENDAMIENTO DE MAQUINARIA PETROLERA Y MINERA (SIN PERSONAL)</t>
  </si>
  <si>
    <t>ALQUILER Y ARRENDAMIENTO DE MÁQUINAS PARA SALONES DE ENTRETENIMIENTOS</t>
  </si>
  <si>
    <t xml:space="preserve">ALQUILER Y ARRENDAMIENTO DE MAQUINARIA Y EQUIPO N.C.P. </t>
  </si>
  <si>
    <t>ALQUILER DE ROPA EN GENERAL (EXCEPTO ROPA BLANCA)</t>
  </si>
  <si>
    <t>ALQUILER DE COSAS MUEBLES N.C.P.</t>
  </si>
  <si>
    <t>ALQUILER DE VAJILLA, MOBILIARIO Y ELEMENTO DE FIESTA</t>
  </si>
  <si>
    <t>SERVICIOS TÉCNICOS Y EMPRESARIALES EXCEPTO LOS SOCIALES Y COMUNALES</t>
  </si>
  <si>
    <t>SERVICIO DE OFICINA DE COBRANZAS.</t>
  </si>
  <si>
    <t>13,00‰</t>
  </si>
  <si>
    <t>SERVICIO DE SEGURIDAD.</t>
  </si>
  <si>
    <t>SERVICIO DE LIMPIEZA.</t>
  </si>
  <si>
    <t>ESTUDIO FOTOGRÁFICO. LABORATORIO.</t>
  </si>
  <si>
    <t>ESTUDIOS FOTOGRÁFICOS. FOTOGRAFÍA COMERCIAL.</t>
  </si>
  <si>
    <t>SERVICIO DE FOTOCOPIADO. FOTOCOPIADORAS.</t>
  </si>
  <si>
    <t>SERVICIO DE ORGANIZACIÓN INTEGRAL DE EVENTOS Y SERVICIOS CONEXOS PROPIOS (CATERING, PROPALACIÓN, ETC.).</t>
  </si>
  <si>
    <t>SERVICIO DE MANTENIMIENTO DE ESPACIOS VERDES. PARQUIZACIÓN.</t>
  </si>
  <si>
    <t>SERVICIO DE WEB HOSTING.</t>
  </si>
  <si>
    <t>SERVICIOS BRINDADOS PARA TERCEROS POR CALL CENTER, CONTACT CENTER, Y ATENCIÓN AL CLIENTE. SERVICIOS BRINDADOS MEDIANTE TECNOLOGÍA PERTENECIENTE AL ÁREA DE COMUNICACIONES. SE INCLUYEN TODOS LOS SERVICIOS RELACIONADOS CON EL ASESORAMIENTO Y AUXILIO TÉCNICO DE VENTA DE PRODUCTOS Y SERVICIOS Y DE CAPTURA, PROCESAMIENTO Y COMUNICACIÓN DE TRANSACCIONES NACIONALES E INTERNACIONALES.</t>
  </si>
  <si>
    <t>SERVICIOS PRESTADOS A LAS EMPRESAS NO CLASIFICADOS EN OTRA PARTE.</t>
  </si>
  <si>
    <t>SERVICIOS PRESTADOS A LAS EMPRESAS POR PROFESIONALES ORGANIZADOS COMO EMPRESA EN EJERCICIO DE SU PROFESIÓN LIBERAL.</t>
  </si>
  <si>
    <t>SERVICIOS</t>
  </si>
  <si>
    <t>SERVICIO DE REPARACIÓN DE ARTÍCULOS PERSONALES Y DEL HOGAR Y/U OTROS</t>
  </si>
  <si>
    <t>REPARACIÓN DE CALZADO Y OTROS ARTÍCULOS DE CUERO</t>
  </si>
  <si>
    <t>REPARACIÓN DE APARATOS ELÉCTRICOS DE USO DOMÉSTICO Y PERSONAL</t>
  </si>
  <si>
    <t>REPARACIÓN Y MANTENIMIENTO DE ASCENSORES</t>
  </si>
  <si>
    <t>REPARACIÓN DE RELOJES Y JOYAS</t>
  </si>
  <si>
    <t>REPARACIÓN DE MUEBLES METÁLICOS (CARPINTERÍA)</t>
  </si>
  <si>
    <t>REPARACIÓN DE MUEBLES DE MADERA (CARPINTERÍA DE MADERA)</t>
  </si>
  <si>
    <t>REPARACIONES Y AFINACIONES DE INSTRUMENTOS MUSICALES</t>
  </si>
  <si>
    <t>REPARACIONES DE ARMAS DE FUEGO</t>
  </si>
  <si>
    <t>SERVICIO DE REPARACIÓN N.C.P.</t>
  </si>
  <si>
    <t>50,00‰</t>
  </si>
  <si>
    <t>CASAS AMUEBLADAS O ALOJAMIENTO POR HORA.</t>
  </si>
  <si>
    <t xml:space="preserve">HOTEL CATEGORÍA 4 ESTRELLAS. </t>
  </si>
  <si>
    <t xml:space="preserve">HOSTERÍA CATEGORÍA 2 ESTRELLAS. </t>
  </si>
  <si>
    <t xml:space="preserve">HOTEL CATEGORÍA 1 ESTRELLA. </t>
  </si>
  <si>
    <t>HOSTERÍA CATEGORÍA 2 Y 1 ESTRELLAS</t>
  </si>
  <si>
    <t xml:space="preserve">MOTEL CATEGORÍA 3 ESTRELLAS. </t>
  </si>
  <si>
    <t xml:space="preserve">MOTEL CATEGORÍA 1 Y 2 ESTRELLAS. </t>
  </si>
  <si>
    <t xml:space="preserve">RESIDENCIALES, HOSPEDAJES Y OTROS LUGARES DE ALOJAMIENTO SIN DISCRIMINAR RUBROS, N.C.P. </t>
  </si>
  <si>
    <t>BAR, CONFITERÍAS, PIZZERÍAS, LOMITERÍAS, EMPANADERÍAS, PARRILLA, TRATTORÍA, CONFITERÍAS Y RESTAURANTES CON UNA SUPERFICIE HABILITADA HASTA 100 M2</t>
  </si>
  <si>
    <t>BAR, CONFITERÍAS, PIZZERÍAS, LOMITERÍAS, EMPANADERÍAS, PARRILLA, TRATTORÍA, CONFITERÍAS Y RESTAURANTES CON UNA SUPERFICIE HABILITADA DESDE 101 M2 A 200 M2</t>
  </si>
  <si>
    <t>BAR, CONFITERÍAS, PIZZERÍAS, LOMITERÍAS, EMPANADERÍAS, PARRILLA, TRATTORÍA, CONFITERÍAS Y RESTAURANTES CON UNA SUPERFICIE HABILITADA DESDE 201 M2 A 300 M2</t>
  </si>
  <si>
    <t>BAR, CONFITERÍAS, PIZZERÍAS, LOMITERÍAS, EMPANADERÍAS, PARRILLA, TRATTORÍA, CONFITERÍAS Y RESTAURANTES CON UNA SUPERFICIE HABILITADA DE MÁS DE 300 M2</t>
  </si>
  <si>
    <t>RESTAURANT CON ESPECTACULOS CON Y SIN BAILE</t>
  </si>
  <si>
    <t xml:space="preserve">RESTO BAR CON ESPECTACULOS </t>
  </si>
  <si>
    <t>BAR O RESTO BAR ARTISTICO CULTURAL</t>
  </si>
  <si>
    <t>BAR TEMATICO</t>
  </si>
  <si>
    <t>PREPARACION Y VENTA DE COMIDAS PARA LLEVAR</t>
  </si>
  <si>
    <t>HELADERÍA</t>
  </si>
  <si>
    <t>PROVISIÓN DE COMIDAS PREPARADAS, RACIONAMIENTO DE ALIMENTOS EN COCIDO (INCLUYE EL SERVICIO DE CATERING, EL SUMINISTRO DE CONFITURAS Y COMIDAS PARA BANQUETES, BODAS, FIESTAS Y OTRAS CELEBRACIONES)</t>
  </si>
  <si>
    <t>SANDWICHERÍA, ELABORACIÓN Y VENTAS POR MENOR, SIN SERVICIOS DE MESAS</t>
  </si>
  <si>
    <t>SALÓN DE FIESTAS (EXPENDIO DE CONFITURAS Y COMIDAS PARA CONSUMO EN EL LUGAR)</t>
  </si>
  <si>
    <t>SALÓN DE FIESTAS INFANTILES CON EXPENDIO DE CONFITURAS Y COMIDAS</t>
  </si>
  <si>
    <t>INSTRUCCIÓN Y ENSEÑANZA</t>
  </si>
  <si>
    <t>CENTRO DE DESARROLLO INFANTIL</t>
  </si>
  <si>
    <t>ESCUELA DE ENSEÑANZA PRIVADA PRE-PRIMARIA</t>
  </si>
  <si>
    <t>ESCUELA DE ENSEÑANZA PRIVADA. PRIMARIA (EGB)</t>
  </si>
  <si>
    <t>ENSEÑANZA PRIVADA (ÚNICAMENTE PLANES OFICIALES)</t>
  </si>
  <si>
    <t>ENSEÑANZA PRIVADA (OTRAS)</t>
  </si>
  <si>
    <t>JARDÍN DE INFANTES SEGUNDO CICLO</t>
  </si>
  <si>
    <t>JARDÍN DE INFANTES PRIMER CICLO. GUARDERÍA</t>
  </si>
  <si>
    <t>ESCUELA DE ENSEÑANZA PRIVADA. SECUNDARIA (POLIMODAL)</t>
  </si>
  <si>
    <t>ESCUELA DE ENSEÑANZA PRIVADA. TERCIARIA</t>
  </si>
  <si>
    <t>UNIVERSIDAD PRIVADA</t>
  </si>
  <si>
    <t>INSTITUTO DE ENSEÑANZA</t>
  </si>
  <si>
    <t>ESCUELA PARA DISCAPACITADOS MENTALES Y FÍSICOS</t>
  </si>
  <si>
    <t>ESCUELA DE CONDUCTORES</t>
  </si>
  <si>
    <t>ESCUELA DE NATACIÓN</t>
  </si>
  <si>
    <t>ESCUELA DE YOGA TERAPIA</t>
  </si>
  <si>
    <t>SERVICIOS DE ACCESO A NAVEGACIÓN Y OTROS CANALES DE USO DE INTERNET. ENTRETENIMIENTOS; JUEGOS EN RED Y EN CONSOLAS (CYBER Y SIMILARES).</t>
  </si>
  <si>
    <t>SERVICIOS RELACIONADOS CON LA SALUD HUMANA</t>
  </si>
  <si>
    <t>SERVICIOS DE INTERNACIÓN</t>
  </si>
  <si>
    <t>GERIÁTRICOS</t>
  </si>
  <si>
    <t>SERVICIOS DE HOSPITAL DE DÍA. (INCLUYE LAS ACTIVIDADES DE TRATAMIENTO QUE NO NECESITAN HOSPITALIZACIÓN A TIEMPO COMPLETO, TALES COMO TRATAMIENTOS ONCOLÓGICOS; INFECTOLÓGICOS; DIALÍTICOS; ATENCIÓN DE LA SALUD MENTAL; ATENCIÓN PEDIÁTRICA; ATENCIÓN GERONTOLÓGICA)</t>
  </si>
  <si>
    <t>HOGAR DE RESIDENCIA PARA ADULTOS MAYORES AUTOVALIDOS CON ALBERGUE HASTA 4 PERSONAS</t>
  </si>
  <si>
    <t>SERVICIOS HOSPITALARIOS N.C.P.</t>
  </si>
  <si>
    <t>SERVICIOS DE ATENCIÓN AMBULATORIA. (INCLUYE LAS ACTIVIDADES DE CONSULTORIOS MÉDICOS DE ESTABLECIMIENTOS SIN INTERNACIÓN, CONSULTORIOS DE GUARDIA PARA RESOLVER URGENCIAS MÉDICAS, VACUNATORIOS, CENTROS DEL PRIMER NIVEL DE ATENCIÓN, LOS SERVICIOS DE CIRUGÍA AMBULATORIA, TALES COMO CIRUGÍA PLÁSTICA, OFTALMOLÓGICA, ARTROSCOPIA, ELECTROCOAGULACIÓN, LIPOASPIRACIÓN)</t>
  </si>
  <si>
    <t>SERVICIOS DE ATENCIÓN DOMICILIARIA PROGRAMADA. (INCLUYE LAS ACTIVIDADES LLEVADAS A CABO EN ESTABLECIMIENTOS QUE OFRECEN ATENCIÓN POR MÓDULOS A DOMICILIO Y ACTIVIDADES DE AGENTES SANITARIOS RELACIONADOS CON LA PREVENCIÓN Y EDUCACIÓN PARA LA SALUD)</t>
  </si>
  <si>
    <t>SERVICIOS ODONTOLÓGICOS</t>
  </si>
  <si>
    <t>MECÁNICO DENTAL</t>
  </si>
  <si>
    <t>SERVICIOS DE DIAGNÓSTICOS. (INCLUYE LAS ACTIVIDADES DE LABORATORIOS DE ANÁLISIS CLÍNICOS Y PATOLÓGICOS, CENTROS DE DIAGNÓSTICO POR IMÁGENES, CENTROS DE ENDOSCOPÍA, DE ELECTRODIAGNÓSTICO, CONSULTORIOS DE HEMODINAMIA)</t>
  </si>
  <si>
    <t>SERVICIOS DE TRATAMIENTO. (INCLUYE LAS ACTIVIDADES DE CENTROS DE COBALTOTERAPIA, DE RADIOLOGÍA CONVENCIONAL, DE ACELERADOR LINEAL DE REHABILITACIÓN FÍSICA, DE PSICOTERAPIA, DE HEMOTERAPIA, DE REHABILITACIÓN PSÍQUICA, UNIDADES DE HEMODIÁLISIS, CENTROS DE MEDICINA NUCLEAR)</t>
  </si>
  <si>
    <t>SERVICIOS DE EMERGENCIAS Y TRASLADOS</t>
  </si>
  <si>
    <t>OBRAS SOCIALES POR SERVICIOS RELACIONADOS CON LA SALUD HUMANA</t>
  </si>
  <si>
    <t>SERVICIOS RELACIONADOS CON LA SALUD HUMANA N.C.P.</t>
  </si>
  <si>
    <t>SERVICIOS DE SANEAMIENTO Y SIMILARES</t>
  </si>
  <si>
    <t>SERVICIO DE RECOLECCIÓN Y TRANSPORTE DE RESIDUOS CONVENCIONALES (DOMICILIARIOS – ORGÁNICOS E INORGÁNICOS RECICLABLES – GENERADOS POR ACTIVIDAD COMERCIAL O INDUSTRIAL QUE NO DERIVEN DE PROCESOS PRODUCTIVOS)</t>
  </si>
  <si>
    <t>SERVICIO DE RECOLECCIÓN Y TRANSPORTE DE RESIDUOS NO CONVENCIONALES (PATÓGENOS – INDUSTRIALES – PELIGROSOS – RESTOS DE OBRAS Y DEMOLICIONES)</t>
  </si>
  <si>
    <t>SERVICIOS DE DEPURACIÓN DE AGUAS RESIDUALES, ALCANTARILLADO Y CLOACAS</t>
  </si>
  <si>
    <t>SERVICIOS DE SANEAMIENTO N.C.P.</t>
  </si>
  <si>
    <t>ALQUILER DE VIDEO PELÍCULAS Y VIDEO JUEGOS</t>
  </si>
  <si>
    <t>PRODUCCIÓN DE PELÍCULAS CINEMATOGRÁFICAS Y DE TELEVISIÓN</t>
  </si>
  <si>
    <t>DISTRIBUCIÓN Y ALQUILER DE PELÍCULAS CINEMATOGRÁFICAS</t>
  </si>
  <si>
    <t>LABORATORIOS CINEMATOGRÁFICOS</t>
  </si>
  <si>
    <t>CINES. EXHIBICIÓN DE PELÍCULAS CINEMATOGRÁFICAS (EXCEPTO CONDICIONADAS)</t>
  </si>
  <si>
    <t>CINEMATÓGRAFOS, CON MÁS DE DOS SALAS DE EXHIBICIÓN</t>
  </si>
  <si>
    <t>DESPACHANTE DE ADUANA Y BALANCEADORES</t>
  </si>
  <si>
    <t>TEATRO. ESPECTÁCULOS TEATRALES Y MUSICALES</t>
  </si>
  <si>
    <t>AUTORES COMPOSITORES Y ARTISTAS</t>
  </si>
  <si>
    <t>SERVICIOS RELACIONADOS CON ESPECTÁCULOS TEATRALES – POR HONORARIOS Y COMISIONES</t>
  </si>
  <si>
    <t>SERVICIOS DE DIVERSIÓN, ESPARCIMIENTO, CULTURAL Y DEPORTIVOS</t>
  </si>
  <si>
    <t xml:space="preserve">FERIAS Y EXPOSICIONES PERMANENTES </t>
  </si>
  <si>
    <t>CYBER CAFÉ</t>
  </si>
  <si>
    <t>SERVICIOS DE ESPARCIMIENTO RELACIONADOS CON JUEGOS DE AZAR Y APUESTAS</t>
  </si>
  <si>
    <t>SERVICIO DE ESPARCIMIENTO RELACIONADOS CON JUEGOS DE AZAR Y APUESTAS DENOMINADOS “SLOTS” O SIMILARES</t>
  </si>
  <si>
    <t>CONFITERIAS BAILABLES-DISCOTECAS</t>
  </si>
  <si>
    <t>14,00‰</t>
  </si>
  <si>
    <t>BAR DISCOPUBS</t>
  </si>
  <si>
    <t>JARDÍN ZOOLÓGICO</t>
  </si>
  <si>
    <t>SERVICIOS DE DIVERSIÓN Y ESPARCIMIENTO N.C.P.</t>
  </si>
  <si>
    <t xml:space="preserve">JUEGOS MECÁNICOS, CON CAPACIDAD MAYOR A 2 PERSONAS </t>
  </si>
  <si>
    <t>CENTROS DE ENTRETENIMIENTO FAMILIAR, ENTENDIENDO POR TALES AQUELLOS ESTABLECIMIENTOS CON JUEGOS DE PARQUE, MECÁNICOS, ELECTRÓNICOS O SIMILARES QUE POSEAN MENOS DEL TREINTA POR CIENTO (30%) DE LOS MISMOS EN CALIDAD DE VIDEOS JUEGOS</t>
  </si>
  <si>
    <t>PISTA DE BAILE</t>
  </si>
  <si>
    <t>PEÑA</t>
  </si>
  <si>
    <t>ESPACIOS CULTURALES-EDUCATIVOS</t>
  </si>
  <si>
    <t>ESPECTACULOS MASIVOS EN LUGARES PUBLICOS Y/O PRIVADOS AL AIRE LIBRE</t>
  </si>
  <si>
    <t>CLUB SOCIAL Y DEPORTIVO</t>
  </si>
  <si>
    <t>SERVICIO DE PRÁCTICAS DEPORTIVAS. CANCHAS DE PADDLE Y TENIS</t>
  </si>
  <si>
    <t>SERVICIO DE PRÁCTICAS DEPORTIVAS. CANCHAS DE FÚTBOL</t>
  </si>
  <si>
    <t>SERVICIO DE PRÁCTICAS DEPORTIVAS. CANCHAS DE GOLF</t>
  </si>
  <si>
    <t>SERVICIO DE PRÁCTICAS DEPORTIVAS. POLÍGONOS DE TIRO</t>
  </si>
  <si>
    <t>SERVICIO DE PRÁCTICA DEPORTIVA N.C.P.</t>
  </si>
  <si>
    <t>NATATORIOS</t>
  </si>
  <si>
    <t>GIMNASIOS</t>
  </si>
  <si>
    <t>PRODUCCIÓN DE ESPECTÁCULOS DEPORTIVOS</t>
  </si>
  <si>
    <t>JUEGO DE POOL, MINIPOOL Y OTROS JUEGOS DE MESA Y POR CADA MESA</t>
  </si>
  <si>
    <t>CANCHA DE BOWLING Y MINIGOLF, POR CADA UNA</t>
  </si>
  <si>
    <t>SALÓN DE JUEGOS INFANTILES</t>
  </si>
  <si>
    <t>NEGOCIOS CON JUEGOS ELECTRÓNICOS, MECÁNICOS O SIMILARES POR LOCAL HABILITADO, CONFORME A LAS SIGUIENTES ESCALAS Y MÍNIMOS:</t>
  </si>
  <si>
    <t>HASTA 5 JUEGOS</t>
  </si>
  <si>
    <t>DE 6 A 10 JUEGOS</t>
  </si>
  <si>
    <t>DE 11 A 20 JUEGOS</t>
  </si>
  <si>
    <t>DE 21 A 33 JUEGOS</t>
  </si>
  <si>
    <t xml:space="preserve">MÁS DE 33 JUEGOS; </t>
  </si>
  <si>
    <t>SALA DE ENTRETENIMIENTO</t>
  </si>
  <si>
    <t>SERVICIO DE DIVERSIÓN. ALQUILER DE BOTES, KAYAKS, BICICLETAS PARA EL AGUA</t>
  </si>
  <si>
    <t>SERVICIO DE LAVANDERÍA, ESTABLECIMIENTOS DE LIMPIEZA Y TEÑIDO</t>
  </si>
  <si>
    <t>TINTORERÍA</t>
  </si>
  <si>
    <t xml:space="preserve">LAVANDERÍA AUTOMÁTICA. ALQUILER DE MÁQUINAS LAVADORAS Y SECADORAS DE ROPA EN GENERAL </t>
  </si>
  <si>
    <t>SERVICIOS PERSONALES N.C.P.</t>
  </si>
  <si>
    <t>SERVICIOS PRESTADOS AL PÚBLICO N.C.P.</t>
  </si>
  <si>
    <t>SERVICIOS PRESTADOS AL PÚBLICO POR PROFESIONALES B</t>
  </si>
  <si>
    <t>SERVICIOS DE GUARDERÍA DE ANIMALES (EXCEPTO CABALLERIZAS Y STUDS)</t>
  </si>
  <si>
    <t>PELUQUERÍA CANINA</t>
  </si>
  <si>
    <t>SERVICIOS PROFESIONALES RELACIONADOS CON LA AGRONOMÍA (SOCIEDAD DE PROFESIONALES)</t>
  </si>
  <si>
    <t>SERVICIOS MÉDICOS PARA ANIMALES</t>
  </si>
  <si>
    <t>CÁMARAS FRIGORÍFICAS Y LUGARES DESTINADOS A LA CONSERVACIÓN DE PIELES</t>
  </si>
  <si>
    <t>REMATADORAS Y SOCIEDADES DEDICADAS AL REMATE QUE NO SEAN REMATES-FERIAS, EXCEPTO DE ARTE</t>
  </si>
  <si>
    <t>SALÓN DE BELLEZA</t>
  </si>
  <si>
    <t>COSMETOLOGÍA</t>
  </si>
  <si>
    <t>MANICURA</t>
  </si>
  <si>
    <t>PEDICURA</t>
  </si>
  <si>
    <t>DEPILACIÓN</t>
  </si>
  <si>
    <t>EMPRESA DE POMPAS FÚNEBRES (COCHERÍA SERVICIOS FÚNEBRES)</t>
  </si>
  <si>
    <t>EMPRESA DE POMPAS FÚNEBRES (SERVICIOS POR ABONO)</t>
  </si>
  <si>
    <t>SALAS VELATORIAS</t>
  </si>
  <si>
    <t>INSTITUTO DE HIGIENE Y ESTÉTICA CORPORAL</t>
  </si>
  <si>
    <t>SERVICIOS DE AGENCIAS DE MATRIMONIO</t>
  </si>
  <si>
    <t>SERVICIOS DE GESTORÍA DEL AUTOMOTOR</t>
  </si>
  <si>
    <t>DISTRIBUCIÓN DE GACETILLAS</t>
  </si>
  <si>
    <t>SERVICIOS PERSONALES DIVERSOS N.C.P.</t>
  </si>
  <si>
    <t>CAMA SOLAR</t>
  </si>
  <si>
    <t>OTRAS ACTIVIDADES</t>
  </si>
  <si>
    <t>OTRAS ACTIVIDADES N.C.P.</t>
  </si>
  <si>
    <r>
      <t>TRANSPORTE DE VALORES, DOCUMENTACIÓN Y SIMILARES.</t>
    </r>
    <r>
      <rPr>
        <b/>
        <sz val="10"/>
        <color rgb="FF000000"/>
        <rFont val="Times New Roman"/>
        <family val="1"/>
      </rPr>
      <t> </t>
    </r>
  </si>
  <si>
    <t>EXTRACCIÓN DE  0*/ SAL EN SALINAS Y DE ROCA.</t>
  </si>
  <si>
    <t>DESCRIPCION</t>
  </si>
  <si>
    <t>Nº CODIGO</t>
  </si>
  <si>
    <t>ALICUOTA</t>
  </si>
  <si>
    <t>MINIMO-14</t>
  </si>
  <si>
    <t>MINIMO-15</t>
  </si>
  <si>
    <t>011111</t>
  </si>
  <si>
    <t>011221</t>
  </si>
  <si>
    <t>011229</t>
  </si>
  <si>
    <t>011241</t>
  </si>
  <si>
    <t>011242</t>
  </si>
  <si>
    <t>011251</t>
  </si>
  <si>
    <t>011252</t>
  </si>
  <si>
    <t>011311</t>
  </si>
  <si>
    <t>011319</t>
  </si>
  <si>
    <t>011411</t>
  </si>
  <si>
    <t>011419</t>
  </si>
  <si>
    <t>011421</t>
  </si>
  <si>
    <t>011429</t>
  </si>
  <si>
    <t>011511</t>
  </si>
  <si>
    <t>011512</t>
  </si>
  <si>
    <t>011513</t>
  </si>
  <si>
    <t>011519</t>
  </si>
  <si>
    <t>012111</t>
  </si>
  <si>
    <t>012211</t>
  </si>
  <si>
    <t>012212</t>
  </si>
  <si>
    <t>012241</t>
  </si>
  <si>
    <t>012242</t>
  </si>
  <si>
    <t>012243</t>
  </si>
  <si>
    <t>011210</t>
  </si>
  <si>
    <t>011230</t>
  </si>
  <si>
    <t>011320</t>
  </si>
  <si>
    <t>011330</t>
  </si>
  <si>
    <t>011340</t>
  </si>
  <si>
    <t>011390</t>
  </si>
  <si>
    <t>011430</t>
  </si>
  <si>
    <t>011440</t>
  </si>
  <si>
    <t>011450</t>
  </si>
  <si>
    <t>011460</t>
  </si>
  <si>
    <t>011490</t>
  </si>
  <si>
    <t>011520</t>
  </si>
  <si>
    <t>011530</t>
  </si>
  <si>
    <t>012220</t>
  </si>
  <si>
    <t>012230</t>
  </si>
  <si>
    <t>012290</t>
  </si>
  <si>
    <t>014190</t>
  </si>
  <si>
    <t>014210</t>
  </si>
  <si>
    <t>014220</t>
  </si>
  <si>
    <t>020130</t>
  </si>
  <si>
    <t>020310</t>
  </si>
  <si>
    <t>CLASIFICADOS EN OTRA PARTE.</t>
  </si>
  <si>
    <t xml:space="preserve">EXPLOTACIÓN DE CANTERAS Y EXTRACCIÓN DE MINERALES NO METÁLICOS NO </t>
  </si>
  <si>
    <t>523999.9</t>
  </si>
  <si>
    <t>523999.10</t>
  </si>
  <si>
    <t>18,00‰</t>
  </si>
  <si>
    <t>INDUSTRIA DEL CUERO, PRODUCTOS Y SUCEDÁNEOS DE CUERO Y PIELES</t>
  </si>
  <si>
    <t xml:space="preserve"> (EXCEPTO CALZADOS Y PRENDAS DE VESTIR)</t>
  </si>
  <si>
    <t>AGRICULTURA</t>
  </si>
  <si>
    <t>GENERACIÓN DE ENERGÍA TÉRMICA CONVENCIONAL. (INCLUYE LA PRODUCCIÓN DE ENERGÍA ELÉCTRICA MEDIANTE MÁQUINAS TURBO-GAS, TURBO VAPOR, CICLO COMBINADO Y TURBO DIESEL). MINIMO ESTABLECIDO POR CADA 10.000 KW.</t>
  </si>
  <si>
    <t>GENERACIÓN DE ENERGÍA TÉRMICA NUCLEAR. (INCLUYE LA PRODUCCIÓN DE ENERGÍA ELÉCTRICA MEDIANTE COMBUSTIBLE NUCLEAR). MINIMO ESTABLECIDO POR CADA 10.000 KW.</t>
  </si>
  <si>
    <t>GENERACIÓN DE ENERGÍA HIDRÁULICA. (INCLUYE LA PRODUCCIÓN DE ENERGÍA ELÉCTRICA MEDIANTE CENTRALES DE BOMBEO). MINIMO ESTABLECIDO POR CADA 10.000 KW.</t>
  </si>
  <si>
    <t>GENERACIÓN DE ENERGÍA N.C.P. (INCLUYE LA PRODUCCIÓN DE ENERGÍA ELÉCTRICA MEDIANTE FUENTES DE ENERGÍA SOLAR, BIOMASA, EÓLICA, GEOTÉRMICA, MAREOMOTRIZ). MINIMO ESTABLECIDO POR CADA 10.000 KW.</t>
  </si>
  <si>
    <t>TRANSPORTE DE ENERGÍA ELÉCTRICA. MINIMO ESTABLECIDO POR CADA 10.000 KW.</t>
  </si>
  <si>
    <t>DISTRIBUCIÓN DE ENERGÍA ELÉCTRICA. MINIMO ESTABLECIDO POR CADA 10.000 KW.</t>
  </si>
  <si>
    <t>662021</t>
  </si>
  <si>
    <t>AGENTES DE SEGURO Y SERVICIOS RELACIONADOS CON SEGUROS</t>
  </si>
  <si>
    <t>701090.4</t>
  </si>
  <si>
    <t>LOTEOS</t>
  </si>
  <si>
    <t>5,00‰</t>
  </si>
  <si>
    <t>ANEXO III</t>
  </si>
  <si>
    <t>MINIMO-2016´</t>
  </si>
  <si>
    <t xml:space="preserve">INDUSTRIA DE LA MADERA Y PCTOS. DE MADERA, CORCHO, PAJA Y MATERIALES </t>
  </si>
  <si>
    <t>TRENZABLES, EXCEPTO MUEBLES</t>
  </si>
  <si>
    <t xml:space="preserve">FABRICACIÓN Y REPARACIÓN DE MAQUINARIAS, APARATOS, ACCESORIOS </t>
  </si>
  <si>
    <t>Y SUMINISTROS ELÉCTRICOS Y ELECTRÓNICOS</t>
  </si>
  <si>
    <t>FABRICACIÓN Y REPARACIÓN DE EQUIPO PROFESIONAL Y CIENTÍFICO, E INSTRUMENTOS DE MEDIDA Y CONTROL N.C.P</t>
  </si>
  <si>
    <t>36,00‰</t>
  </si>
  <si>
    <t>46,00‰</t>
  </si>
  <si>
    <t>11,00‰</t>
  </si>
  <si>
    <t>921986.1</t>
  </si>
  <si>
    <t>PUBS</t>
  </si>
  <si>
    <t>16,00‰</t>
  </si>
  <si>
    <t>851120.3</t>
  </si>
  <si>
    <t>FABRICACIÓN CALZADO EXCEPTO DE CAUCHO VULCANIZADO, MOLDEADOS O PLÁSTICO</t>
  </si>
  <si>
    <t>INDUSTRIAS BÁSICAS METALES NO FERROSOS INCLUYENDO METALES PRECIOSOS</t>
  </si>
  <si>
    <t xml:space="preserve">FABRICACIÓN Y REPARAC. DE EQUIPOS PROFESIONALES Y CIENTÍFICOS, </t>
  </si>
  <si>
    <t>INSTRUMENTOS DE  MEDIDA Y CONTROL, FOTOGRÁFICOS Y DE ÓPTICA, RELOJES</t>
  </si>
  <si>
    <t>FABRICACIÓN MUEBLES Y ACCESORIOS DE MADERA,CAÑA,MIMBRE Y OTROS,</t>
  </si>
  <si>
    <t>EXCEPTO METÁLICOS O DE PLÁSTICO</t>
  </si>
  <si>
    <t xml:space="preserve">CONSTRUCCIÓN PESADA Y EDIFICIOS,REFORMA,REPARAC. Y </t>
  </si>
  <si>
    <t>PRESTACIONES RELACIONADAS CON LA CONSTR.</t>
  </si>
  <si>
    <t xml:space="preserve">FRACCIONAMIENTO, VENTA POR MAYOR DE MATERIAS PRIMAS AGROPECUARIAS, </t>
  </si>
  <si>
    <t>ANIMALES VIVOS Y ALIMENTOS (EXCEPTO COMISIÓN O CONSIGNAC.)</t>
  </si>
  <si>
    <t xml:space="preserve">DEPÓSITO Y VENTA POR MAYOR DE TEXTILES, PRENDAS DE VESTIR Y CUERO; </t>
  </si>
  <si>
    <t>ACCESORIOS DE VESTIR</t>
  </si>
  <si>
    <t xml:space="preserve">DEPÓSITO, DISTRIBUCIÓN Y VENTA POR MAYOR DE SUSTANCIAS QUÍMICAS </t>
  </si>
  <si>
    <t>INDUSTRIALES; PRODUCTOS QUÍMICOS Y DERIVADOS DEL PETRÓLEO</t>
  </si>
  <si>
    <t xml:space="preserve">VENTA AL POR MENOR EN CIGARRERÍAS. AGENCIAS DE LOTERÍA Y </t>
  </si>
  <si>
    <t>VENTA POR MENOR DE TEXTILES, PRENDAS Y ACCES. DE VESTIR, Y PCTOS DE CUERO</t>
  </si>
  <si>
    <t>SERVICIO DE ALOJAMIENTO, COMIDA Y HOSPEDAJE EN HOTELES Y OTROS</t>
  </si>
  <si>
    <t xml:space="preserve"> LUGARES DE ALOJAMIENTO</t>
  </si>
  <si>
    <t xml:space="preserve">EXPENDIO DE COMIDAS Y BEBIDAS EN RESTAURANTE, CAFÉS Y CON </t>
  </si>
  <si>
    <t>SERVICIO DE MESA Y MOSTRADOR</t>
  </si>
  <si>
    <t xml:space="preserve">SERVICIOS RELACIONADOS CON PELÍCULAS,RADIO,TV,OBRAS Y </t>
  </si>
  <si>
    <t>ESPECTÁC. TEATRALES Y MUSICALES</t>
  </si>
  <si>
    <t>MINIMO MENSUAL 2017´</t>
  </si>
  <si>
    <t>INSTALACIÓN DE ASCENSORES, MONTACARGAS, ESCALERAS MECÁNICAS</t>
  </si>
  <si>
    <t>INSTALACIÓN Y MANTENIMIENTO DE GAS, AGUA, SANITARIOS Y EQUIPOS DE CLIMATIZACIÓN, CON SUS ARTEFACTOS CONEXOS</t>
  </si>
  <si>
    <t>930202.6</t>
  </si>
  <si>
    <t>930991</t>
  </si>
  <si>
    <t>930992</t>
  </si>
  <si>
    <t>930993</t>
  </si>
  <si>
    <t>930994</t>
  </si>
  <si>
    <t>SERVICIO DE MENSAJERÍA Y CADETERÍA.</t>
  </si>
  <si>
    <t>930995</t>
  </si>
  <si>
    <t>SERVICIO DE GRABADO DE AUTOPARTES DEL AUTOMOTOR</t>
  </si>
  <si>
    <t>SUPERMERCADOS CON UN MONTO DE VENTAS ANUALES HASTA $60.000.000,00.-</t>
  </si>
  <si>
    <t>SUPERMERCADOS CON UN MONTO DE VENTAS ANUALES MAYOR A $60.000.000,00.-</t>
  </si>
  <si>
    <t>521140.1</t>
  </si>
  <si>
    <t>521140.2</t>
  </si>
  <si>
    <t xml:space="preserve">HOTEL CATEGORÍA 5 ESTRELLAS. </t>
  </si>
  <si>
    <t xml:space="preserve">HOTEL CATEGORÍA 3 ESTRELLAS. </t>
  </si>
  <si>
    <t>CASAS Y DEPARTAMENTOS DE ALQUILER TEMPORARIO. POR UNIDAD, DEPARTAMENTO Y CASA.</t>
  </si>
  <si>
    <t>551229.5</t>
  </si>
  <si>
    <t>CAMA Y DESAYUNO - B&amp;B</t>
  </si>
  <si>
    <t xml:space="preserve"> $ 856.90 </t>
  </si>
  <si>
    <t>521150</t>
  </si>
  <si>
    <t>16 BAJADAS DE BANDERAS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</si>
</sst>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 &quot;\ * #,##0.00_ ;_ &quot; &quot;\ * \-#,##0.00_ ;_ &quot; &quot;\ * &quot;-&quot;??_ ;_ @_ "/>
    <numFmt numFmtId="43" formatCode="_ * #,##0.00_ ;_ * \-#,##0.00_ ;_ * &quot;-&quot;??_ ;_ @_ "/>
    <numFmt numFmtId="164" formatCode="_ [$$-2C0A]&quot; &quot;* #,##0.00_ ;_ [$$-2C0A]&quot; &quot;* \-#,##0.00_ ;_ [$$-2C0A]&quot; &quot;* &quot;-&quot;??_ ;_ @_ "/>
    <numFmt numFmtId="165" formatCode="0.0000"/>
    <numFmt numFmtId="166" formatCode="_ &quot; &quot;&quot; &quot;* #,##0.00_ ;_ &quot; &quot;&quot; &quot;* \-#,##0.00_ ;_ &quot; &quot;&quot; &quot;* &quot;-&quot;??_ ;_ @_ "/>
  </numFmts>
  <fonts count="23" x14ac:knownFonts="1">
    <font>
      <sz val="11"/>
      <color theme="1"/>
      <name val="Calibri"/>
      <family val="2"/>
      <scheme val="minor"/>
    </font>
    <font>
      <sz val="11"/>
      <color theme="1"/>
      <name val="Calibri"/>
      <family val="2"/>
      <scheme val="minor"/>
    </font>
    <font>
      <b/>
      <sz val="12"/>
      <name val="Courier New"/>
      <family val="3"/>
    </font>
    <font>
      <sz val="12"/>
      <name val="Courier New"/>
      <family val="3"/>
    </font>
    <font>
      <sz val="12"/>
      <color theme="1"/>
      <name val="Courier New"/>
      <family val="3"/>
    </font>
    <font>
      <b/>
      <sz val="12"/>
      <color theme="1"/>
      <name val="Courier New"/>
      <family val="3"/>
    </font>
    <font>
      <i/>
      <sz val="12"/>
      <color theme="1"/>
      <name val="Courier New"/>
      <family val="3"/>
    </font>
    <font>
      <b/>
      <sz val="8"/>
      <color rgb="FF000000"/>
      <name val="Times New Roman"/>
      <family val="1"/>
    </font>
    <font>
      <b/>
      <sz val="10"/>
      <color rgb="FF000000"/>
      <name val="Times New Roman"/>
      <family val="1"/>
    </font>
    <font>
      <sz val="10"/>
      <color theme="1"/>
      <name val="Calibri"/>
      <family val="2"/>
      <scheme val="minor"/>
    </font>
    <font>
      <b/>
      <sz val="10"/>
      <name val="Courier New"/>
      <family val="3"/>
    </font>
    <font>
      <sz val="10"/>
      <name val="Courier New"/>
      <family val="3"/>
    </font>
    <font>
      <sz val="10"/>
      <color theme="1"/>
      <name val="Courier New"/>
      <family val="3"/>
    </font>
    <font>
      <i/>
      <sz val="10"/>
      <color theme="1"/>
      <name val="Courier New"/>
      <family val="3"/>
    </font>
    <font>
      <b/>
      <i/>
      <sz val="12"/>
      <color theme="1"/>
      <name val="Courier New"/>
      <family val="3"/>
    </font>
    <font>
      <b/>
      <sz val="10"/>
      <color theme="1"/>
      <name val="Courier New"/>
      <family val="3"/>
    </font>
    <font>
      <b/>
      <sz val="11"/>
      <color theme="1"/>
      <name val="Courier New"/>
      <family val="3"/>
    </font>
    <font>
      <b/>
      <sz val="11.5"/>
      <color theme="1"/>
      <name val="Courier New"/>
      <family val="3"/>
    </font>
    <font>
      <b/>
      <sz val="11"/>
      <color theme="1"/>
      <name val="Calibri"/>
      <family val="2"/>
      <scheme val="minor"/>
    </font>
    <font>
      <b/>
      <sz val="11"/>
      <name val="Courier New"/>
      <family val="3"/>
    </font>
    <font>
      <sz val="8"/>
      <color indexed="81"/>
      <name val="Tahoma"/>
      <family val="2"/>
    </font>
    <font>
      <b/>
      <sz val="8"/>
      <color indexed="81"/>
      <name val="Tahoma"/>
      <family val="2"/>
    </font>
    <font>
      <sz val="11"/>
      <color theme="0"/>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s>
  <borders count="18">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thick">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53">
    <xf numFmtId="0" fontId="0" fillId="0" borderId="0" xfId="0"/>
    <xf numFmtId="0" fontId="2" fillId="0" borderId="2" xfId="0" applyFont="1" applyBorder="1" applyAlignment="1">
      <alignment vertical="center"/>
    </xf>
    <xf numFmtId="164" fontId="3" fillId="0" borderId="1" xfId="0" applyNumberFormat="1" applyFont="1" applyBorder="1" applyAlignment="1">
      <alignment vertical="center" wrapText="1"/>
    </xf>
    <xf numFmtId="0" fontId="3"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left" vertical="center"/>
    </xf>
    <xf numFmtId="164" fontId="4" fillId="0" borderId="5" xfId="0" applyNumberFormat="1" applyFont="1" applyBorder="1" applyAlignment="1">
      <alignment horizontal="justify" vertical="center" wrapText="1"/>
    </xf>
    <xf numFmtId="0" fontId="14" fillId="0" borderId="2" xfId="0" applyFont="1" applyBorder="1" applyAlignment="1">
      <alignment vertical="center"/>
    </xf>
    <xf numFmtId="0" fontId="4" fillId="0" borderId="2" xfId="0" applyFont="1" applyBorder="1" applyAlignment="1">
      <alignment vertical="center"/>
    </xf>
    <xf numFmtId="0" fontId="5" fillId="0" borderId="3" xfId="0" applyFont="1" applyBorder="1" applyAlignment="1">
      <alignment vertical="center"/>
    </xf>
    <xf numFmtId="164" fontId="3" fillId="0" borderId="11" xfId="1" applyNumberFormat="1" applyFont="1" applyBorder="1" applyAlignment="1">
      <alignment vertical="center" wrapText="1"/>
    </xf>
    <xf numFmtId="164" fontId="3" fillId="0" borderId="10" xfId="1" applyNumberFormat="1" applyFont="1" applyBorder="1" applyAlignment="1">
      <alignment vertical="center" wrapText="1"/>
    </xf>
    <xf numFmtId="164" fontId="3" fillId="0" borderId="11" xfId="0" applyNumberFormat="1" applyFont="1" applyBorder="1" applyAlignment="1">
      <alignment vertical="center" wrapText="1"/>
    </xf>
    <xf numFmtId="44" fontId="3" fillId="0" borderId="11" xfId="2" applyFont="1" applyBorder="1" applyAlignment="1">
      <alignment vertical="center" wrapText="1"/>
    </xf>
    <xf numFmtId="164" fontId="3" fillId="0" borderId="11" xfId="2" applyNumberFormat="1" applyFont="1" applyBorder="1" applyAlignment="1">
      <alignment vertical="center" wrapText="1"/>
    </xf>
    <xf numFmtId="164" fontId="3" fillId="0" borderId="10" xfId="0" applyNumberFormat="1" applyFont="1" applyBorder="1" applyAlignment="1">
      <alignment vertical="center" wrapText="1"/>
    </xf>
    <xf numFmtId="164" fontId="3" fillId="0" borderId="8" xfId="0" applyNumberFormat="1" applyFont="1" applyBorder="1" applyAlignment="1">
      <alignment vertical="center" wrapText="1"/>
    </xf>
    <xf numFmtId="164" fontId="4" fillId="0" borderId="11" xfId="0" applyNumberFormat="1" applyFont="1" applyBorder="1" applyAlignment="1">
      <alignment vertical="center" wrapText="1"/>
    </xf>
    <xf numFmtId="164" fontId="4" fillId="0" borderId="11" xfId="2" applyNumberFormat="1" applyFont="1" applyBorder="1" applyAlignment="1">
      <alignment vertical="center" wrapText="1"/>
    </xf>
    <xf numFmtId="164" fontId="6" fillId="0" borderId="11" xfId="0" applyNumberFormat="1" applyFont="1" applyBorder="1" applyAlignment="1">
      <alignment vertical="center" wrapText="1"/>
    </xf>
    <xf numFmtId="164" fontId="4" fillId="0" borderId="8" xfId="0" applyNumberFormat="1" applyFont="1" applyBorder="1" applyAlignment="1">
      <alignment vertical="center" wrapText="1"/>
    </xf>
    <xf numFmtId="49" fontId="0" fillId="0" borderId="0" xfId="0" applyNumberFormat="1"/>
    <xf numFmtId="0" fontId="3" fillId="0" borderId="3" xfId="0" applyFont="1" applyBorder="1" applyAlignment="1">
      <alignment vertical="center"/>
    </xf>
    <xf numFmtId="165" fontId="0" fillId="0" borderId="0" xfId="0" applyNumberFormat="1"/>
    <xf numFmtId="0" fontId="2" fillId="0" borderId="3" xfId="0" applyFont="1" applyBorder="1" applyAlignment="1">
      <alignment horizontal="left" vertical="top"/>
    </xf>
    <xf numFmtId="0" fontId="2" fillId="0" borderId="12" xfId="0" applyFont="1" applyBorder="1" applyAlignment="1">
      <alignment horizontal="left" vertical="top"/>
    </xf>
    <xf numFmtId="0" fontId="2" fillId="0" borderId="2" xfId="0" applyFont="1" applyBorder="1" applyAlignment="1">
      <alignment vertical="center" wrapText="1"/>
    </xf>
    <xf numFmtId="0" fontId="2" fillId="0" borderId="2" xfId="0" applyFont="1" applyBorder="1" applyAlignment="1">
      <alignment horizontal="left" vertical="center"/>
    </xf>
    <xf numFmtId="0" fontId="5" fillId="0" borderId="2" xfId="0" applyFont="1" applyBorder="1" applyAlignment="1">
      <alignment vertical="center" wrapText="1"/>
    </xf>
    <xf numFmtId="164" fontId="4" fillId="0" borderId="10" xfId="0" applyNumberFormat="1" applyFont="1" applyBorder="1" applyAlignment="1">
      <alignment vertical="center" wrapText="1"/>
    </xf>
    <xf numFmtId="0" fontId="5" fillId="0" borderId="12" xfId="0" applyFont="1" applyBorder="1" applyAlignment="1">
      <alignment vertical="center"/>
    </xf>
    <xf numFmtId="0" fontId="5" fillId="0" borderId="12" xfId="0" applyFont="1" applyBorder="1" applyAlignment="1">
      <alignment horizontal="left" vertical="center"/>
    </xf>
    <xf numFmtId="164" fontId="6" fillId="0" borderId="10" xfId="0" applyNumberFormat="1" applyFont="1" applyBorder="1" applyAlignment="1">
      <alignment vertical="center" wrapText="1"/>
    </xf>
    <xf numFmtId="0" fontId="2" fillId="2" borderId="7" xfId="0" applyFont="1" applyFill="1" applyBorder="1" applyAlignment="1">
      <alignment horizontal="center" vertical="center" wrapText="1"/>
    </xf>
    <xf numFmtId="0" fontId="2" fillId="2" borderId="2" xfId="0" applyFont="1" applyFill="1" applyBorder="1" applyAlignment="1">
      <alignment horizontal="left" vertical="top"/>
    </xf>
    <xf numFmtId="0" fontId="2" fillId="2" borderId="2" xfId="0" applyFont="1" applyFill="1" applyBorder="1" applyAlignment="1">
      <alignment vertical="top"/>
    </xf>
    <xf numFmtId="0" fontId="2" fillId="2" borderId="2"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2" fillId="2" borderId="12" xfId="0" applyFont="1" applyFill="1" applyBorder="1" applyAlignment="1">
      <alignment horizontal="left" vertical="top"/>
    </xf>
    <xf numFmtId="0" fontId="2" fillId="2" borderId="3" xfId="0" applyFont="1" applyFill="1" applyBorder="1" applyAlignment="1">
      <alignment horizontal="left" vertical="top"/>
    </xf>
    <xf numFmtId="0" fontId="2" fillId="2" borderId="2" xfId="0" applyFont="1" applyFill="1" applyBorder="1" applyAlignment="1">
      <alignment horizontal="left" vertical="center"/>
    </xf>
    <xf numFmtId="0" fontId="2" fillId="2" borderId="2" xfId="0" applyFont="1" applyFill="1" applyBorder="1" applyAlignment="1">
      <alignment vertical="center" wrapText="1"/>
    </xf>
    <xf numFmtId="0" fontId="5" fillId="2" borderId="2" xfId="0" applyFont="1" applyFill="1" applyBorder="1" applyAlignment="1">
      <alignment horizontal="left" vertical="center"/>
    </xf>
    <xf numFmtId="0" fontId="5" fillId="2" borderId="12" xfId="0" applyFont="1" applyFill="1" applyBorder="1" applyAlignment="1">
      <alignment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12" xfId="0" applyFont="1" applyFill="1" applyBorder="1" applyAlignment="1">
      <alignment horizontal="left" vertical="center"/>
    </xf>
    <xf numFmtId="0" fontId="5" fillId="2" borderId="2" xfId="0" applyFont="1" applyFill="1" applyBorder="1" applyAlignment="1">
      <alignment vertical="center" wrapText="1"/>
    </xf>
    <xf numFmtId="0" fontId="14" fillId="2" borderId="2" xfId="0" applyFont="1" applyFill="1" applyBorder="1" applyAlignment="1">
      <alignment vertical="center"/>
    </xf>
    <xf numFmtId="164" fontId="4" fillId="3" borderId="11" xfId="0" applyNumberFormat="1" applyFont="1" applyFill="1" applyBorder="1" applyAlignment="1">
      <alignment vertical="center" wrapText="1"/>
    </xf>
    <xf numFmtId="164" fontId="4" fillId="3" borderId="11" xfId="2" applyNumberFormat="1" applyFont="1" applyFill="1" applyBorder="1" applyAlignment="1">
      <alignment vertical="center" wrapText="1"/>
    </xf>
    <xf numFmtId="164" fontId="3" fillId="3" borderId="11" xfId="0" applyNumberFormat="1" applyFont="1" applyFill="1" applyBorder="1" applyAlignment="1">
      <alignment vertical="center" wrapText="1"/>
    </xf>
    <xf numFmtId="166" fontId="0" fillId="0" borderId="0" xfId="0" applyNumberFormat="1"/>
    <xf numFmtId="0" fontId="12" fillId="0" borderId="4" xfId="0" applyFont="1" applyBorder="1" applyAlignment="1">
      <alignment horizontal="left" vertical="center" wrapText="1"/>
    </xf>
    <xf numFmtId="164" fontId="6" fillId="4" borderId="11" xfId="0" applyNumberFormat="1" applyFont="1" applyFill="1" applyBorder="1" applyAlignment="1">
      <alignment vertical="center" wrapText="1"/>
    </xf>
    <xf numFmtId="164" fontId="4" fillId="4" borderId="11" xfId="0" applyNumberFormat="1" applyFont="1" applyFill="1" applyBorder="1" applyAlignment="1">
      <alignment vertical="center" wrapText="1"/>
    </xf>
    <xf numFmtId="164" fontId="3" fillId="4" borderId="11" xfId="0" applyNumberFormat="1" applyFont="1" applyFill="1" applyBorder="1" applyAlignment="1">
      <alignment vertical="center" wrapText="1"/>
    </xf>
    <xf numFmtId="0" fontId="4" fillId="4" borderId="5" xfId="0" applyFont="1" applyFill="1" applyBorder="1" applyAlignment="1">
      <alignment horizontal="center" vertical="center" wrapText="1"/>
    </xf>
    <xf numFmtId="0" fontId="2" fillId="5" borderId="2" xfId="0" applyFont="1" applyFill="1" applyBorder="1" applyAlignment="1">
      <alignment vertical="center"/>
    </xf>
    <xf numFmtId="0" fontId="2" fillId="2" borderId="11" xfId="0" applyFont="1" applyFill="1" applyBorder="1" applyAlignment="1">
      <alignment vertical="center"/>
    </xf>
    <xf numFmtId="0" fontId="2" fillId="2" borderId="17" xfId="0" applyFont="1" applyFill="1" applyBorder="1" applyAlignment="1">
      <alignment horizontal="left" vertical="top"/>
    </xf>
    <xf numFmtId="0" fontId="2" fillId="2" borderId="5" xfId="0" applyFont="1" applyFill="1" applyBorder="1" applyAlignment="1">
      <alignment horizontal="left" vertical="top"/>
    </xf>
    <xf numFmtId="0" fontId="2" fillId="2" borderId="16" xfId="0" applyFont="1" applyFill="1" applyBorder="1" applyAlignment="1">
      <alignment horizontal="left" vertical="top"/>
    </xf>
    <xf numFmtId="0" fontId="2" fillId="2" borderId="13" xfId="0" applyFont="1" applyFill="1" applyBorder="1" applyAlignment="1">
      <alignment horizontal="left" vertical="top"/>
    </xf>
    <xf numFmtId="0" fontId="0" fillId="4" borderId="0" xfId="0" applyFill="1"/>
    <xf numFmtId="49" fontId="3" fillId="4" borderId="11" xfId="0" applyNumberFormat="1" applyFont="1" applyFill="1" applyBorder="1" applyAlignment="1">
      <alignment horizontal="justify" vertical="center" wrapText="1"/>
    </xf>
    <xf numFmtId="49" fontId="3" fillId="4" borderId="11" xfId="0" applyNumberFormat="1" applyFont="1" applyFill="1" applyBorder="1" applyAlignment="1">
      <alignment vertical="center" wrapText="1"/>
    </xf>
    <xf numFmtId="49" fontId="3" fillId="4" borderId="14" xfId="0" applyNumberFormat="1" applyFont="1" applyFill="1" applyBorder="1" applyAlignment="1">
      <alignment horizontal="justify" vertical="center" wrapText="1"/>
    </xf>
    <xf numFmtId="0" fontId="4" fillId="4" borderId="6"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4" fillId="4" borderId="11" xfId="0" applyNumberFormat="1" applyFont="1" applyFill="1" applyBorder="1" applyAlignment="1">
      <alignment horizontal="justify" vertical="center" wrapText="1"/>
    </xf>
    <xf numFmtId="49" fontId="7" fillId="4" borderId="0" xfId="0" applyNumberFormat="1" applyFont="1" applyFill="1" applyAlignment="1">
      <alignment vertical="center"/>
    </xf>
    <xf numFmtId="49" fontId="0" fillId="4" borderId="0" xfId="0" applyNumberFormat="1" applyFill="1"/>
    <xf numFmtId="0" fontId="5" fillId="2" borderId="7" xfId="0" applyFont="1" applyFill="1" applyBorder="1" applyAlignment="1">
      <alignment horizontal="left" vertical="center"/>
    </xf>
    <xf numFmtId="0" fontId="5" fillId="2" borderId="1" xfId="0" applyFont="1" applyFill="1" applyBorder="1" applyAlignment="1">
      <alignment horizontal="left" vertical="center"/>
    </xf>
    <xf numFmtId="49" fontId="5" fillId="2" borderId="7" xfId="0" applyNumberFormat="1" applyFont="1" applyFill="1" applyBorder="1" applyAlignment="1">
      <alignment vertical="center"/>
    </xf>
    <xf numFmtId="49" fontId="16" fillId="2" borderId="7" xfId="0" applyNumberFormat="1" applyFont="1" applyFill="1" applyBorder="1" applyAlignment="1">
      <alignment vertical="center"/>
    </xf>
    <xf numFmtId="0" fontId="2"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2" fillId="2" borderId="11" xfId="0" applyFont="1" applyFill="1" applyBorder="1" applyAlignment="1">
      <alignment horizontal="center" vertical="center" wrapText="1"/>
    </xf>
    <xf numFmtId="49" fontId="2" fillId="2" borderId="7" xfId="0" applyNumberFormat="1" applyFont="1" applyFill="1" applyBorder="1" applyAlignment="1">
      <alignment horizontal="left" vertical="top"/>
    </xf>
    <xf numFmtId="0" fontId="10" fillId="2" borderId="1" xfId="0" applyFont="1" applyFill="1" applyBorder="1" applyAlignment="1">
      <alignment horizontal="left" vertical="top"/>
    </xf>
    <xf numFmtId="49" fontId="2" fillId="2" borderId="7" xfId="0" applyNumberFormat="1" applyFont="1" applyFill="1" applyBorder="1" applyAlignment="1">
      <alignment vertical="top"/>
    </xf>
    <xf numFmtId="164" fontId="3" fillId="4" borderId="11" xfId="1" applyNumberFormat="1" applyFont="1" applyFill="1" applyBorder="1" applyAlignment="1">
      <alignment vertical="center" wrapText="1"/>
    </xf>
    <xf numFmtId="164" fontId="3" fillId="4" borderId="10" xfId="1" applyNumberFormat="1" applyFont="1" applyFill="1" applyBorder="1" applyAlignment="1">
      <alignment vertical="center" wrapText="1"/>
    </xf>
    <xf numFmtId="164" fontId="3" fillId="4" borderId="10" xfId="0" applyNumberFormat="1" applyFont="1" applyFill="1" applyBorder="1" applyAlignment="1">
      <alignment vertical="center" wrapText="1"/>
    </xf>
    <xf numFmtId="164" fontId="3" fillId="4" borderId="11" xfId="2" applyNumberFormat="1" applyFont="1" applyFill="1" applyBorder="1" applyAlignment="1">
      <alignment vertical="center" wrapText="1"/>
    </xf>
    <xf numFmtId="164" fontId="3" fillId="4" borderId="10" xfId="2" applyNumberFormat="1" applyFont="1" applyFill="1" applyBorder="1" applyAlignment="1">
      <alignment vertical="center" wrapText="1"/>
    </xf>
    <xf numFmtId="164" fontId="3" fillId="0" borderId="7" xfId="0" applyNumberFormat="1" applyFont="1" applyBorder="1" applyAlignment="1">
      <alignment vertical="center" wrapText="1"/>
    </xf>
    <xf numFmtId="164" fontId="4" fillId="4" borderId="10" xfId="0" applyNumberFormat="1" applyFont="1" applyFill="1" applyBorder="1" applyAlignment="1">
      <alignment vertical="center" wrapText="1"/>
    </xf>
    <xf numFmtId="164" fontId="4" fillId="4" borderId="8" xfId="0" applyNumberFormat="1" applyFont="1" applyFill="1" applyBorder="1" applyAlignment="1">
      <alignment vertical="center" wrapText="1"/>
    </xf>
    <xf numFmtId="164" fontId="4" fillId="4" borderId="10" xfId="2" applyNumberFormat="1" applyFont="1" applyFill="1" applyBorder="1" applyAlignment="1">
      <alignment vertical="center" wrapText="1"/>
    </xf>
    <xf numFmtId="164" fontId="4" fillId="4" borderId="10" xfId="0" applyNumberFormat="1" applyFont="1" applyFill="1" applyBorder="1" applyAlignment="1">
      <alignment horizontal="justify" vertical="center" wrapText="1"/>
    </xf>
    <xf numFmtId="164" fontId="6" fillId="4" borderId="10" xfId="0" applyNumberFormat="1" applyFont="1" applyFill="1" applyBorder="1" applyAlignment="1">
      <alignmen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9" fillId="4" borderId="0" xfId="0" applyFont="1" applyFill="1" applyAlignment="1">
      <alignment horizontal="left"/>
    </xf>
    <xf numFmtId="49" fontId="3" fillId="4" borderId="10" xfId="0" applyNumberFormat="1" applyFont="1" applyFill="1" applyBorder="1" applyAlignment="1">
      <alignment horizontal="justify" vertical="center" wrapText="1"/>
    </xf>
    <xf numFmtId="0" fontId="11" fillId="4" borderId="5" xfId="0" applyFont="1" applyFill="1" applyBorder="1" applyAlignment="1">
      <alignment horizontal="left" vertical="center" wrapText="1"/>
    </xf>
    <xf numFmtId="49" fontId="2" fillId="2" borderId="7" xfId="0" applyNumberFormat="1" applyFont="1" applyFill="1" applyBorder="1" applyAlignment="1">
      <alignment vertical="center"/>
    </xf>
    <xf numFmtId="0" fontId="10" fillId="2" borderId="1" xfId="0" applyFont="1" applyFill="1" applyBorder="1" applyAlignment="1">
      <alignment horizontal="lef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11" fillId="4" borderId="6" xfId="0" applyFont="1" applyFill="1" applyBorder="1" applyAlignment="1">
      <alignment horizontal="left" vertical="center" wrapText="1"/>
    </xf>
    <xf numFmtId="49" fontId="3" fillId="4" borderId="8" xfId="0" applyNumberFormat="1" applyFont="1" applyFill="1" applyBorder="1" applyAlignment="1">
      <alignment vertical="center" wrapText="1"/>
    </xf>
    <xf numFmtId="0" fontId="11" fillId="4" borderId="13" xfId="0" applyFont="1" applyFill="1" applyBorder="1" applyAlignment="1">
      <alignment horizontal="left" vertical="center" wrapText="1"/>
    </xf>
    <xf numFmtId="49" fontId="19" fillId="2" borderId="17" xfId="0" applyNumberFormat="1" applyFont="1" applyFill="1" applyBorder="1" applyAlignment="1">
      <alignment vertical="center"/>
    </xf>
    <xf numFmtId="0" fontId="3" fillId="2" borderId="5" xfId="0" applyFont="1" applyFill="1" applyBorder="1" applyAlignment="1">
      <alignment horizontal="left" vertical="center"/>
    </xf>
    <xf numFmtId="49" fontId="3" fillId="4" borderId="9" xfId="0" applyNumberFormat="1" applyFont="1" applyFill="1" applyBorder="1" applyAlignment="1">
      <alignment horizontal="justify" vertical="center" wrapText="1"/>
    </xf>
    <xf numFmtId="0" fontId="19" fillId="2" borderId="7" xfId="0" applyFont="1" applyFill="1" applyBorder="1" applyAlignment="1">
      <alignment vertical="center"/>
    </xf>
    <xf numFmtId="0" fontId="2" fillId="2" borderId="1" xfId="0" applyFont="1" applyFill="1" applyBorder="1" applyAlignment="1">
      <alignment horizontal="left" vertical="center" wrapText="1"/>
    </xf>
    <xf numFmtId="49" fontId="4" fillId="4" borderId="10" xfId="0" applyNumberFormat="1" applyFont="1" applyFill="1" applyBorder="1" applyAlignment="1">
      <alignment horizontal="justify" vertical="center" wrapText="1"/>
    </xf>
    <xf numFmtId="0" fontId="12" fillId="4" borderId="5" xfId="0" applyFont="1" applyFill="1" applyBorder="1" applyAlignment="1">
      <alignment horizontal="left" vertical="center" wrapText="1"/>
    </xf>
    <xf numFmtId="49" fontId="4" fillId="4" borderId="9" xfId="0" applyNumberFormat="1" applyFont="1" applyFill="1" applyBorder="1" applyAlignment="1">
      <alignment horizontal="justify" vertical="center" wrapText="1"/>
    </xf>
    <xf numFmtId="0" fontId="12" fillId="4" borderId="6" xfId="0" applyFont="1" applyFill="1" applyBorder="1" applyAlignment="1">
      <alignment horizontal="left" vertical="center" wrapText="1"/>
    </xf>
    <xf numFmtId="49" fontId="4" fillId="4" borderId="8" xfId="0" applyNumberFormat="1" applyFont="1" applyFill="1" applyBorder="1" applyAlignment="1">
      <alignment horizontal="justify" vertical="center" wrapText="1"/>
    </xf>
    <xf numFmtId="0" fontId="12" fillId="4" borderId="13" xfId="0" applyFont="1" applyFill="1" applyBorder="1" applyAlignment="1">
      <alignment horizontal="left" vertical="center" wrapText="1"/>
    </xf>
    <xf numFmtId="0" fontId="16" fillId="2" borderId="7" xfId="0" applyFont="1" applyFill="1" applyBorder="1" applyAlignment="1">
      <alignment vertical="center"/>
    </xf>
    <xf numFmtId="0" fontId="5" fillId="2" borderId="7" xfId="0" applyFont="1" applyFill="1" applyBorder="1" applyAlignment="1">
      <alignment vertical="center"/>
    </xf>
    <xf numFmtId="0" fontId="5" fillId="2" borderId="7" xfId="0" applyFont="1" applyFill="1" applyBorder="1" applyAlignment="1">
      <alignment vertical="center" wrapText="1"/>
    </xf>
    <xf numFmtId="0" fontId="5" fillId="2" borderId="1" xfId="0" applyFont="1" applyFill="1" applyBorder="1" applyAlignment="1">
      <alignment horizontal="left" vertical="center" wrapText="1"/>
    </xf>
    <xf numFmtId="49" fontId="6" fillId="4" borderId="10" xfId="0" applyNumberFormat="1" applyFont="1" applyFill="1" applyBorder="1" applyAlignment="1">
      <alignment horizontal="justify" vertical="center" wrapText="1"/>
    </xf>
    <xf numFmtId="0" fontId="13" fillId="4" borderId="5"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4" fillId="2" borderId="1" xfId="0" applyFont="1" applyFill="1" applyBorder="1" applyAlignment="1">
      <alignment horizontal="left" vertical="center"/>
    </xf>
    <xf numFmtId="0" fontId="12" fillId="4" borderId="5" xfId="0" applyFont="1" applyFill="1" applyBorder="1" applyAlignment="1">
      <alignment horizontal="left" vertical="top" wrapText="1"/>
    </xf>
    <xf numFmtId="49" fontId="16" fillId="2" borderId="17" xfId="0" applyNumberFormat="1" applyFont="1" applyFill="1" applyBorder="1" applyAlignment="1">
      <alignment vertical="center"/>
    </xf>
    <xf numFmtId="0" fontId="16" fillId="2" borderId="5" xfId="0" applyFont="1" applyFill="1" applyBorder="1" applyAlignment="1">
      <alignment horizontal="left" vertical="center"/>
    </xf>
    <xf numFmtId="0" fontId="0" fillId="0" borderId="0" xfId="0" applyAlignment="1">
      <alignment horizontal="center"/>
    </xf>
    <xf numFmtId="0" fontId="2" fillId="2" borderId="2" xfId="0" applyFont="1" applyFill="1" applyBorder="1" applyAlignment="1">
      <alignment horizontal="center" vertical="top"/>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2" fillId="2" borderId="12" xfId="0" applyFont="1" applyFill="1" applyBorder="1" applyAlignment="1">
      <alignment horizontal="center" vertical="top"/>
    </xf>
    <xf numFmtId="0" fontId="2" fillId="2" borderId="3" xfId="0" applyFont="1" applyFill="1" applyBorder="1" applyAlignment="1">
      <alignment horizontal="center" vertical="top"/>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4" fillId="2" borderId="2" xfId="0" applyFont="1" applyFill="1" applyBorder="1" applyAlignment="1">
      <alignment horizontal="center" vertical="center"/>
    </xf>
    <xf numFmtId="0" fontId="0" fillId="4" borderId="0" xfId="0" applyFill="1" applyAlignment="1">
      <alignment horizontal="center"/>
    </xf>
    <xf numFmtId="0" fontId="3" fillId="2" borderId="3" xfId="0" applyFont="1" applyFill="1" applyBorder="1" applyAlignment="1">
      <alignment horizontal="center" vertical="center"/>
    </xf>
    <xf numFmtId="164" fontId="3" fillId="0" borderId="8" xfId="2" applyNumberFormat="1" applyFont="1" applyBorder="1" applyAlignment="1">
      <alignment vertical="center" wrapText="1"/>
    </xf>
    <xf numFmtId="164" fontId="3" fillId="4" borderId="9" xfId="2" applyNumberFormat="1" applyFont="1" applyFill="1" applyBorder="1" applyAlignment="1">
      <alignment vertical="center" wrapText="1"/>
    </xf>
    <xf numFmtId="49" fontId="19" fillId="2" borderId="16" xfId="0" applyNumberFormat="1" applyFont="1" applyFill="1" applyBorder="1" applyAlignment="1">
      <alignment vertical="center"/>
    </xf>
    <xf numFmtId="0" fontId="3" fillId="2" borderId="12" xfId="0" applyFont="1" applyFill="1" applyBorder="1" applyAlignment="1">
      <alignment horizontal="center" vertical="center"/>
    </xf>
    <xf numFmtId="0" fontId="3" fillId="0" borderId="12" xfId="0" applyFont="1" applyBorder="1" applyAlignment="1">
      <alignment vertical="center"/>
    </xf>
    <xf numFmtId="0" fontId="3" fillId="2" borderId="12" xfId="0" applyFont="1" applyFill="1" applyBorder="1" applyAlignment="1">
      <alignment vertical="center"/>
    </xf>
    <xf numFmtId="0" fontId="3" fillId="2" borderId="13" xfId="0" applyFont="1" applyFill="1" applyBorder="1" applyAlignment="1">
      <alignment horizontal="left" vertical="center"/>
    </xf>
    <xf numFmtId="49" fontId="4" fillId="4" borderId="10" xfId="0" applyNumberFormat="1" applyFont="1" applyFill="1" applyBorder="1" applyAlignment="1">
      <alignment horizontal="justify" vertical="center" wrapText="1"/>
    </xf>
    <xf numFmtId="0" fontId="2" fillId="2" borderId="2" xfId="0" applyFont="1" applyFill="1" applyBorder="1" applyAlignment="1">
      <alignment horizontal="left" vertical="center" wrapText="1"/>
    </xf>
    <xf numFmtId="2" fontId="0" fillId="2" borderId="0" xfId="0" applyNumberFormat="1" applyFill="1"/>
    <xf numFmtId="49" fontId="4" fillId="4" borderId="9" xfId="0" applyNumberFormat="1" applyFont="1" applyFill="1" applyBorder="1" applyAlignment="1">
      <alignment horizontal="justify"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166" fontId="9" fillId="0" borderId="0" xfId="0" applyNumberFormat="1" applyFont="1" applyAlignment="1">
      <alignment horizontal="left"/>
    </xf>
    <xf numFmtId="0" fontId="19" fillId="2" borderId="17" xfId="0" applyFont="1" applyFill="1" applyBorder="1" applyAlignment="1">
      <alignment vertical="center"/>
    </xf>
    <xf numFmtId="0" fontId="2" fillId="2" borderId="3" xfId="0" applyFont="1" applyFill="1" applyBorder="1" applyAlignment="1">
      <alignment vertical="center" wrapText="1"/>
    </xf>
    <xf numFmtId="0" fontId="2" fillId="0" borderId="3" xfId="0" applyFont="1" applyBorder="1" applyAlignment="1">
      <alignment vertical="center" wrapText="1"/>
    </xf>
    <xf numFmtId="0" fontId="2" fillId="2" borderId="5" xfId="0" applyFont="1" applyFill="1" applyBorder="1" applyAlignment="1">
      <alignment vertical="center" wrapText="1"/>
    </xf>
    <xf numFmtId="164" fontId="3" fillId="4" borderId="9" xfId="0" applyNumberFormat="1" applyFont="1" applyFill="1" applyBorder="1" applyAlignment="1">
      <alignment vertical="center" wrapText="1"/>
    </xf>
    <xf numFmtId="0" fontId="19" fillId="2" borderId="16" xfId="0" applyFont="1" applyFill="1" applyBorder="1" applyAlignment="1">
      <alignment vertical="center"/>
    </xf>
    <xf numFmtId="0" fontId="2" fillId="2" borderId="12" xfId="0" applyFont="1" applyFill="1" applyBorder="1" applyAlignment="1">
      <alignment vertical="center" wrapText="1"/>
    </xf>
    <xf numFmtId="0" fontId="2" fillId="0" borderId="12" xfId="0" applyFont="1" applyBorder="1" applyAlignment="1">
      <alignment vertical="center" wrapText="1"/>
    </xf>
    <xf numFmtId="0" fontId="2" fillId="2" borderId="13" xfId="0" applyFont="1" applyFill="1" applyBorder="1" applyAlignment="1">
      <alignment vertical="center" wrapText="1"/>
    </xf>
    <xf numFmtId="49" fontId="2" fillId="2" borderId="17" xfId="0" applyNumberFormat="1" applyFont="1" applyFill="1" applyBorder="1" applyAlignment="1">
      <alignment vertical="center"/>
    </xf>
    <xf numFmtId="0" fontId="15" fillId="2" borderId="3" xfId="0" applyFont="1" applyFill="1" applyBorder="1" applyAlignment="1">
      <alignment vertical="justify" wrapText="1"/>
    </xf>
    <xf numFmtId="0" fontId="15" fillId="2" borderId="3" xfId="0" applyFont="1" applyFill="1" applyBorder="1" applyAlignment="1">
      <alignment vertical="center"/>
    </xf>
    <xf numFmtId="0" fontId="15" fillId="2" borderId="5" xfId="0" applyFont="1" applyFill="1" applyBorder="1" applyAlignment="1">
      <alignment vertical="justify" wrapText="1"/>
    </xf>
    <xf numFmtId="164" fontId="4" fillId="4" borderId="9" xfId="0" applyNumberFormat="1" applyFont="1" applyFill="1" applyBorder="1" applyAlignment="1">
      <alignment vertical="center" wrapText="1"/>
    </xf>
    <xf numFmtId="49" fontId="2" fillId="2" borderId="16" xfId="0" applyNumberFormat="1" applyFont="1" applyFill="1" applyBorder="1" applyAlignment="1">
      <alignment vertical="center"/>
    </xf>
    <xf numFmtId="0" fontId="15" fillId="2" borderId="12" xfId="0" applyFont="1" applyFill="1" applyBorder="1" applyAlignment="1">
      <alignment vertical="justify" wrapText="1"/>
    </xf>
    <xf numFmtId="0" fontId="15" fillId="2" borderId="12" xfId="0" applyFont="1" applyFill="1" applyBorder="1" applyAlignment="1">
      <alignment vertical="center"/>
    </xf>
    <xf numFmtId="0" fontId="15" fillId="2" borderId="13" xfId="0" applyFont="1" applyFill="1" applyBorder="1" applyAlignment="1">
      <alignment vertical="justify" wrapText="1"/>
    </xf>
    <xf numFmtId="49" fontId="4" fillId="4" borderId="10"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0" fontId="5" fillId="2" borderId="3" xfId="0" applyFont="1" applyFill="1" applyBorder="1" applyAlignment="1">
      <alignment horizontal="left" vertical="center" wrapText="1"/>
    </xf>
    <xf numFmtId="0" fontId="5" fillId="2" borderId="3" xfId="0" applyFont="1" applyFill="1" applyBorder="1" applyAlignment="1">
      <alignment horizontal="center" vertical="center"/>
    </xf>
    <xf numFmtId="0" fontId="5" fillId="2" borderId="5" xfId="0" applyFont="1" applyFill="1" applyBorder="1" applyAlignment="1">
      <alignment horizontal="left" vertical="center" wrapText="1"/>
    </xf>
    <xf numFmtId="49" fontId="4" fillId="4" borderId="10" xfId="0" applyNumberFormat="1" applyFont="1" applyFill="1" applyBorder="1" applyAlignment="1">
      <alignment horizontal="justify" vertical="center" wrapText="1"/>
    </xf>
    <xf numFmtId="49" fontId="2" fillId="6" borderId="11" xfId="0" applyNumberFormat="1"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7" xfId="0" applyFont="1" applyFill="1" applyBorder="1" applyAlignment="1">
      <alignment horizontal="center" vertical="center" wrapText="1"/>
    </xf>
    <xf numFmtId="164" fontId="3" fillId="4" borderId="5" xfId="0" applyNumberFormat="1" applyFont="1" applyFill="1" applyBorder="1" applyAlignment="1">
      <alignment vertical="center" wrapText="1"/>
    </xf>
    <xf numFmtId="164" fontId="3" fillId="4" borderId="5" xfId="2" applyNumberFormat="1" applyFont="1" applyFill="1" applyBorder="1" applyAlignment="1">
      <alignment vertical="center" wrapText="1"/>
    </xf>
    <xf numFmtId="164" fontId="3" fillId="4" borderId="6" xfId="2" applyNumberFormat="1" applyFont="1" applyFill="1" applyBorder="1" applyAlignment="1">
      <alignment vertical="center" wrapText="1"/>
    </xf>
    <xf numFmtId="164" fontId="3" fillId="4" borderId="1" xfId="2" applyNumberFormat="1" applyFont="1" applyFill="1" applyBorder="1" applyAlignment="1">
      <alignment vertical="center" wrapText="1"/>
    </xf>
    <xf numFmtId="164" fontId="3" fillId="4" borderId="6" xfId="0" applyNumberFormat="1" applyFont="1" applyFill="1" applyBorder="1" applyAlignment="1">
      <alignment vertical="center" wrapText="1"/>
    </xf>
    <xf numFmtId="164" fontId="3" fillId="4" borderId="1" xfId="0" applyNumberFormat="1" applyFont="1" applyFill="1" applyBorder="1" applyAlignment="1">
      <alignment vertical="center" wrapText="1"/>
    </xf>
    <xf numFmtId="164" fontId="4" fillId="4" borderId="5" xfId="0" applyNumberFormat="1" applyFont="1" applyFill="1" applyBorder="1" applyAlignment="1">
      <alignment vertical="center" wrapText="1"/>
    </xf>
    <xf numFmtId="164" fontId="4" fillId="4" borderId="6" xfId="0" applyNumberFormat="1" applyFont="1" applyFill="1" applyBorder="1" applyAlignment="1">
      <alignment vertical="center" wrapText="1"/>
    </xf>
    <xf numFmtId="164" fontId="4" fillId="4" borderId="1" xfId="0" applyNumberFormat="1" applyFont="1" applyFill="1" applyBorder="1" applyAlignment="1">
      <alignment vertical="center" wrapText="1"/>
    </xf>
    <xf numFmtId="164" fontId="4" fillId="4" borderId="5" xfId="2" applyNumberFormat="1" applyFont="1" applyFill="1" applyBorder="1" applyAlignment="1">
      <alignment vertical="center" wrapText="1"/>
    </xf>
    <xf numFmtId="164" fontId="4" fillId="4" borderId="5" xfId="0" applyNumberFormat="1" applyFont="1" applyFill="1" applyBorder="1" applyAlignment="1">
      <alignment horizontal="justify" vertical="center" wrapText="1"/>
    </xf>
    <xf numFmtId="164" fontId="6" fillId="4" borderId="5" xfId="0" applyNumberFormat="1" applyFont="1" applyFill="1" applyBorder="1" applyAlignment="1">
      <alignment vertical="center" wrapText="1"/>
    </xf>
    <xf numFmtId="164" fontId="6" fillId="4" borderId="1" xfId="0" applyNumberFormat="1" applyFont="1" applyFill="1" applyBorder="1" applyAlignment="1">
      <alignment vertical="center" wrapText="1"/>
    </xf>
    <xf numFmtId="0" fontId="5" fillId="2" borderId="12" xfId="0" applyFont="1" applyFill="1" applyBorder="1" applyAlignment="1">
      <alignment vertical="center" wrapText="1"/>
    </xf>
    <xf numFmtId="0" fontId="5" fillId="2" borderId="13" xfId="0" applyFont="1" applyFill="1" applyBorder="1" applyAlignment="1">
      <alignment vertical="center" wrapText="1"/>
    </xf>
    <xf numFmtId="0" fontId="5" fillId="2" borderId="3" xfId="0" applyFont="1" applyFill="1" applyBorder="1" applyAlignment="1">
      <alignment vertical="center" wrapText="1"/>
    </xf>
    <xf numFmtId="0" fontId="5" fillId="2" borderId="5" xfId="0" applyFont="1" applyFill="1" applyBorder="1" applyAlignment="1">
      <alignment vertical="center" wrapText="1"/>
    </xf>
    <xf numFmtId="0" fontId="5" fillId="2" borderId="17" xfId="0" applyFont="1" applyFill="1" applyBorder="1" applyAlignment="1">
      <alignment vertical="center"/>
    </xf>
    <xf numFmtId="0" fontId="5" fillId="2" borderId="1" xfId="0" applyFont="1" applyFill="1" applyBorder="1" applyAlignment="1">
      <alignment vertical="center"/>
    </xf>
    <xf numFmtId="0" fontId="6" fillId="4" borderId="6" xfId="0" applyFont="1" applyFill="1" applyBorder="1" applyAlignment="1">
      <alignment horizontal="center" vertical="center" wrapText="1"/>
    </xf>
    <xf numFmtId="164" fontId="6" fillId="4" borderId="8" xfId="0" applyNumberFormat="1" applyFont="1" applyFill="1" applyBorder="1" applyAlignment="1">
      <alignment vertical="center" wrapText="1"/>
    </xf>
    <xf numFmtId="164" fontId="6" fillId="4" borderId="6" xfId="0" applyNumberFormat="1" applyFont="1" applyFill="1" applyBorder="1" applyAlignment="1">
      <alignment vertical="center" wrapText="1"/>
    </xf>
    <xf numFmtId="0" fontId="13" fillId="4" borderId="6" xfId="0" applyFont="1" applyFill="1" applyBorder="1" applyAlignment="1">
      <alignment horizontal="left" vertical="center" wrapText="1"/>
    </xf>
    <xf numFmtId="0" fontId="13" fillId="4" borderId="11" xfId="0" applyFont="1" applyFill="1" applyBorder="1" applyAlignment="1">
      <alignment horizontal="left" vertical="center" wrapText="1"/>
    </xf>
    <xf numFmtId="0" fontId="5" fillId="2" borderId="16" xfId="0" applyFont="1" applyFill="1" applyBorder="1" applyAlignment="1">
      <alignment vertical="center"/>
    </xf>
    <xf numFmtId="0" fontId="5" fillId="2" borderId="13" xfId="0" applyFont="1" applyFill="1" applyBorder="1" applyAlignment="1">
      <alignment vertical="center"/>
    </xf>
    <xf numFmtId="49" fontId="4" fillId="4" borderId="10" xfId="0" applyNumberFormat="1" applyFont="1" applyFill="1" applyBorder="1" applyAlignment="1">
      <alignment horizontal="justify" vertical="center" wrapText="1"/>
    </xf>
    <xf numFmtId="49" fontId="4" fillId="4" borderId="9"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0" fontId="10" fillId="2" borderId="17" xfId="0" applyFont="1" applyFill="1" applyBorder="1" applyAlignment="1">
      <alignment horizontal="left" vertical="top"/>
    </xf>
    <xf numFmtId="49" fontId="19" fillId="2" borderId="7" xfId="0" applyNumberFormat="1" applyFont="1" applyFill="1" applyBorder="1" applyAlignment="1">
      <alignment vertical="center"/>
    </xf>
    <xf numFmtId="0" fontId="16" fillId="2" borderId="16" xfId="0" applyFont="1" applyFill="1" applyBorder="1" applyAlignment="1">
      <alignment horizontal="left" vertical="top"/>
    </xf>
    <xf numFmtId="0" fontId="16" fillId="2" borderId="17" xfId="0" applyFont="1" applyFill="1" applyBorder="1" applyAlignment="1">
      <alignment vertical="center"/>
    </xf>
    <xf numFmtId="0" fontId="17" fillId="2" borderId="17" xfId="0" applyFont="1" applyFill="1" applyBorder="1" applyAlignment="1">
      <alignment horizontal="left" vertical="center"/>
    </xf>
    <xf numFmtId="0" fontId="17" fillId="2" borderId="16" xfId="0" applyFont="1" applyFill="1" applyBorder="1" applyAlignment="1">
      <alignment horizontal="left" vertical="center"/>
    </xf>
    <xf numFmtId="49" fontId="5" fillId="2" borderId="16" xfId="0" applyNumberFormat="1" applyFont="1" applyFill="1" applyBorder="1" applyAlignment="1">
      <alignment horizontal="left" vertical="center"/>
    </xf>
    <xf numFmtId="0" fontId="5" fillId="2" borderId="12" xfId="0" applyFont="1" applyFill="1" applyBorder="1" applyAlignment="1">
      <alignment horizontal="center" vertical="center"/>
    </xf>
    <xf numFmtId="0" fontId="5" fillId="2" borderId="13" xfId="0" applyFont="1" applyFill="1" applyBorder="1" applyAlignment="1">
      <alignment horizontal="left" vertical="center"/>
    </xf>
    <xf numFmtId="0" fontId="5" fillId="2" borderId="5" xfId="0" applyFont="1" applyFill="1" applyBorder="1" applyAlignment="1">
      <alignment vertical="center"/>
    </xf>
    <xf numFmtId="0" fontId="16" fillId="2" borderId="16" xfId="0" applyFont="1" applyFill="1" applyBorder="1" applyAlignment="1">
      <alignment vertical="center"/>
    </xf>
    <xf numFmtId="0" fontId="16" fillId="2" borderId="17" xfId="0" applyFont="1" applyFill="1" applyBorder="1" applyAlignment="1">
      <alignment horizontal="left" vertical="center"/>
    </xf>
    <xf numFmtId="0" fontId="17" fillId="2" borderId="17" xfId="0" applyFont="1" applyFill="1" applyBorder="1" applyAlignment="1">
      <alignment vertical="center"/>
    </xf>
    <xf numFmtId="0" fontId="17" fillId="2" borderId="3" xfId="0" applyFont="1" applyFill="1" applyBorder="1" applyAlignment="1">
      <alignment vertical="center"/>
    </xf>
    <xf numFmtId="0" fontId="17" fillId="2" borderId="5" xfId="0" applyFont="1" applyFill="1" applyBorder="1" applyAlignment="1">
      <alignment vertical="center"/>
    </xf>
    <xf numFmtId="0" fontId="17" fillId="2" borderId="16" xfId="0" applyFont="1" applyFill="1" applyBorder="1" applyAlignment="1">
      <alignment vertical="center"/>
    </xf>
    <xf numFmtId="0" fontId="17" fillId="2" borderId="12" xfId="0" applyFont="1" applyFill="1" applyBorder="1" applyAlignment="1">
      <alignment vertical="center"/>
    </xf>
    <xf numFmtId="0" fontId="17" fillId="2" borderId="13" xfId="0" applyFont="1" applyFill="1" applyBorder="1" applyAlignment="1">
      <alignment vertical="center"/>
    </xf>
    <xf numFmtId="0" fontId="15" fillId="2" borderId="7" xfId="0" applyFont="1" applyFill="1" applyBorder="1" applyAlignment="1">
      <alignment vertical="center"/>
    </xf>
    <xf numFmtId="49" fontId="4" fillId="4" borderId="10" xfId="0" applyNumberFormat="1" applyFont="1" applyFill="1" applyBorder="1" applyAlignment="1">
      <alignment horizontal="justify" vertical="center" wrapText="1"/>
    </xf>
    <xf numFmtId="0" fontId="22" fillId="4" borderId="0" xfId="0" applyFont="1" applyFill="1"/>
    <xf numFmtId="0" fontId="4" fillId="4" borderId="11" xfId="0" applyFont="1" applyFill="1" applyBorder="1" applyAlignment="1">
      <alignment horizontal="center" vertical="center" wrapText="1"/>
    </xf>
    <xf numFmtId="49" fontId="4" fillId="4" borderId="10"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164" fontId="3" fillId="4" borderId="5" xfId="0" applyNumberFormat="1" applyFont="1" applyFill="1" applyBorder="1" applyAlignment="1">
      <alignment horizontal="center" vertical="center" wrapText="1"/>
    </xf>
    <xf numFmtId="49" fontId="4" fillId="4" borderId="8" xfId="0" applyNumberFormat="1" applyFont="1" applyFill="1" applyBorder="1" applyAlignment="1">
      <alignment horizontal="justify" vertical="center" wrapText="1"/>
    </xf>
    <xf numFmtId="49" fontId="4" fillId="4" borderId="9"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49" fontId="18" fillId="0" borderId="3" xfId="0" applyNumberFormat="1" applyFont="1" applyBorder="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965</xdr:row>
      <xdr:rowOff>171450</xdr:rowOff>
    </xdr:from>
    <xdr:to>
      <xdr:col>6</xdr:col>
      <xdr:colOff>2333625</xdr:colOff>
      <xdr:row>993</xdr:row>
      <xdr:rowOff>47625</xdr:rowOff>
    </xdr:to>
    <xdr:sp macro="" textlink="">
      <xdr:nvSpPr>
        <xdr:cNvPr id="2" name="CuadroTexto 1"/>
        <xdr:cNvSpPr txBox="1"/>
      </xdr:nvSpPr>
      <xdr:spPr>
        <a:xfrm>
          <a:off x="19050" y="458000100"/>
          <a:ext cx="5838825" cy="5210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ES" sz="1100" b="1" u="sng">
              <a:solidFill>
                <a:schemeClr val="dk1"/>
              </a:solidFill>
              <a:effectLst/>
              <a:latin typeface="+mn-lt"/>
              <a:ea typeface="+mn-ea"/>
              <a:cs typeface="+mn-cs"/>
            </a:rPr>
            <a:t>NOTAS: </a:t>
          </a:r>
          <a:r>
            <a:rPr lang="es-ES" sz="1100">
              <a:solidFill>
                <a:schemeClr val="dk1"/>
              </a:solidFill>
              <a:effectLst/>
              <a:latin typeface="+mn-lt"/>
              <a:ea typeface="+mn-ea"/>
              <a:cs typeface="+mn-cs"/>
            </a:rPr>
            <a:t>Entiéndase por </a:t>
          </a:r>
          <a:r>
            <a:rPr lang="es-ES" sz="1100" u="sng">
              <a:solidFill>
                <a:schemeClr val="dk1"/>
              </a:solidFill>
              <a:effectLst/>
              <a:latin typeface="+mn-lt"/>
              <a:ea typeface="+mn-ea"/>
              <a:cs typeface="+mn-cs"/>
            </a:rPr>
            <a:t>Supermercado/</a:t>
          </a:r>
          <a:r>
            <a:rPr lang="es-ES" sz="1100">
              <a:solidFill>
                <a:schemeClr val="dk1"/>
              </a:solidFill>
              <a:effectLst/>
              <a:latin typeface="+mn-lt"/>
              <a:ea typeface="+mn-ea"/>
              <a:cs typeface="+mn-cs"/>
            </a:rPr>
            <a:t>s al/los establecimiento/s comercial/es de todo tipo de artículos, en especial alimentos, con sistema de autoservicio.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La clasificación entre los subcódigos 521140.1 y 521140.2 se realizará de oficio por la Dirección de Ingresos Públicos en el mes de enero y regirá para todo el año de vigencia de la presente Ordenanza. Se entenderá </a:t>
          </a:r>
          <a:r>
            <a:rPr lang="es-ES" sz="1100" b="0">
              <a:solidFill>
                <a:schemeClr val="dk1"/>
              </a:solidFill>
              <a:effectLst/>
              <a:latin typeface="+mn-lt"/>
              <a:ea typeface="+mn-ea"/>
              <a:cs typeface="+mn-cs"/>
            </a:rPr>
            <a:t>por ventas anuales al monto total de base imponible presentada por los contribuyentes entre los meses de noviembre 2015 y octubre 2016. Si una persona física o jurídica, tuvieran o pretendieran abrir dos o más locales en el territorio municipal, las ventas de todos los locales se sumarán.</a:t>
          </a:r>
          <a:endParaRPr lang="es-AR" sz="1100" b="0">
            <a:solidFill>
              <a:schemeClr val="dk1"/>
            </a:solidFill>
            <a:effectLst/>
            <a:latin typeface="+mn-lt"/>
            <a:ea typeface="+mn-ea"/>
            <a:cs typeface="+mn-cs"/>
          </a:endParaRPr>
        </a:p>
        <a:p>
          <a:r>
            <a:rPr lang="es-ES" sz="1100" b="0">
              <a:solidFill>
                <a:schemeClr val="dk1"/>
              </a:solidFill>
              <a:effectLst/>
              <a:latin typeface="+mn-lt"/>
              <a:ea typeface="+mn-ea"/>
              <a:cs typeface="+mn-cs"/>
            </a:rPr>
            <a:t>Para el supuesto de inscripción de un nuevo contribuyente por inicio de actividad, dicho sujeto se considerará incluido en el subcódigo </a:t>
          </a:r>
          <a:r>
            <a:rPr lang="es-ES" sz="1100">
              <a:solidFill>
                <a:schemeClr val="dk1"/>
              </a:solidFill>
              <a:effectLst/>
              <a:latin typeface="+mn-lt"/>
              <a:ea typeface="+mn-ea"/>
              <a:cs typeface="+mn-cs"/>
            </a:rPr>
            <a:t>521140.1 o en el subcódigo 521140.2 en base al monto total anual de base imponible estimado por el contribuyente. Cuando el período comprendido entre la inscripción y el fin del año fuese inferior a 12 meses, las bases imponibles estimadas deberán anualizarse. Transcurridos los tres primeros meses de actividad del contribuyente, se revisará que la clasificación mantenga su vigencia anualizando las bases imponibles presentadas durante el primer trimestre de actividad del mismo y en caso de ser necesario se realizará la adecuación al subcógido correspondiente según esta información.</a:t>
          </a:r>
          <a:endParaRPr lang="es-AR" sz="1100">
            <a:solidFill>
              <a:schemeClr val="dk1"/>
            </a:solidFill>
            <a:effectLst/>
            <a:latin typeface="+mn-lt"/>
            <a:ea typeface="+mn-ea"/>
            <a:cs typeface="+mn-cs"/>
          </a:endParaRPr>
        </a:p>
        <a:p>
          <a:r>
            <a:rPr lang="es-ES" sz="1100" u="sng">
              <a:solidFill>
                <a:schemeClr val="dk1"/>
              </a:solidFill>
              <a:effectLst/>
              <a:latin typeface="+mn-lt"/>
              <a:ea typeface="+mn-ea"/>
              <a:cs typeface="+mn-cs"/>
            </a:rPr>
            <a:t>Hipermercado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Entiéndase por hipermercado a la actividad, desarrollada por personas físicas o jurídicas, de </a:t>
          </a:r>
          <a:r>
            <a:rPr lang="es-ES" sz="1100" b="0">
              <a:solidFill>
                <a:schemeClr val="dk1"/>
              </a:solidFill>
              <a:effectLst/>
              <a:latin typeface="+mn-lt"/>
              <a:ea typeface="+mn-ea"/>
              <a:cs typeface="+mn-cs"/>
            </a:rPr>
            <a:t>comercialización de alimentos y bebidas en cualquiera de los rubros establecidos en la Ordenanza Tarifaria Anual, en forma conjunta con uno o más productos de: indumentaria, artículos del hogar, electrodomésticos, artículos de electrónica, juguetería, papelería, artículos de oficina, escolares, ferretería, perfumería, artículos de tocador, óptica, fotografía, bijouterie, joyería, jardinería, vivero, vehículos y accesorios, y otros; y que tengan, en cualquiera de sus establecimientos,  una superficie (cubierta y/o descubierta) destinada directa o indirectamente a la actividad, superior a 9.000 m2 , incluyendo salón de ventas, depósitos, playas o lugares destinados al estacionamiento exclusivo de clientes , locales explotados por terceros dentro del mismo predio comercial, etc. Será suficiente con que uno de los establecimientos supere la superficie mencionada </a:t>
          </a:r>
          <a:r>
            <a:rPr lang="es-ES" sz="1100">
              <a:solidFill>
                <a:schemeClr val="dk1"/>
              </a:solidFill>
              <a:effectLst/>
              <a:latin typeface="+mn-lt"/>
              <a:ea typeface="+mn-ea"/>
              <a:cs typeface="+mn-cs"/>
            </a:rPr>
            <a:t>para encuadrar en el rubro de hipermercado al contribuyente por todos los establecimientos  que, directa o indirectamente, produzcan y/o comercialicen bienes y/o presten servicios que comprendan más de un rubro.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 </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 </a:t>
          </a:r>
          <a:endParaRPr lang="es-AR"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966"/>
  <sheetViews>
    <sheetView tabSelected="1" topLeftCell="A429" zoomScaleNormal="100" workbookViewId="0">
      <selection activeCell="H431" sqref="H431"/>
    </sheetView>
  </sheetViews>
  <sheetFormatPr baseColWidth="10" defaultRowHeight="15" x14ac:dyDescent="0.25"/>
  <cols>
    <col min="1" max="1" width="28.42578125" style="73" customWidth="1"/>
    <col min="2" max="2" width="23.7109375" style="149" customWidth="1"/>
    <col min="3" max="3" width="20" hidden="1" customWidth="1"/>
    <col min="4" max="4" width="20" style="65" hidden="1" customWidth="1"/>
    <col min="5" max="5" width="21" style="65" hidden="1" customWidth="1"/>
    <col min="6" max="6" width="25.85546875" style="65" customWidth="1"/>
    <col min="7" max="7" width="43.140625" style="98" customWidth="1"/>
  </cols>
  <sheetData>
    <row r="1" spans="1:8" ht="15" customHeight="1" x14ac:dyDescent="0.25">
      <c r="A1" s="21"/>
      <c r="B1" s="130"/>
      <c r="D1" s="160">
        <v>1.3570135746606333</v>
      </c>
      <c r="F1" s="241">
        <v>1.35</v>
      </c>
      <c r="G1" s="164"/>
    </row>
    <row r="2" spans="1:8" ht="15.75" thickBot="1" x14ac:dyDescent="0.3">
      <c r="A2" s="252" t="s">
        <v>995</v>
      </c>
      <c r="B2" s="252"/>
      <c r="C2" s="252"/>
      <c r="D2" s="252"/>
      <c r="E2" s="252"/>
      <c r="F2" s="252"/>
      <c r="G2" s="252"/>
    </row>
    <row r="3" spans="1:8" ht="33.75" thickBot="1" x14ac:dyDescent="0.3">
      <c r="A3" s="189" t="s">
        <v>928</v>
      </c>
      <c r="B3" s="190" t="s">
        <v>929</v>
      </c>
      <c r="C3" s="33" t="s">
        <v>930</v>
      </c>
      <c r="D3" s="81" t="s">
        <v>931</v>
      </c>
      <c r="E3" s="191" t="s">
        <v>996</v>
      </c>
      <c r="F3" s="191" t="s">
        <v>1031</v>
      </c>
      <c r="G3" s="190" t="s">
        <v>927</v>
      </c>
    </row>
    <row r="4" spans="1:8" ht="17.25" customHeight="1" thickBot="1" x14ac:dyDescent="0.3">
      <c r="A4" s="82" t="s">
        <v>0</v>
      </c>
      <c r="B4" s="131"/>
      <c r="C4" s="34"/>
      <c r="D4" s="34"/>
      <c r="E4" s="34"/>
      <c r="F4" s="34"/>
      <c r="G4" s="83"/>
    </row>
    <row r="5" spans="1:8" ht="17.25" customHeight="1" thickBot="1" x14ac:dyDescent="0.3">
      <c r="A5" s="84" t="s">
        <v>983</v>
      </c>
      <c r="B5" s="131"/>
      <c r="C5" s="35"/>
      <c r="D5" s="35"/>
      <c r="E5" s="35"/>
      <c r="F5" s="35"/>
      <c r="G5" s="83"/>
    </row>
    <row r="6" spans="1:8" ht="54.75" thickBot="1" x14ac:dyDescent="0.3">
      <c r="A6" s="66" t="s">
        <v>932</v>
      </c>
      <c r="B6" s="132" t="s">
        <v>1</v>
      </c>
      <c r="C6" s="10">
        <v>221</v>
      </c>
      <c r="D6" s="85">
        <f>+C6*$D$1</f>
        <v>299.89999999999998</v>
      </c>
      <c r="E6" s="85">
        <f>+D6*1.36</f>
        <v>407.86399999999998</v>
      </c>
      <c r="F6" s="85">
        <v>550.1</v>
      </c>
      <c r="G6" s="96" t="s">
        <v>2</v>
      </c>
      <c r="H6" s="53"/>
    </row>
    <row r="7" spans="1:8" ht="27.75" thickBot="1" x14ac:dyDescent="0.3">
      <c r="A7" s="99" t="s">
        <v>955</v>
      </c>
      <c r="B7" s="133" t="s">
        <v>1</v>
      </c>
      <c r="C7" s="10">
        <v>221</v>
      </c>
      <c r="D7" s="86">
        <f t="shared" ref="D7:D35" si="0">+C7*$D$1</f>
        <v>299.89999999999998</v>
      </c>
      <c r="E7" s="86">
        <f t="shared" ref="E7:E62" si="1">+D7*1.36</f>
        <v>407.86399999999998</v>
      </c>
      <c r="F7" s="86">
        <v>550.1</v>
      </c>
      <c r="G7" s="100" t="s">
        <v>3</v>
      </c>
    </row>
    <row r="8" spans="1:8" ht="16.5" thickBot="1" x14ac:dyDescent="0.3">
      <c r="A8" s="99" t="s">
        <v>933</v>
      </c>
      <c r="B8" s="133" t="s">
        <v>1</v>
      </c>
      <c r="C8" s="10">
        <v>221</v>
      </c>
      <c r="D8" s="86">
        <f t="shared" si="0"/>
        <v>299.89999999999998</v>
      </c>
      <c r="E8" s="86">
        <f t="shared" si="1"/>
        <v>407.86399999999998</v>
      </c>
      <c r="F8" s="86">
        <v>550.1</v>
      </c>
      <c r="G8" s="100" t="s">
        <v>4</v>
      </c>
    </row>
    <row r="9" spans="1:8" ht="108.75" thickBot="1" x14ac:dyDescent="0.3">
      <c r="A9" s="66" t="s">
        <v>934</v>
      </c>
      <c r="B9" s="134" t="s">
        <v>1</v>
      </c>
      <c r="C9" s="10">
        <v>221</v>
      </c>
      <c r="D9" s="85">
        <f t="shared" si="0"/>
        <v>299.89999999999998</v>
      </c>
      <c r="E9" s="85">
        <f t="shared" si="1"/>
        <v>407.86399999999998</v>
      </c>
      <c r="F9" s="85">
        <v>550.1</v>
      </c>
      <c r="G9" s="96" t="s">
        <v>5</v>
      </c>
    </row>
    <row r="10" spans="1:8" ht="81.75" thickBot="1" x14ac:dyDescent="0.3">
      <c r="A10" s="99" t="s">
        <v>956</v>
      </c>
      <c r="B10" s="133" t="s">
        <v>1</v>
      </c>
      <c r="C10" s="11">
        <v>221</v>
      </c>
      <c r="D10" s="86">
        <f t="shared" si="0"/>
        <v>299.89999999999998</v>
      </c>
      <c r="E10" s="86">
        <f t="shared" si="1"/>
        <v>407.86399999999998</v>
      </c>
      <c r="F10" s="86">
        <v>550.1</v>
      </c>
      <c r="G10" s="100" t="s">
        <v>6</v>
      </c>
    </row>
    <row r="11" spans="1:8" ht="41.25" thickBot="1" x14ac:dyDescent="0.3">
      <c r="A11" s="99" t="s">
        <v>935</v>
      </c>
      <c r="B11" s="133" t="s">
        <v>1</v>
      </c>
      <c r="C11" s="10">
        <v>221</v>
      </c>
      <c r="D11" s="86">
        <f t="shared" si="0"/>
        <v>299.89999999999998</v>
      </c>
      <c r="E11" s="85">
        <f t="shared" si="1"/>
        <v>407.86399999999998</v>
      </c>
      <c r="F11" s="86">
        <v>550.1</v>
      </c>
      <c r="G11" s="100" t="s">
        <v>7</v>
      </c>
    </row>
    <row r="12" spans="1:8" ht="41.25" thickBot="1" x14ac:dyDescent="0.3">
      <c r="A12" s="99" t="s">
        <v>936</v>
      </c>
      <c r="B12" s="133" t="s">
        <v>1</v>
      </c>
      <c r="C12" s="10">
        <v>221</v>
      </c>
      <c r="D12" s="86">
        <f t="shared" si="0"/>
        <v>299.89999999999998</v>
      </c>
      <c r="E12" s="86">
        <f t="shared" si="1"/>
        <v>407.86399999999998</v>
      </c>
      <c r="F12" s="86">
        <v>550.1</v>
      </c>
      <c r="G12" s="100" t="s">
        <v>8</v>
      </c>
    </row>
    <row r="13" spans="1:8" ht="16.5" thickBot="1" x14ac:dyDescent="0.3">
      <c r="A13" s="66" t="s">
        <v>937</v>
      </c>
      <c r="B13" s="132" t="s">
        <v>1</v>
      </c>
      <c r="C13" s="10">
        <v>221</v>
      </c>
      <c r="D13" s="85">
        <f t="shared" si="0"/>
        <v>299.89999999999998</v>
      </c>
      <c r="E13" s="85">
        <f t="shared" si="1"/>
        <v>407.86399999999998</v>
      </c>
      <c r="F13" s="85">
        <v>550.1</v>
      </c>
      <c r="G13" s="96" t="s">
        <v>9</v>
      </c>
    </row>
    <row r="14" spans="1:8" ht="27.75" thickBot="1" x14ac:dyDescent="0.3">
      <c r="A14" s="99" t="s">
        <v>938</v>
      </c>
      <c r="B14" s="133" t="s">
        <v>1</v>
      </c>
      <c r="C14" s="11">
        <v>221</v>
      </c>
      <c r="D14" s="86">
        <f t="shared" si="0"/>
        <v>299.89999999999998</v>
      </c>
      <c r="E14" s="86">
        <f t="shared" si="1"/>
        <v>407.86399999999998</v>
      </c>
      <c r="F14" s="86">
        <v>550.1</v>
      </c>
      <c r="G14" s="100" t="s">
        <v>10</v>
      </c>
    </row>
    <row r="15" spans="1:8" ht="16.5" thickBot="1" x14ac:dyDescent="0.3">
      <c r="A15" s="99" t="s">
        <v>939</v>
      </c>
      <c r="B15" s="133" t="s">
        <v>1</v>
      </c>
      <c r="C15" s="10">
        <v>221</v>
      </c>
      <c r="D15" s="86">
        <f t="shared" si="0"/>
        <v>299.89999999999998</v>
      </c>
      <c r="E15" s="86">
        <f t="shared" si="1"/>
        <v>407.86399999999998</v>
      </c>
      <c r="F15" s="86">
        <v>550.1</v>
      </c>
      <c r="G15" s="100" t="s">
        <v>11</v>
      </c>
    </row>
    <row r="16" spans="1:8" ht="41.25" thickBot="1" x14ac:dyDescent="0.3">
      <c r="A16" s="99" t="s">
        <v>940</v>
      </c>
      <c r="B16" s="133" t="s">
        <v>1</v>
      </c>
      <c r="C16" s="10">
        <v>221</v>
      </c>
      <c r="D16" s="86">
        <f t="shared" si="0"/>
        <v>299.89999999999998</v>
      </c>
      <c r="E16" s="86">
        <f t="shared" si="1"/>
        <v>407.86399999999998</v>
      </c>
      <c r="F16" s="86">
        <v>550.1</v>
      </c>
      <c r="G16" s="100" t="s">
        <v>12</v>
      </c>
    </row>
    <row r="17" spans="1:7" ht="41.25" thickBot="1" x14ac:dyDescent="0.3">
      <c r="A17" s="99" t="s">
        <v>957</v>
      </c>
      <c r="B17" s="133" t="s">
        <v>1</v>
      </c>
      <c r="C17" s="10">
        <v>221</v>
      </c>
      <c r="D17" s="86">
        <f t="shared" si="0"/>
        <v>299.89999999999998</v>
      </c>
      <c r="E17" s="86">
        <f t="shared" si="1"/>
        <v>407.86399999999998</v>
      </c>
      <c r="F17" s="86">
        <v>550.1</v>
      </c>
      <c r="G17" s="100" t="s">
        <v>13</v>
      </c>
    </row>
    <row r="18" spans="1:7" ht="54.75" thickBot="1" x14ac:dyDescent="0.3">
      <c r="A18" s="99" t="s">
        <v>958</v>
      </c>
      <c r="B18" s="133" t="s">
        <v>1</v>
      </c>
      <c r="C18" s="10">
        <v>221</v>
      </c>
      <c r="D18" s="86">
        <f t="shared" si="0"/>
        <v>299.89999999999998</v>
      </c>
      <c r="E18" s="86">
        <f t="shared" si="1"/>
        <v>407.86399999999998</v>
      </c>
      <c r="F18" s="86">
        <v>550.1</v>
      </c>
      <c r="G18" s="100" t="s">
        <v>14</v>
      </c>
    </row>
    <row r="19" spans="1:7" ht="54.75" thickBot="1" x14ac:dyDescent="0.3">
      <c r="A19" s="99" t="s">
        <v>959</v>
      </c>
      <c r="B19" s="133" t="s">
        <v>1</v>
      </c>
      <c r="C19" s="10">
        <v>221</v>
      </c>
      <c r="D19" s="86">
        <f t="shared" si="0"/>
        <v>299.89999999999998</v>
      </c>
      <c r="E19" s="86">
        <f t="shared" si="1"/>
        <v>407.86399999999998</v>
      </c>
      <c r="F19" s="86">
        <v>550.1</v>
      </c>
      <c r="G19" s="100" t="s">
        <v>15</v>
      </c>
    </row>
    <row r="20" spans="1:7" ht="54.75" thickBot="1" x14ac:dyDescent="0.3">
      <c r="A20" s="99" t="s">
        <v>960</v>
      </c>
      <c r="B20" s="133" t="s">
        <v>1</v>
      </c>
      <c r="C20" s="10">
        <v>221</v>
      </c>
      <c r="D20" s="86">
        <f t="shared" si="0"/>
        <v>299.89999999999998</v>
      </c>
      <c r="E20" s="86">
        <f t="shared" si="1"/>
        <v>407.86399999999998</v>
      </c>
      <c r="F20" s="86">
        <v>550.1</v>
      </c>
      <c r="G20" s="100" t="s">
        <v>16</v>
      </c>
    </row>
    <row r="21" spans="1:7" ht="16.5" thickBot="1" x14ac:dyDescent="0.3">
      <c r="A21" s="99" t="s">
        <v>941</v>
      </c>
      <c r="B21" s="133" t="s">
        <v>1</v>
      </c>
      <c r="C21" s="10">
        <v>221</v>
      </c>
      <c r="D21" s="86">
        <f t="shared" si="0"/>
        <v>299.89999999999998</v>
      </c>
      <c r="E21" s="86">
        <f t="shared" si="1"/>
        <v>407.86399999999998</v>
      </c>
      <c r="F21" s="86">
        <v>550.1</v>
      </c>
      <c r="G21" s="100" t="s">
        <v>17</v>
      </c>
    </row>
    <row r="22" spans="1:7" ht="68.25" thickBot="1" x14ac:dyDescent="0.3">
      <c r="A22" s="99" t="s">
        <v>942</v>
      </c>
      <c r="B22" s="133" t="s">
        <v>1</v>
      </c>
      <c r="C22" s="10">
        <v>221</v>
      </c>
      <c r="D22" s="86">
        <f t="shared" si="0"/>
        <v>299.89999999999998</v>
      </c>
      <c r="E22" s="86">
        <f t="shared" si="1"/>
        <v>407.86399999999998</v>
      </c>
      <c r="F22" s="86">
        <v>550.1</v>
      </c>
      <c r="G22" s="100" t="s">
        <v>18</v>
      </c>
    </row>
    <row r="23" spans="1:7" ht="16.5" thickBot="1" x14ac:dyDescent="0.3">
      <c r="A23" s="99" t="s">
        <v>943</v>
      </c>
      <c r="B23" s="133" t="s">
        <v>1</v>
      </c>
      <c r="C23" s="10">
        <v>221</v>
      </c>
      <c r="D23" s="86">
        <f t="shared" si="0"/>
        <v>299.89999999999998</v>
      </c>
      <c r="E23" s="86">
        <f t="shared" si="1"/>
        <v>407.86399999999998</v>
      </c>
      <c r="F23" s="86">
        <v>550.1</v>
      </c>
      <c r="G23" s="100" t="s">
        <v>19</v>
      </c>
    </row>
    <row r="24" spans="1:7" ht="41.25" thickBot="1" x14ac:dyDescent="0.3">
      <c r="A24" s="99" t="s">
        <v>944</v>
      </c>
      <c r="B24" s="133" t="s">
        <v>1</v>
      </c>
      <c r="C24" s="10">
        <v>221</v>
      </c>
      <c r="D24" s="86">
        <f t="shared" si="0"/>
        <v>299.89999999999998</v>
      </c>
      <c r="E24" s="86">
        <f t="shared" si="1"/>
        <v>407.86399999999998</v>
      </c>
      <c r="F24" s="86">
        <v>550.1</v>
      </c>
      <c r="G24" s="100" t="s">
        <v>20</v>
      </c>
    </row>
    <row r="25" spans="1:7" ht="16.5" thickBot="1" x14ac:dyDescent="0.3">
      <c r="A25" s="99" t="s">
        <v>961</v>
      </c>
      <c r="B25" s="133" t="s">
        <v>1</v>
      </c>
      <c r="C25" s="10">
        <v>221</v>
      </c>
      <c r="D25" s="86">
        <f t="shared" si="0"/>
        <v>299.89999999999998</v>
      </c>
      <c r="E25" s="86">
        <f t="shared" si="1"/>
        <v>407.86399999999998</v>
      </c>
      <c r="F25" s="86">
        <v>550.1</v>
      </c>
      <c r="G25" s="100" t="s">
        <v>21</v>
      </c>
    </row>
    <row r="26" spans="1:7" ht="54.75" thickBot="1" x14ac:dyDescent="0.3">
      <c r="A26" s="99" t="s">
        <v>962</v>
      </c>
      <c r="B26" s="133" t="s">
        <v>1</v>
      </c>
      <c r="C26" s="10">
        <v>221</v>
      </c>
      <c r="D26" s="86">
        <f t="shared" si="0"/>
        <v>299.89999999999998</v>
      </c>
      <c r="E26" s="86">
        <f t="shared" si="1"/>
        <v>407.86399999999998</v>
      </c>
      <c r="F26" s="86">
        <v>550.1</v>
      </c>
      <c r="G26" s="100" t="s">
        <v>22</v>
      </c>
    </row>
    <row r="27" spans="1:7" ht="16.5" thickBot="1" x14ac:dyDescent="0.3">
      <c r="A27" s="99" t="s">
        <v>963</v>
      </c>
      <c r="B27" s="133" t="s">
        <v>1</v>
      </c>
      <c r="C27" s="10">
        <v>221</v>
      </c>
      <c r="D27" s="86">
        <f t="shared" si="0"/>
        <v>299.89999999999998</v>
      </c>
      <c r="E27" s="86">
        <f t="shared" si="1"/>
        <v>407.86399999999998</v>
      </c>
      <c r="F27" s="86">
        <v>550.1</v>
      </c>
      <c r="G27" s="100" t="s">
        <v>23</v>
      </c>
    </row>
    <row r="28" spans="1:7" ht="54.75" thickBot="1" x14ac:dyDescent="0.3">
      <c r="A28" s="99" t="s">
        <v>964</v>
      </c>
      <c r="B28" s="133" t="s">
        <v>1</v>
      </c>
      <c r="C28" s="10">
        <v>221</v>
      </c>
      <c r="D28" s="86">
        <f t="shared" si="0"/>
        <v>299.89999999999998</v>
      </c>
      <c r="E28" s="86">
        <f t="shared" si="1"/>
        <v>407.86399999999998</v>
      </c>
      <c r="F28" s="86">
        <v>550.1</v>
      </c>
      <c r="G28" s="100" t="s">
        <v>24</v>
      </c>
    </row>
    <row r="29" spans="1:7" ht="41.25" thickBot="1" x14ac:dyDescent="0.3">
      <c r="A29" s="99" t="s">
        <v>965</v>
      </c>
      <c r="B29" s="133" t="s">
        <v>1</v>
      </c>
      <c r="C29" s="10">
        <v>221</v>
      </c>
      <c r="D29" s="86">
        <f t="shared" si="0"/>
        <v>299.89999999999998</v>
      </c>
      <c r="E29" s="86">
        <f t="shared" si="1"/>
        <v>407.86399999999998</v>
      </c>
      <c r="F29" s="86">
        <v>550.1</v>
      </c>
      <c r="G29" s="100" t="s">
        <v>25</v>
      </c>
    </row>
    <row r="30" spans="1:7" ht="41.25" thickBot="1" x14ac:dyDescent="0.3">
      <c r="A30" s="99" t="s">
        <v>945</v>
      </c>
      <c r="B30" s="133" t="s">
        <v>1</v>
      </c>
      <c r="C30" s="10">
        <v>221</v>
      </c>
      <c r="D30" s="86">
        <f t="shared" si="0"/>
        <v>299.89999999999998</v>
      </c>
      <c r="E30" s="86">
        <f t="shared" si="1"/>
        <v>407.86399999999998</v>
      </c>
      <c r="F30" s="86">
        <v>550.1</v>
      </c>
      <c r="G30" s="100" t="s">
        <v>26</v>
      </c>
    </row>
    <row r="31" spans="1:7" ht="54.75" thickBot="1" x14ac:dyDescent="0.3">
      <c r="A31" s="99" t="s">
        <v>946</v>
      </c>
      <c r="B31" s="133" t="s">
        <v>1</v>
      </c>
      <c r="C31" s="10">
        <v>221</v>
      </c>
      <c r="D31" s="86">
        <f t="shared" si="0"/>
        <v>299.89999999999998</v>
      </c>
      <c r="E31" s="86">
        <f t="shared" si="1"/>
        <v>407.86399999999998</v>
      </c>
      <c r="F31" s="86">
        <v>550.1</v>
      </c>
      <c r="G31" s="100" t="s">
        <v>27</v>
      </c>
    </row>
    <row r="32" spans="1:7" ht="54.75" thickBot="1" x14ac:dyDescent="0.3">
      <c r="A32" s="99" t="s">
        <v>947</v>
      </c>
      <c r="B32" s="133" t="s">
        <v>1</v>
      </c>
      <c r="C32" s="10">
        <v>221</v>
      </c>
      <c r="D32" s="86">
        <f t="shared" si="0"/>
        <v>299.89999999999998</v>
      </c>
      <c r="E32" s="86">
        <f t="shared" si="1"/>
        <v>407.86399999999998</v>
      </c>
      <c r="F32" s="86">
        <v>550.1</v>
      </c>
      <c r="G32" s="100" t="s">
        <v>28</v>
      </c>
    </row>
    <row r="33" spans="1:7" ht="27.75" thickBot="1" x14ac:dyDescent="0.3">
      <c r="A33" s="99" t="s">
        <v>948</v>
      </c>
      <c r="B33" s="133" t="s">
        <v>1</v>
      </c>
      <c r="C33" s="10">
        <v>221</v>
      </c>
      <c r="D33" s="86">
        <f t="shared" si="0"/>
        <v>299.89999999999998</v>
      </c>
      <c r="E33" s="86">
        <f t="shared" si="1"/>
        <v>407.86399999999998</v>
      </c>
      <c r="F33" s="86">
        <v>550.1</v>
      </c>
      <c r="G33" s="100" t="s">
        <v>29</v>
      </c>
    </row>
    <row r="34" spans="1:7" ht="68.25" thickBot="1" x14ac:dyDescent="0.3">
      <c r="A34" s="99" t="s">
        <v>966</v>
      </c>
      <c r="B34" s="133" t="s">
        <v>1</v>
      </c>
      <c r="C34" s="10">
        <v>221</v>
      </c>
      <c r="D34" s="86">
        <f t="shared" si="0"/>
        <v>299.89999999999998</v>
      </c>
      <c r="E34" s="86">
        <f t="shared" si="1"/>
        <v>407.86399999999998</v>
      </c>
      <c r="F34" s="86">
        <v>550.1</v>
      </c>
      <c r="G34" s="100" t="s">
        <v>30</v>
      </c>
    </row>
    <row r="35" spans="1:7" ht="16.5" thickBot="1" x14ac:dyDescent="0.3">
      <c r="A35" s="99" t="s">
        <v>967</v>
      </c>
      <c r="B35" s="133" t="s">
        <v>1</v>
      </c>
      <c r="C35" s="10">
        <v>221</v>
      </c>
      <c r="D35" s="86">
        <f t="shared" si="0"/>
        <v>299.89999999999998</v>
      </c>
      <c r="E35" s="86">
        <f t="shared" si="1"/>
        <v>407.86399999999998</v>
      </c>
      <c r="F35" s="86">
        <v>550.1</v>
      </c>
      <c r="G35" s="100" t="s">
        <v>31</v>
      </c>
    </row>
    <row r="36" spans="1:7" ht="17.25" customHeight="1" thickBot="1" x14ac:dyDescent="0.3">
      <c r="A36" s="101" t="s">
        <v>32</v>
      </c>
      <c r="B36" s="78"/>
      <c r="C36" s="60"/>
      <c r="D36" s="36"/>
      <c r="E36" s="36"/>
      <c r="F36" s="36"/>
      <c r="G36" s="102"/>
    </row>
    <row r="37" spans="1:7" ht="41.25" thickBot="1" x14ac:dyDescent="0.3">
      <c r="A37" s="99" t="s">
        <v>949</v>
      </c>
      <c r="B37" s="133" t="s">
        <v>1</v>
      </c>
      <c r="C37" s="12">
        <v>221</v>
      </c>
      <c r="D37" s="57">
        <f t="shared" ref="D37:D45" si="2">+C37*$D$1</f>
        <v>299.89999999999998</v>
      </c>
      <c r="E37" s="57">
        <f t="shared" si="1"/>
        <v>407.86399999999998</v>
      </c>
      <c r="F37" s="57">
        <v>550.1</v>
      </c>
      <c r="G37" s="100" t="s">
        <v>33</v>
      </c>
    </row>
    <row r="38" spans="1:7" ht="27.75" thickBot="1" x14ac:dyDescent="0.3">
      <c r="A38" s="99" t="s">
        <v>950</v>
      </c>
      <c r="B38" s="133" t="s">
        <v>1</v>
      </c>
      <c r="C38" s="12">
        <v>221</v>
      </c>
      <c r="D38" s="87">
        <f t="shared" si="2"/>
        <v>299.89999999999998</v>
      </c>
      <c r="E38" s="87">
        <f t="shared" si="1"/>
        <v>407.86399999999998</v>
      </c>
      <c r="F38" s="87">
        <v>550.1</v>
      </c>
      <c r="G38" s="100" t="s">
        <v>34</v>
      </c>
    </row>
    <row r="39" spans="1:7" ht="27.75" thickBot="1" x14ac:dyDescent="0.3">
      <c r="A39" s="99" t="s">
        <v>951</v>
      </c>
      <c r="B39" s="133" t="s">
        <v>1</v>
      </c>
      <c r="C39" s="12">
        <v>221</v>
      </c>
      <c r="D39" s="87">
        <f t="shared" si="2"/>
        <v>299.89999999999998</v>
      </c>
      <c r="E39" s="87">
        <f t="shared" si="1"/>
        <v>407.86399999999998</v>
      </c>
      <c r="F39" s="87">
        <v>550.1</v>
      </c>
      <c r="G39" s="100" t="s">
        <v>35</v>
      </c>
    </row>
    <row r="40" spans="1:7" ht="16.5" thickBot="1" x14ac:dyDescent="0.3">
      <c r="A40" s="99" t="s">
        <v>968</v>
      </c>
      <c r="B40" s="133" t="s">
        <v>1</v>
      </c>
      <c r="C40" s="12">
        <v>221</v>
      </c>
      <c r="D40" s="87">
        <f t="shared" si="2"/>
        <v>299.89999999999998</v>
      </c>
      <c r="E40" s="87">
        <f t="shared" si="1"/>
        <v>407.86399999999998</v>
      </c>
      <c r="F40" s="87">
        <v>550.1</v>
      </c>
      <c r="G40" s="100" t="s">
        <v>36</v>
      </c>
    </row>
    <row r="41" spans="1:7" ht="41.25" thickBot="1" x14ac:dyDescent="0.3">
      <c r="A41" s="99" t="s">
        <v>969</v>
      </c>
      <c r="B41" s="133" t="s">
        <v>1</v>
      </c>
      <c r="C41" s="12">
        <v>221</v>
      </c>
      <c r="D41" s="87">
        <f t="shared" si="2"/>
        <v>299.89999999999998</v>
      </c>
      <c r="E41" s="87">
        <f t="shared" si="1"/>
        <v>407.86399999999998</v>
      </c>
      <c r="F41" s="87">
        <v>550.1</v>
      </c>
      <c r="G41" s="100" t="s">
        <v>37</v>
      </c>
    </row>
    <row r="42" spans="1:7" ht="27.75" thickBot="1" x14ac:dyDescent="0.3">
      <c r="A42" s="99" t="s">
        <v>952</v>
      </c>
      <c r="B42" s="133" t="s">
        <v>1</v>
      </c>
      <c r="C42" s="12">
        <v>221</v>
      </c>
      <c r="D42" s="87">
        <f t="shared" si="2"/>
        <v>299.89999999999998</v>
      </c>
      <c r="E42" s="87">
        <f t="shared" si="1"/>
        <v>407.86399999999998</v>
      </c>
      <c r="F42" s="87">
        <v>550.1</v>
      </c>
      <c r="G42" s="100" t="s">
        <v>38</v>
      </c>
    </row>
    <row r="43" spans="1:7" ht="27.75" thickBot="1" x14ac:dyDescent="0.3">
      <c r="A43" s="99" t="s">
        <v>953</v>
      </c>
      <c r="B43" s="133" t="s">
        <v>1</v>
      </c>
      <c r="C43" s="12">
        <v>221</v>
      </c>
      <c r="D43" s="87">
        <f t="shared" si="2"/>
        <v>299.89999999999998</v>
      </c>
      <c r="E43" s="87">
        <f t="shared" si="1"/>
        <v>407.86399999999998</v>
      </c>
      <c r="F43" s="87">
        <v>550.1</v>
      </c>
      <c r="G43" s="100" t="s">
        <v>39</v>
      </c>
    </row>
    <row r="44" spans="1:7" ht="27.75" thickBot="1" x14ac:dyDescent="0.3">
      <c r="A44" s="99" t="s">
        <v>954</v>
      </c>
      <c r="B44" s="133" t="s">
        <v>1</v>
      </c>
      <c r="C44" s="12">
        <v>221</v>
      </c>
      <c r="D44" s="87">
        <f t="shared" si="2"/>
        <v>299.89999999999998</v>
      </c>
      <c r="E44" s="87">
        <f t="shared" si="1"/>
        <v>407.86399999999998</v>
      </c>
      <c r="F44" s="87">
        <v>550.1</v>
      </c>
      <c r="G44" s="100" t="s">
        <v>40</v>
      </c>
    </row>
    <row r="45" spans="1:7" ht="162.75" thickBot="1" x14ac:dyDescent="0.3">
      <c r="A45" s="99" t="s">
        <v>970</v>
      </c>
      <c r="B45" s="133" t="s">
        <v>1</v>
      </c>
      <c r="C45" s="12">
        <v>221</v>
      </c>
      <c r="D45" s="87">
        <f t="shared" si="2"/>
        <v>299.89999999999998</v>
      </c>
      <c r="E45" s="87">
        <f t="shared" si="1"/>
        <v>407.86399999999998</v>
      </c>
      <c r="F45" s="87">
        <v>550.1</v>
      </c>
      <c r="G45" s="100" t="s">
        <v>41</v>
      </c>
    </row>
    <row r="46" spans="1:7" ht="17.25" customHeight="1" thickBot="1" x14ac:dyDescent="0.3">
      <c r="A46" s="101" t="s">
        <v>42</v>
      </c>
      <c r="B46" s="78"/>
      <c r="C46" s="1"/>
      <c r="D46" s="36"/>
      <c r="E46" s="36"/>
      <c r="F46" s="36"/>
      <c r="G46" s="103"/>
    </row>
    <row r="47" spans="1:7" ht="27.75" thickBot="1" x14ac:dyDescent="0.3">
      <c r="A47" s="99" t="s">
        <v>971</v>
      </c>
      <c r="B47" s="135" t="s">
        <v>43</v>
      </c>
      <c r="C47" s="13">
        <v>221</v>
      </c>
      <c r="D47" s="88">
        <v>299.89999999999998</v>
      </c>
      <c r="E47" s="88">
        <f t="shared" si="1"/>
        <v>407.86399999999998</v>
      </c>
      <c r="F47" s="193">
        <v>550.1</v>
      </c>
      <c r="G47" s="100" t="s">
        <v>44</v>
      </c>
    </row>
    <row r="48" spans="1:7" ht="68.25" thickBot="1" x14ac:dyDescent="0.3">
      <c r="A48" s="99" t="s">
        <v>972</v>
      </c>
      <c r="B48" s="135" t="s">
        <v>43</v>
      </c>
      <c r="C48" s="13">
        <v>221</v>
      </c>
      <c r="D48" s="89">
        <f>+C48*$D$1</f>
        <v>299.89999999999998</v>
      </c>
      <c r="E48" s="89">
        <f t="shared" si="1"/>
        <v>407.86399999999998</v>
      </c>
      <c r="F48" s="193">
        <v>550.1</v>
      </c>
      <c r="G48" s="100" t="s">
        <v>45</v>
      </c>
    </row>
    <row r="49" spans="1:7" ht="68.25" thickBot="1" x14ac:dyDescent="0.3">
      <c r="A49" s="99" t="s">
        <v>973</v>
      </c>
      <c r="B49" s="135" t="s">
        <v>1</v>
      </c>
      <c r="C49" s="13">
        <v>221</v>
      </c>
      <c r="D49" s="89">
        <f>+C49*$D$1</f>
        <v>299.89999999999998</v>
      </c>
      <c r="E49" s="89">
        <f t="shared" si="1"/>
        <v>407.86399999999998</v>
      </c>
      <c r="F49" s="193">
        <v>550.1</v>
      </c>
      <c r="G49" s="100" t="s">
        <v>46</v>
      </c>
    </row>
    <row r="50" spans="1:7" ht="17.25" customHeight="1" thickBot="1" x14ac:dyDescent="0.3">
      <c r="A50" s="101" t="s">
        <v>47</v>
      </c>
      <c r="B50" s="78"/>
      <c r="C50" s="1"/>
      <c r="D50" s="36"/>
      <c r="E50" s="36"/>
      <c r="F50" s="36"/>
      <c r="G50" s="103"/>
    </row>
    <row r="51" spans="1:7" ht="16.5" thickBot="1" x14ac:dyDescent="0.3">
      <c r="A51" s="99" t="s">
        <v>974</v>
      </c>
      <c r="B51" s="135" t="s">
        <v>1</v>
      </c>
      <c r="C51" s="14">
        <v>160</v>
      </c>
      <c r="D51" s="88">
        <v>218</v>
      </c>
      <c r="E51" s="88">
        <f t="shared" si="1"/>
        <v>296.48</v>
      </c>
      <c r="F51" s="193">
        <f t="shared" ref="F51" si="3">+E51*$F$1</f>
        <v>400.24800000000005</v>
      </c>
      <c r="G51" s="100" t="s">
        <v>48</v>
      </c>
    </row>
    <row r="52" spans="1:7" ht="16.5" thickBot="1" x14ac:dyDescent="0.3">
      <c r="A52" s="99" t="s">
        <v>975</v>
      </c>
      <c r="B52" s="135" t="s">
        <v>1</v>
      </c>
      <c r="C52" s="14">
        <v>280</v>
      </c>
      <c r="D52" s="89">
        <v>380</v>
      </c>
      <c r="E52" s="89">
        <v>517.54999999999995</v>
      </c>
      <c r="F52" s="193">
        <v>698.4</v>
      </c>
      <c r="G52" s="100" t="s">
        <v>49</v>
      </c>
    </row>
    <row r="53" spans="1:7" ht="17.25" customHeight="1" thickBot="1" x14ac:dyDescent="0.3">
      <c r="A53" s="101" t="s">
        <v>50</v>
      </c>
      <c r="B53" s="78"/>
      <c r="C53" s="59"/>
      <c r="D53" s="36"/>
      <c r="E53" s="36"/>
      <c r="F53" s="36"/>
      <c r="G53" s="103"/>
    </row>
    <row r="54" spans="1:7" ht="108.75" thickBot="1" x14ac:dyDescent="0.3">
      <c r="A54" s="99">
        <v>101000</v>
      </c>
      <c r="B54" s="135" t="s">
        <v>1</v>
      </c>
      <c r="C54" s="14">
        <v>280</v>
      </c>
      <c r="D54" s="88">
        <v>380</v>
      </c>
      <c r="E54" s="88">
        <v>517.54999999999995</v>
      </c>
      <c r="F54" s="193">
        <v>698.4</v>
      </c>
      <c r="G54" s="100" t="s">
        <v>51</v>
      </c>
    </row>
    <row r="55" spans="1:7" ht="108.75" thickBot="1" x14ac:dyDescent="0.3">
      <c r="A55" s="99">
        <v>111000</v>
      </c>
      <c r="B55" s="135" t="s">
        <v>1</v>
      </c>
      <c r="C55" s="14">
        <v>280</v>
      </c>
      <c r="D55" s="89">
        <v>380</v>
      </c>
      <c r="E55" s="89">
        <v>517.54999999999995</v>
      </c>
      <c r="F55" s="193">
        <v>698.4</v>
      </c>
      <c r="G55" s="100" t="s">
        <v>52</v>
      </c>
    </row>
    <row r="56" spans="1:7" ht="68.25" thickBot="1" x14ac:dyDescent="0.3">
      <c r="A56" s="99">
        <v>112000</v>
      </c>
      <c r="B56" s="135" t="s">
        <v>1</v>
      </c>
      <c r="C56" s="14">
        <v>280</v>
      </c>
      <c r="D56" s="89">
        <v>380</v>
      </c>
      <c r="E56" s="89">
        <v>517.54999999999995</v>
      </c>
      <c r="F56" s="193">
        <v>698.4</v>
      </c>
      <c r="G56" s="100" t="s">
        <v>53</v>
      </c>
    </row>
    <row r="57" spans="1:7" ht="16.5" customHeight="1" thickBot="1" x14ac:dyDescent="0.3">
      <c r="A57" s="101" t="s">
        <v>54</v>
      </c>
      <c r="B57" s="136"/>
      <c r="C57" s="3"/>
      <c r="D57" s="37"/>
      <c r="E57" s="37"/>
      <c r="F57" s="37"/>
      <c r="G57" s="104"/>
    </row>
    <row r="58" spans="1:7" ht="41.25" thickBot="1" x14ac:dyDescent="0.3">
      <c r="A58" s="99">
        <v>120000</v>
      </c>
      <c r="B58" s="137" t="s">
        <v>1</v>
      </c>
      <c r="C58" s="12">
        <v>280</v>
      </c>
      <c r="D58" s="88">
        <v>380</v>
      </c>
      <c r="E58" s="88">
        <v>517.54999999999995</v>
      </c>
      <c r="F58" s="194">
        <v>698.4</v>
      </c>
      <c r="G58" s="105" t="s">
        <v>55</v>
      </c>
    </row>
    <row r="59" spans="1:7" ht="54.75" thickBot="1" x14ac:dyDescent="0.3">
      <c r="A59" s="99">
        <v>131000</v>
      </c>
      <c r="B59" s="138" t="s">
        <v>1</v>
      </c>
      <c r="C59" s="12">
        <v>280</v>
      </c>
      <c r="D59" s="89">
        <v>380</v>
      </c>
      <c r="E59" s="89">
        <v>517.54999999999995</v>
      </c>
      <c r="F59" s="88">
        <v>698.4</v>
      </c>
      <c r="G59" s="96" t="s">
        <v>56</v>
      </c>
    </row>
    <row r="60" spans="1:7" ht="149.25" thickBot="1" x14ac:dyDescent="0.3">
      <c r="A60" s="106">
        <v>132000</v>
      </c>
      <c r="B60" s="139" t="s">
        <v>1</v>
      </c>
      <c r="C60" s="12">
        <v>280</v>
      </c>
      <c r="D60" s="89">
        <v>380</v>
      </c>
      <c r="E60" s="89">
        <v>517.54999999999995</v>
      </c>
      <c r="F60" s="194">
        <v>698.4</v>
      </c>
      <c r="G60" s="107" t="s">
        <v>57</v>
      </c>
    </row>
    <row r="61" spans="1:7" ht="16.5" customHeight="1" thickBot="1" x14ac:dyDescent="0.3">
      <c r="A61" s="101" t="s">
        <v>58</v>
      </c>
      <c r="B61" s="136"/>
      <c r="C61" s="3"/>
      <c r="D61" s="37"/>
      <c r="E61" s="37"/>
      <c r="F61" s="37"/>
      <c r="G61" s="104"/>
    </row>
    <row r="62" spans="1:7" ht="16.5" thickBot="1" x14ac:dyDescent="0.3">
      <c r="A62" s="99">
        <v>20130.099999999999</v>
      </c>
      <c r="B62" s="135" t="s">
        <v>59</v>
      </c>
      <c r="C62" s="14">
        <v>221</v>
      </c>
      <c r="D62" s="88">
        <f>+C62*$D$1</f>
        <v>299.89999999999998</v>
      </c>
      <c r="E62" s="88">
        <f t="shared" si="1"/>
        <v>407.86399999999998</v>
      </c>
      <c r="F62" s="193">
        <v>550.1</v>
      </c>
      <c r="G62" s="100" t="s">
        <v>60</v>
      </c>
    </row>
    <row r="63" spans="1:7" ht="81.75" thickBot="1" x14ac:dyDescent="0.3">
      <c r="A63" s="99">
        <v>141100</v>
      </c>
      <c r="B63" s="135" t="s">
        <v>59</v>
      </c>
      <c r="C63" s="14">
        <v>280</v>
      </c>
      <c r="D63" s="89">
        <v>380</v>
      </c>
      <c r="E63" s="89">
        <v>517.54999999999995</v>
      </c>
      <c r="F63" s="193">
        <v>698.4</v>
      </c>
      <c r="G63" s="100" t="s">
        <v>61</v>
      </c>
    </row>
    <row r="64" spans="1:7" ht="54.75" thickBot="1" x14ac:dyDescent="0.3">
      <c r="A64" s="99">
        <v>141200</v>
      </c>
      <c r="B64" s="135" t="s">
        <v>59</v>
      </c>
      <c r="C64" s="14">
        <v>280</v>
      </c>
      <c r="D64" s="89">
        <v>380</v>
      </c>
      <c r="E64" s="89">
        <v>517.54999999999995</v>
      </c>
      <c r="F64" s="193">
        <v>698.4</v>
      </c>
      <c r="G64" s="100" t="s">
        <v>62</v>
      </c>
    </row>
    <row r="65" spans="1:7" ht="122.25" thickBot="1" x14ac:dyDescent="0.3">
      <c r="A65" s="99">
        <v>141300</v>
      </c>
      <c r="B65" s="135" t="s">
        <v>59</v>
      </c>
      <c r="C65" s="14">
        <v>280</v>
      </c>
      <c r="D65" s="89">
        <v>380</v>
      </c>
      <c r="E65" s="89">
        <v>517.54999999999995</v>
      </c>
      <c r="F65" s="193">
        <v>698.4</v>
      </c>
      <c r="G65" s="100" t="s">
        <v>63</v>
      </c>
    </row>
    <row r="66" spans="1:7" ht="81.75" thickBot="1" x14ac:dyDescent="0.3">
      <c r="A66" s="110">
        <v>141400</v>
      </c>
      <c r="B66" s="137" t="s">
        <v>59</v>
      </c>
      <c r="C66" s="151">
        <v>280</v>
      </c>
      <c r="D66" s="152">
        <v>380</v>
      </c>
      <c r="E66" s="89">
        <v>517.54999999999995</v>
      </c>
      <c r="F66" s="194">
        <v>698.4</v>
      </c>
      <c r="G66" s="105" t="s">
        <v>64</v>
      </c>
    </row>
    <row r="67" spans="1:7" ht="16.5" customHeight="1" x14ac:dyDescent="0.25">
      <c r="A67" s="153" t="s">
        <v>977</v>
      </c>
      <c r="B67" s="154"/>
      <c r="C67" s="155"/>
      <c r="D67" s="156"/>
      <c r="E67" s="156"/>
      <c r="F67" s="156"/>
      <c r="G67" s="157"/>
    </row>
    <row r="68" spans="1:7" ht="16.5" customHeight="1" thickBot="1" x14ac:dyDescent="0.3">
      <c r="A68" s="108" t="s">
        <v>976</v>
      </c>
      <c r="B68" s="150"/>
      <c r="C68" s="22"/>
      <c r="D68" s="38"/>
      <c r="E68" s="38"/>
      <c r="F68" s="38"/>
      <c r="G68" s="109"/>
    </row>
    <row r="69" spans="1:7" ht="68.25" thickBot="1" x14ac:dyDescent="0.3">
      <c r="A69" s="66">
        <v>142110</v>
      </c>
      <c r="B69" s="140" t="s">
        <v>59</v>
      </c>
      <c r="C69" s="12">
        <v>280</v>
      </c>
      <c r="D69" s="88">
        <v>380</v>
      </c>
      <c r="E69" s="88">
        <v>517.54999999999995</v>
      </c>
      <c r="F69" s="195">
        <v>698.4</v>
      </c>
      <c r="G69" s="96" t="s">
        <v>65</v>
      </c>
    </row>
    <row r="70" spans="1:7" ht="162.75" thickBot="1" x14ac:dyDescent="0.3">
      <c r="A70" s="99">
        <v>142120</v>
      </c>
      <c r="B70" s="138" t="s">
        <v>59</v>
      </c>
      <c r="C70" s="12">
        <v>280</v>
      </c>
      <c r="D70" s="89">
        <v>380</v>
      </c>
      <c r="E70" s="89">
        <v>517.54999999999995</v>
      </c>
      <c r="F70" s="193">
        <v>698.4</v>
      </c>
      <c r="G70" s="100" t="s">
        <v>66</v>
      </c>
    </row>
    <row r="71" spans="1:7" ht="27.75" thickBot="1" x14ac:dyDescent="0.3">
      <c r="A71" s="67">
        <v>142200</v>
      </c>
      <c r="B71" s="140" t="s">
        <v>59</v>
      </c>
      <c r="C71" s="12">
        <v>280</v>
      </c>
      <c r="D71" s="89">
        <v>380</v>
      </c>
      <c r="E71" s="89">
        <v>517.54999999999995</v>
      </c>
      <c r="F71" s="193">
        <v>698.4</v>
      </c>
      <c r="G71" s="96" t="s">
        <v>926</v>
      </c>
    </row>
    <row r="72" spans="1:7" ht="149.25" thickBot="1" x14ac:dyDescent="0.3">
      <c r="A72" s="99">
        <v>142900</v>
      </c>
      <c r="B72" s="135" t="s">
        <v>59</v>
      </c>
      <c r="C72" s="15">
        <v>280</v>
      </c>
      <c r="D72" s="89">
        <v>380</v>
      </c>
      <c r="E72" s="89">
        <v>517.54999999999995</v>
      </c>
      <c r="F72" s="193">
        <v>698.4</v>
      </c>
      <c r="G72" s="100" t="s">
        <v>67</v>
      </c>
    </row>
    <row r="73" spans="1:7" ht="17.25" customHeight="1" thickBot="1" x14ac:dyDescent="0.3">
      <c r="A73" s="101" t="s">
        <v>68</v>
      </c>
      <c r="B73" s="78"/>
      <c r="C73" s="1"/>
      <c r="D73" s="36"/>
      <c r="E73" s="36"/>
      <c r="F73" s="36"/>
      <c r="G73" s="103"/>
    </row>
    <row r="74" spans="1:7" ht="17.25" customHeight="1" thickBot="1" x14ac:dyDescent="0.3">
      <c r="A74" s="101" t="s">
        <v>69</v>
      </c>
      <c r="B74" s="78"/>
      <c r="C74" s="1"/>
      <c r="D74" s="36"/>
      <c r="E74" s="36"/>
      <c r="F74" s="36"/>
      <c r="G74" s="103"/>
    </row>
    <row r="75" spans="1:7" ht="16.5" thickBot="1" x14ac:dyDescent="0.3">
      <c r="A75" s="99">
        <v>151111</v>
      </c>
      <c r="B75" s="135" t="s">
        <v>1</v>
      </c>
      <c r="C75" s="12">
        <v>280</v>
      </c>
      <c r="D75" s="88">
        <v>380</v>
      </c>
      <c r="E75" s="88">
        <v>517.54999999999995</v>
      </c>
      <c r="F75" s="193">
        <v>698.4</v>
      </c>
      <c r="G75" s="100" t="s">
        <v>70</v>
      </c>
    </row>
    <row r="76" spans="1:7" ht="41.25" thickBot="1" x14ac:dyDescent="0.3">
      <c r="A76" s="99">
        <v>151112</v>
      </c>
      <c r="B76" s="135" t="s">
        <v>1</v>
      </c>
      <c r="C76" s="12">
        <v>280</v>
      </c>
      <c r="D76" s="89">
        <v>380</v>
      </c>
      <c r="E76" s="89">
        <v>517.54999999999995</v>
      </c>
      <c r="F76" s="193">
        <v>698.4</v>
      </c>
      <c r="G76" s="100" t="s">
        <v>71</v>
      </c>
    </row>
    <row r="77" spans="1:7" ht="41.25" thickBot="1" x14ac:dyDescent="0.3">
      <c r="A77" s="99">
        <v>151113</v>
      </c>
      <c r="B77" s="135" t="s">
        <v>1</v>
      </c>
      <c r="C77" s="12">
        <v>280</v>
      </c>
      <c r="D77" s="89">
        <v>380</v>
      </c>
      <c r="E77" s="89">
        <v>517.54999999999995</v>
      </c>
      <c r="F77" s="193">
        <v>698.4</v>
      </c>
      <c r="G77" s="100" t="s">
        <v>72</v>
      </c>
    </row>
    <row r="78" spans="1:7" ht="41.25" thickBot="1" x14ac:dyDescent="0.3">
      <c r="A78" s="99">
        <v>151120</v>
      </c>
      <c r="B78" s="135" t="s">
        <v>1</v>
      </c>
      <c r="C78" s="12">
        <v>280</v>
      </c>
      <c r="D78" s="89">
        <v>380</v>
      </c>
      <c r="E78" s="89">
        <v>517.54999999999995</v>
      </c>
      <c r="F78" s="193">
        <v>698.4</v>
      </c>
      <c r="G78" s="100" t="s">
        <v>73</v>
      </c>
    </row>
    <row r="79" spans="1:7" ht="54.75" thickBot="1" x14ac:dyDescent="0.3">
      <c r="A79" s="99">
        <v>151130</v>
      </c>
      <c r="B79" s="135" t="s">
        <v>1</v>
      </c>
      <c r="C79" s="12">
        <v>280</v>
      </c>
      <c r="D79" s="89">
        <v>380</v>
      </c>
      <c r="E79" s="89">
        <v>517.54999999999995</v>
      </c>
      <c r="F79" s="193">
        <v>698.4</v>
      </c>
      <c r="G79" s="100" t="s">
        <v>74</v>
      </c>
    </row>
    <row r="80" spans="1:7" ht="41.25" thickBot="1" x14ac:dyDescent="0.3">
      <c r="A80" s="99">
        <v>151199</v>
      </c>
      <c r="B80" s="135" t="s">
        <v>1</v>
      </c>
      <c r="C80" s="12">
        <v>280</v>
      </c>
      <c r="D80" s="89">
        <v>380</v>
      </c>
      <c r="E80" s="89">
        <v>517.54999999999995</v>
      </c>
      <c r="F80" s="193">
        <v>698.4</v>
      </c>
      <c r="G80" s="100" t="s">
        <v>75</v>
      </c>
    </row>
    <row r="81" spans="1:7" ht="54.75" thickBot="1" x14ac:dyDescent="0.3">
      <c r="A81" s="99">
        <v>151201</v>
      </c>
      <c r="B81" s="135" t="s">
        <v>1</v>
      </c>
      <c r="C81" s="12">
        <v>280</v>
      </c>
      <c r="D81" s="89">
        <v>380</v>
      </c>
      <c r="E81" s="89">
        <v>517.54999999999995</v>
      </c>
      <c r="F81" s="193">
        <v>698.4</v>
      </c>
      <c r="G81" s="100" t="s">
        <v>76</v>
      </c>
    </row>
    <row r="82" spans="1:7" ht="68.25" thickBot="1" x14ac:dyDescent="0.3">
      <c r="A82" s="99">
        <v>151202</v>
      </c>
      <c r="B82" s="135" t="s">
        <v>1</v>
      </c>
      <c r="C82" s="12">
        <v>280</v>
      </c>
      <c r="D82" s="89">
        <v>380</v>
      </c>
      <c r="E82" s="89">
        <v>517.54999999999995</v>
      </c>
      <c r="F82" s="193">
        <v>698.4</v>
      </c>
      <c r="G82" s="100" t="s">
        <v>77</v>
      </c>
    </row>
    <row r="83" spans="1:7" ht="41.25" thickBot="1" x14ac:dyDescent="0.3">
      <c r="A83" s="99">
        <v>151203</v>
      </c>
      <c r="B83" s="135" t="s">
        <v>1</v>
      </c>
      <c r="C83" s="12">
        <v>280</v>
      </c>
      <c r="D83" s="89">
        <v>380</v>
      </c>
      <c r="E83" s="89">
        <v>517.54999999999995</v>
      </c>
      <c r="F83" s="193">
        <v>698.4</v>
      </c>
      <c r="G83" s="100" t="s">
        <v>78</v>
      </c>
    </row>
    <row r="84" spans="1:7" ht="41.25" thickBot="1" x14ac:dyDescent="0.3">
      <c r="A84" s="99">
        <v>151310</v>
      </c>
      <c r="B84" s="135" t="s">
        <v>1</v>
      </c>
      <c r="C84" s="12">
        <v>280</v>
      </c>
      <c r="D84" s="89">
        <v>380</v>
      </c>
      <c r="E84" s="89">
        <v>517.54999999999995</v>
      </c>
      <c r="F84" s="193">
        <v>698.4</v>
      </c>
      <c r="G84" s="100" t="s">
        <v>79</v>
      </c>
    </row>
    <row r="85" spans="1:7" ht="54.75" thickBot="1" x14ac:dyDescent="0.3">
      <c r="A85" s="99">
        <v>151320</v>
      </c>
      <c r="B85" s="135" t="s">
        <v>1</v>
      </c>
      <c r="C85" s="12">
        <v>280</v>
      </c>
      <c r="D85" s="89">
        <v>380</v>
      </c>
      <c r="E85" s="89">
        <v>517.54999999999995</v>
      </c>
      <c r="F85" s="193">
        <v>698.4</v>
      </c>
      <c r="G85" s="100" t="s">
        <v>80</v>
      </c>
    </row>
    <row r="86" spans="1:7" ht="27.75" thickBot="1" x14ac:dyDescent="0.3">
      <c r="A86" s="99">
        <v>151330</v>
      </c>
      <c r="B86" s="135" t="s">
        <v>1</v>
      </c>
      <c r="C86" s="12">
        <v>280</v>
      </c>
      <c r="D86" s="89">
        <v>380</v>
      </c>
      <c r="E86" s="89">
        <v>517.54999999999995</v>
      </c>
      <c r="F86" s="193">
        <v>698.4</v>
      </c>
      <c r="G86" s="100" t="s">
        <v>81</v>
      </c>
    </row>
    <row r="87" spans="1:7" ht="41.25" thickBot="1" x14ac:dyDescent="0.3">
      <c r="A87" s="99">
        <v>151340</v>
      </c>
      <c r="B87" s="135" t="s">
        <v>1</v>
      </c>
      <c r="C87" s="12">
        <v>280</v>
      </c>
      <c r="D87" s="89">
        <v>380</v>
      </c>
      <c r="E87" s="89">
        <v>517.54999999999995</v>
      </c>
      <c r="F87" s="193">
        <v>698.4</v>
      </c>
      <c r="G87" s="100" t="s">
        <v>82</v>
      </c>
    </row>
    <row r="88" spans="1:7" ht="54.75" thickBot="1" x14ac:dyDescent="0.3">
      <c r="A88" s="99">
        <v>151390.1</v>
      </c>
      <c r="B88" s="135" t="s">
        <v>1</v>
      </c>
      <c r="C88" s="12">
        <v>280</v>
      </c>
      <c r="D88" s="89">
        <v>380</v>
      </c>
      <c r="E88" s="89">
        <v>517.54999999999995</v>
      </c>
      <c r="F88" s="193">
        <v>698.4</v>
      </c>
      <c r="G88" s="100" t="s">
        <v>83</v>
      </c>
    </row>
    <row r="89" spans="1:7" ht="81.75" thickBot="1" x14ac:dyDescent="0.3">
      <c r="A89" s="99">
        <v>151390.20000000001</v>
      </c>
      <c r="B89" s="135" t="s">
        <v>1</v>
      </c>
      <c r="C89" s="12">
        <v>280</v>
      </c>
      <c r="D89" s="89">
        <v>380</v>
      </c>
      <c r="E89" s="89">
        <v>517.54999999999995</v>
      </c>
      <c r="F89" s="193">
        <v>698.4</v>
      </c>
      <c r="G89" s="100" t="s">
        <v>84</v>
      </c>
    </row>
    <row r="90" spans="1:7" ht="41.25" thickBot="1" x14ac:dyDescent="0.3">
      <c r="A90" s="99">
        <v>151410</v>
      </c>
      <c r="B90" s="135" t="s">
        <v>1</v>
      </c>
      <c r="C90" s="12">
        <v>280</v>
      </c>
      <c r="D90" s="89">
        <v>380</v>
      </c>
      <c r="E90" s="89">
        <v>517.54999999999995</v>
      </c>
      <c r="F90" s="193">
        <v>698.4</v>
      </c>
      <c r="G90" s="100" t="s">
        <v>85</v>
      </c>
    </row>
    <row r="91" spans="1:7" ht="54.75" thickBot="1" x14ac:dyDescent="0.3">
      <c r="A91" s="99">
        <v>152010</v>
      </c>
      <c r="B91" s="135" t="s">
        <v>1</v>
      </c>
      <c r="C91" s="12">
        <v>280</v>
      </c>
      <c r="D91" s="89">
        <v>380</v>
      </c>
      <c r="E91" s="89">
        <v>517.54999999999995</v>
      </c>
      <c r="F91" s="193">
        <v>698.4</v>
      </c>
      <c r="G91" s="100" t="s">
        <v>86</v>
      </c>
    </row>
    <row r="92" spans="1:7" ht="16.5" thickBot="1" x14ac:dyDescent="0.3">
      <c r="A92" s="99">
        <v>152020</v>
      </c>
      <c r="B92" s="135" t="s">
        <v>1</v>
      </c>
      <c r="C92" s="12">
        <v>280</v>
      </c>
      <c r="D92" s="89">
        <v>380</v>
      </c>
      <c r="E92" s="89">
        <v>517.54999999999995</v>
      </c>
      <c r="F92" s="193">
        <v>698.4</v>
      </c>
      <c r="G92" s="100" t="s">
        <v>87</v>
      </c>
    </row>
    <row r="93" spans="1:7" ht="16.5" thickBot="1" x14ac:dyDescent="0.3">
      <c r="A93" s="99">
        <v>152030</v>
      </c>
      <c r="B93" s="135" t="s">
        <v>1</v>
      </c>
      <c r="C93" s="12">
        <v>280</v>
      </c>
      <c r="D93" s="89">
        <v>380</v>
      </c>
      <c r="E93" s="89">
        <v>517.54999999999995</v>
      </c>
      <c r="F93" s="193">
        <v>698.4</v>
      </c>
      <c r="G93" s="100" t="s">
        <v>88</v>
      </c>
    </row>
    <row r="94" spans="1:7" ht="27.75" thickBot="1" x14ac:dyDescent="0.3">
      <c r="A94" s="99">
        <v>152090.1</v>
      </c>
      <c r="B94" s="135" t="s">
        <v>1</v>
      </c>
      <c r="C94" s="12">
        <v>280</v>
      </c>
      <c r="D94" s="89">
        <v>380</v>
      </c>
      <c r="E94" s="89">
        <v>517.54999999999995</v>
      </c>
      <c r="F94" s="193">
        <v>698.4</v>
      </c>
      <c r="G94" s="100" t="s">
        <v>89</v>
      </c>
    </row>
    <row r="95" spans="1:7" ht="54.75" thickBot="1" x14ac:dyDescent="0.3">
      <c r="A95" s="99">
        <v>152090.20000000001</v>
      </c>
      <c r="B95" s="135" t="s">
        <v>1</v>
      </c>
      <c r="C95" s="12">
        <v>280</v>
      </c>
      <c r="D95" s="89">
        <v>380</v>
      </c>
      <c r="E95" s="89">
        <v>517.54999999999995</v>
      </c>
      <c r="F95" s="193">
        <v>698.4</v>
      </c>
      <c r="G95" s="100" t="s">
        <v>90</v>
      </c>
    </row>
    <row r="96" spans="1:7" ht="41.25" thickBot="1" x14ac:dyDescent="0.3">
      <c r="A96" s="99">
        <v>152090.29999999999</v>
      </c>
      <c r="B96" s="135" t="s">
        <v>1</v>
      </c>
      <c r="C96" s="12">
        <v>120</v>
      </c>
      <c r="D96" s="89">
        <v>280</v>
      </c>
      <c r="E96" s="89">
        <v>395</v>
      </c>
      <c r="F96" s="193">
        <f t="shared" ref="F96:F104" si="4">+E96*$F$1</f>
        <v>533.25</v>
      </c>
      <c r="G96" s="100" t="s">
        <v>91</v>
      </c>
    </row>
    <row r="97" spans="1:7" ht="16.5" thickBot="1" x14ac:dyDescent="0.3">
      <c r="A97" s="99">
        <v>153110</v>
      </c>
      <c r="B97" s="135" t="s">
        <v>1</v>
      </c>
      <c r="C97" s="12">
        <v>280</v>
      </c>
      <c r="D97" s="89">
        <v>380</v>
      </c>
      <c r="E97" s="89">
        <v>517.54999999999995</v>
      </c>
      <c r="F97" s="193">
        <v>698.4</v>
      </c>
      <c r="G97" s="100" t="s">
        <v>92</v>
      </c>
    </row>
    <row r="98" spans="1:7" ht="27.75" thickBot="1" x14ac:dyDescent="0.3">
      <c r="A98" s="99">
        <v>153120</v>
      </c>
      <c r="B98" s="135" t="s">
        <v>1</v>
      </c>
      <c r="C98" s="12">
        <v>280</v>
      </c>
      <c r="D98" s="89">
        <v>380</v>
      </c>
      <c r="E98" s="89">
        <v>517.54999999999995</v>
      </c>
      <c r="F98" s="193">
        <v>698.4</v>
      </c>
      <c r="G98" s="100" t="s">
        <v>93</v>
      </c>
    </row>
    <row r="99" spans="1:7" ht="54.75" thickBot="1" x14ac:dyDescent="0.3">
      <c r="A99" s="99">
        <v>153139</v>
      </c>
      <c r="B99" s="135" t="s">
        <v>1</v>
      </c>
      <c r="C99" s="12">
        <v>280</v>
      </c>
      <c r="D99" s="89">
        <v>380</v>
      </c>
      <c r="E99" s="89">
        <v>517.54999999999995</v>
      </c>
      <c r="F99" s="193">
        <v>698.4</v>
      </c>
      <c r="G99" s="100" t="s">
        <v>94</v>
      </c>
    </row>
    <row r="100" spans="1:7" ht="68.25" thickBot="1" x14ac:dyDescent="0.3">
      <c r="A100" s="99">
        <v>153200</v>
      </c>
      <c r="B100" s="135" t="s">
        <v>1</v>
      </c>
      <c r="C100" s="12">
        <v>280</v>
      </c>
      <c r="D100" s="89">
        <v>380</v>
      </c>
      <c r="E100" s="89">
        <v>517.54999999999995</v>
      </c>
      <c r="F100" s="193">
        <v>698.4</v>
      </c>
      <c r="G100" s="100" t="s">
        <v>95</v>
      </c>
    </row>
    <row r="101" spans="1:7" ht="27.75" thickBot="1" x14ac:dyDescent="0.3">
      <c r="A101" s="99">
        <v>153300</v>
      </c>
      <c r="B101" s="135" t="s">
        <v>1</v>
      </c>
      <c r="C101" s="12">
        <v>280</v>
      </c>
      <c r="D101" s="89">
        <v>380</v>
      </c>
      <c r="E101" s="89">
        <v>517.54999999999995</v>
      </c>
      <c r="F101" s="193">
        <v>698.4</v>
      </c>
      <c r="G101" s="100" t="s">
        <v>96</v>
      </c>
    </row>
    <row r="102" spans="1:7" ht="41.25" thickBot="1" x14ac:dyDescent="0.3">
      <c r="A102" s="99">
        <v>154110</v>
      </c>
      <c r="B102" s="135" t="s">
        <v>1</v>
      </c>
      <c r="C102" s="12">
        <v>280</v>
      </c>
      <c r="D102" s="89">
        <v>380</v>
      </c>
      <c r="E102" s="89">
        <v>517.54999999999995</v>
      </c>
      <c r="F102" s="193">
        <v>698.4</v>
      </c>
      <c r="G102" s="100" t="s">
        <v>97</v>
      </c>
    </row>
    <row r="103" spans="1:7" ht="41.25" thickBot="1" x14ac:dyDescent="0.3">
      <c r="A103" s="99">
        <v>154120</v>
      </c>
      <c r="B103" s="135" t="s">
        <v>1</v>
      </c>
      <c r="C103" s="12">
        <v>280</v>
      </c>
      <c r="D103" s="89">
        <v>380</v>
      </c>
      <c r="E103" s="89">
        <v>517.54999999999995</v>
      </c>
      <c r="F103" s="193">
        <v>698.4</v>
      </c>
      <c r="G103" s="100" t="s">
        <v>98</v>
      </c>
    </row>
    <row r="104" spans="1:7" ht="16.5" thickBot="1" x14ac:dyDescent="0.3">
      <c r="A104" s="99">
        <v>154120.1</v>
      </c>
      <c r="B104" s="135" t="s">
        <v>1</v>
      </c>
      <c r="C104" s="12">
        <v>160</v>
      </c>
      <c r="D104" s="87">
        <v>218</v>
      </c>
      <c r="E104" s="87">
        <f t="shared" ref="E104" si="5">+D104*1.36</f>
        <v>296.48</v>
      </c>
      <c r="F104" s="192">
        <f t="shared" si="4"/>
        <v>400.24800000000005</v>
      </c>
      <c r="G104" s="100" t="s">
        <v>99</v>
      </c>
    </row>
    <row r="105" spans="1:7" ht="41.25" thickBot="1" x14ac:dyDescent="0.3">
      <c r="A105" s="99">
        <v>154191</v>
      </c>
      <c r="B105" s="135" t="s">
        <v>1</v>
      </c>
      <c r="C105" s="12">
        <v>280</v>
      </c>
      <c r="D105" s="89">
        <v>380</v>
      </c>
      <c r="E105" s="89">
        <v>517.54999999999995</v>
      </c>
      <c r="F105" s="193">
        <v>698.4</v>
      </c>
      <c r="G105" s="100" t="s">
        <v>100</v>
      </c>
    </row>
    <row r="106" spans="1:7" ht="81.75" thickBot="1" x14ac:dyDescent="0.3">
      <c r="A106" s="99">
        <v>154199</v>
      </c>
      <c r="B106" s="135" t="s">
        <v>1</v>
      </c>
      <c r="C106" s="12">
        <v>280</v>
      </c>
      <c r="D106" s="89">
        <v>380</v>
      </c>
      <c r="E106" s="89">
        <v>517.54999999999995</v>
      </c>
      <c r="F106" s="193">
        <v>698.4</v>
      </c>
      <c r="G106" s="100" t="s">
        <v>101</v>
      </c>
    </row>
    <row r="107" spans="1:7" ht="27.75" thickBot="1" x14ac:dyDescent="0.3">
      <c r="A107" s="99">
        <v>154200.1</v>
      </c>
      <c r="B107" s="135" t="s">
        <v>1</v>
      </c>
      <c r="C107" s="12">
        <v>280</v>
      </c>
      <c r="D107" s="89">
        <v>380</v>
      </c>
      <c r="E107" s="89">
        <v>517.54999999999995</v>
      </c>
      <c r="F107" s="193">
        <v>698.4</v>
      </c>
      <c r="G107" s="100" t="s">
        <v>102</v>
      </c>
    </row>
    <row r="108" spans="1:7" ht="41.25" thickBot="1" x14ac:dyDescent="0.3">
      <c r="A108" s="99">
        <v>154200.20000000001</v>
      </c>
      <c r="B108" s="135" t="s">
        <v>1</v>
      </c>
      <c r="C108" s="12">
        <v>280</v>
      </c>
      <c r="D108" s="89">
        <v>380</v>
      </c>
      <c r="E108" s="89">
        <v>517.54999999999995</v>
      </c>
      <c r="F108" s="193">
        <v>698.4</v>
      </c>
      <c r="G108" s="100" t="s">
        <v>103</v>
      </c>
    </row>
    <row r="109" spans="1:7" ht="54.75" thickBot="1" x14ac:dyDescent="0.3">
      <c r="A109" s="99">
        <v>154301</v>
      </c>
      <c r="B109" s="135" t="s">
        <v>1</v>
      </c>
      <c r="C109" s="12">
        <v>280</v>
      </c>
      <c r="D109" s="89">
        <v>380</v>
      </c>
      <c r="E109" s="89">
        <v>517.54999999999995</v>
      </c>
      <c r="F109" s="193">
        <v>698.4</v>
      </c>
      <c r="G109" s="100" t="s">
        <v>104</v>
      </c>
    </row>
    <row r="110" spans="1:7" ht="41.25" thickBot="1" x14ac:dyDescent="0.3">
      <c r="A110" s="99">
        <v>154309</v>
      </c>
      <c r="B110" s="135" t="s">
        <v>1</v>
      </c>
      <c r="C110" s="12">
        <v>280</v>
      </c>
      <c r="D110" s="89">
        <v>380</v>
      </c>
      <c r="E110" s="89">
        <v>517.54999999999995</v>
      </c>
      <c r="F110" s="193">
        <v>698.4</v>
      </c>
      <c r="G110" s="100" t="s">
        <v>105</v>
      </c>
    </row>
    <row r="111" spans="1:7" ht="16.5" thickBot="1" x14ac:dyDescent="0.3">
      <c r="A111" s="99">
        <v>154410</v>
      </c>
      <c r="B111" s="135" t="s">
        <v>1</v>
      </c>
      <c r="C111" s="12">
        <v>280</v>
      </c>
      <c r="D111" s="89">
        <v>380</v>
      </c>
      <c r="E111" s="89">
        <v>517.54999999999995</v>
      </c>
      <c r="F111" s="193">
        <v>698.4</v>
      </c>
      <c r="G111" s="100" t="s">
        <v>106</v>
      </c>
    </row>
    <row r="112" spans="1:7" ht="16.5" thickBot="1" x14ac:dyDescent="0.3">
      <c r="A112" s="99">
        <v>154420</v>
      </c>
      <c r="B112" s="135" t="s">
        <v>1</v>
      </c>
      <c r="C112" s="12">
        <v>280</v>
      </c>
      <c r="D112" s="89">
        <v>380</v>
      </c>
      <c r="E112" s="89">
        <v>517.54999999999995</v>
      </c>
      <c r="F112" s="193">
        <v>698.4</v>
      </c>
      <c r="G112" s="100" t="s">
        <v>107</v>
      </c>
    </row>
    <row r="113" spans="1:7" ht="17.25" thickBot="1" x14ac:dyDescent="0.3">
      <c r="A113" s="101" t="s">
        <v>108</v>
      </c>
      <c r="B113" s="78"/>
      <c r="C113" s="1"/>
      <c r="D113" s="36"/>
      <c r="E113" s="36"/>
      <c r="F113" s="36"/>
      <c r="G113" s="103"/>
    </row>
    <row r="114" spans="1:7" ht="27.75" thickBot="1" x14ac:dyDescent="0.3">
      <c r="A114" s="99">
        <v>153131</v>
      </c>
      <c r="B114" s="135" t="s">
        <v>1</v>
      </c>
      <c r="C114" s="12">
        <v>280</v>
      </c>
      <c r="D114" s="88">
        <v>380</v>
      </c>
      <c r="E114" s="88">
        <v>517.54999999999995</v>
      </c>
      <c r="F114" s="193">
        <v>698.4</v>
      </c>
      <c r="G114" s="100" t="s">
        <v>109</v>
      </c>
    </row>
    <row r="115" spans="1:7" ht="27.75" thickBot="1" x14ac:dyDescent="0.3">
      <c r="A115" s="99">
        <v>154911</v>
      </c>
      <c r="B115" s="135" t="s">
        <v>1</v>
      </c>
      <c r="C115" s="12">
        <v>280</v>
      </c>
      <c r="D115" s="89">
        <v>380</v>
      </c>
      <c r="E115" s="89">
        <v>517.54999999999995</v>
      </c>
      <c r="F115" s="193">
        <v>698.4</v>
      </c>
      <c r="G115" s="100" t="s">
        <v>110</v>
      </c>
    </row>
    <row r="116" spans="1:7" ht="16.5" thickBot="1" x14ac:dyDescent="0.3">
      <c r="A116" s="99">
        <v>154912</v>
      </c>
      <c r="B116" s="135" t="s">
        <v>1</v>
      </c>
      <c r="C116" s="12">
        <v>280</v>
      </c>
      <c r="D116" s="89">
        <v>380</v>
      </c>
      <c r="E116" s="89">
        <v>517.54999999999995</v>
      </c>
      <c r="F116" s="193">
        <v>698.4</v>
      </c>
      <c r="G116" s="100" t="s">
        <v>111</v>
      </c>
    </row>
    <row r="117" spans="1:7" ht="16.5" thickBot="1" x14ac:dyDescent="0.3">
      <c r="A117" s="99">
        <v>154920</v>
      </c>
      <c r="B117" s="135" t="s">
        <v>1</v>
      </c>
      <c r="C117" s="12">
        <v>280</v>
      </c>
      <c r="D117" s="89">
        <v>380</v>
      </c>
      <c r="E117" s="89">
        <v>517.54999999999995</v>
      </c>
      <c r="F117" s="193">
        <v>698.4</v>
      </c>
      <c r="G117" s="100" t="s">
        <v>112</v>
      </c>
    </row>
    <row r="118" spans="1:7" ht="41.25" thickBot="1" x14ac:dyDescent="0.3">
      <c r="A118" s="99">
        <v>154930</v>
      </c>
      <c r="B118" s="135" t="s">
        <v>1</v>
      </c>
      <c r="C118" s="12">
        <v>280</v>
      </c>
      <c r="D118" s="89">
        <v>380</v>
      </c>
      <c r="E118" s="89">
        <v>517.54999999999995</v>
      </c>
      <c r="F118" s="193">
        <v>698.4</v>
      </c>
      <c r="G118" s="100" t="s">
        <v>113</v>
      </c>
    </row>
    <row r="119" spans="1:7" ht="27.75" thickBot="1" x14ac:dyDescent="0.3">
      <c r="A119" s="99">
        <v>154991</v>
      </c>
      <c r="B119" s="135" t="s">
        <v>1</v>
      </c>
      <c r="C119" s="12">
        <v>280</v>
      </c>
      <c r="D119" s="89">
        <v>380</v>
      </c>
      <c r="E119" s="89">
        <v>517.54999999999995</v>
      </c>
      <c r="F119" s="193">
        <v>698.4</v>
      </c>
      <c r="G119" s="100" t="s">
        <v>114</v>
      </c>
    </row>
    <row r="120" spans="1:7" ht="16.5" thickBot="1" x14ac:dyDescent="0.3">
      <c r="A120" s="99">
        <v>154992</v>
      </c>
      <c r="B120" s="135" t="s">
        <v>1</v>
      </c>
      <c r="C120" s="12">
        <v>280</v>
      </c>
      <c r="D120" s="89">
        <v>380</v>
      </c>
      <c r="E120" s="89">
        <v>517.54999999999995</v>
      </c>
      <c r="F120" s="193">
        <v>698.4</v>
      </c>
      <c r="G120" s="100" t="s">
        <v>115</v>
      </c>
    </row>
    <row r="121" spans="1:7" ht="16.5" thickBot="1" x14ac:dyDescent="0.3">
      <c r="A121" s="99">
        <v>154999.1</v>
      </c>
      <c r="B121" s="135" t="s">
        <v>1</v>
      </c>
      <c r="C121" s="12">
        <v>280</v>
      </c>
      <c r="D121" s="89">
        <v>380</v>
      </c>
      <c r="E121" s="89">
        <v>517.54999999999995</v>
      </c>
      <c r="F121" s="193">
        <v>698.4</v>
      </c>
      <c r="G121" s="100" t="s">
        <v>116</v>
      </c>
    </row>
    <row r="122" spans="1:7" ht="27.75" thickBot="1" x14ac:dyDescent="0.3">
      <c r="A122" s="99">
        <v>154999.20000000001</v>
      </c>
      <c r="B122" s="135" t="s">
        <v>1</v>
      </c>
      <c r="C122" s="12">
        <v>280</v>
      </c>
      <c r="D122" s="89">
        <v>380</v>
      </c>
      <c r="E122" s="89">
        <v>517.54999999999995</v>
      </c>
      <c r="F122" s="193">
        <v>698.4</v>
      </c>
      <c r="G122" s="100" t="s">
        <v>117</v>
      </c>
    </row>
    <row r="123" spans="1:7" ht="54.75" thickBot="1" x14ac:dyDescent="0.3">
      <c r="A123" s="66">
        <v>154999.29999999999</v>
      </c>
      <c r="B123" s="138" t="s">
        <v>1</v>
      </c>
      <c r="C123" s="12">
        <v>280</v>
      </c>
      <c r="D123" s="89">
        <v>380</v>
      </c>
      <c r="E123" s="89">
        <v>517.54999999999995</v>
      </c>
      <c r="F123" s="88">
        <v>698.4</v>
      </c>
      <c r="G123" s="96" t="s">
        <v>118</v>
      </c>
    </row>
    <row r="124" spans="1:7" ht="78.75" customHeight="1" thickBot="1" x14ac:dyDescent="0.3">
      <c r="A124" s="68">
        <v>154999.4</v>
      </c>
      <c r="B124" s="141" t="s">
        <v>1</v>
      </c>
      <c r="C124" s="2">
        <v>280</v>
      </c>
      <c r="D124" s="89">
        <v>380</v>
      </c>
      <c r="E124" s="89">
        <v>517.54999999999995</v>
      </c>
      <c r="F124" s="89">
        <v>698.4</v>
      </c>
      <c r="G124" s="96" t="s">
        <v>119</v>
      </c>
    </row>
    <row r="125" spans="1:7" ht="95.25" thickBot="1" x14ac:dyDescent="0.3">
      <c r="A125" s="68">
        <v>154999.5</v>
      </c>
      <c r="B125" s="141" t="s">
        <v>1</v>
      </c>
      <c r="C125" s="2">
        <v>280</v>
      </c>
      <c r="D125" s="89">
        <v>380</v>
      </c>
      <c r="E125" s="89">
        <v>517.54999999999995</v>
      </c>
      <c r="F125" s="89">
        <v>698.4</v>
      </c>
      <c r="G125" s="96" t="s">
        <v>120</v>
      </c>
    </row>
    <row r="126" spans="1:7" ht="27.75" thickBot="1" x14ac:dyDescent="0.3">
      <c r="A126" s="99">
        <v>154999.6</v>
      </c>
      <c r="B126" s="135" t="s">
        <v>1</v>
      </c>
      <c r="C126" s="15">
        <v>280</v>
      </c>
      <c r="D126" s="89">
        <v>380</v>
      </c>
      <c r="E126" s="89">
        <v>517.54999999999995</v>
      </c>
      <c r="F126" s="193">
        <v>698.4</v>
      </c>
      <c r="G126" s="100" t="s">
        <v>121</v>
      </c>
    </row>
    <row r="127" spans="1:7" ht="16.5" thickBot="1" x14ac:dyDescent="0.3">
      <c r="A127" s="99">
        <v>154999.70000000001</v>
      </c>
      <c r="B127" s="135" t="s">
        <v>1</v>
      </c>
      <c r="C127" s="12">
        <v>280</v>
      </c>
      <c r="D127" s="89">
        <v>380</v>
      </c>
      <c r="E127" s="89">
        <v>517.54999999999995</v>
      </c>
      <c r="F127" s="193">
        <v>698.4</v>
      </c>
      <c r="G127" s="100" t="s">
        <v>122</v>
      </c>
    </row>
    <row r="128" spans="1:7" ht="17.25" customHeight="1" thickBot="1" x14ac:dyDescent="0.3">
      <c r="A128" s="101" t="s">
        <v>123</v>
      </c>
      <c r="B128" s="78"/>
      <c r="C128" s="1"/>
      <c r="D128" s="36"/>
      <c r="E128" s="36"/>
      <c r="F128" s="36"/>
      <c r="G128" s="103"/>
    </row>
    <row r="129" spans="1:7" ht="27.75" thickBot="1" x14ac:dyDescent="0.3">
      <c r="A129" s="99">
        <v>155110</v>
      </c>
      <c r="B129" s="135" t="s">
        <v>124</v>
      </c>
      <c r="C129" s="12">
        <v>280</v>
      </c>
      <c r="D129" s="88">
        <v>380</v>
      </c>
      <c r="E129" s="88">
        <v>517.54999999999995</v>
      </c>
      <c r="F129" s="193">
        <v>698.4</v>
      </c>
      <c r="G129" s="100" t="s">
        <v>125</v>
      </c>
    </row>
    <row r="130" spans="1:7" ht="27.75" thickBot="1" x14ac:dyDescent="0.3">
      <c r="A130" s="99">
        <v>155120.1</v>
      </c>
      <c r="B130" s="135" t="s">
        <v>1</v>
      </c>
      <c r="C130" s="12">
        <v>280</v>
      </c>
      <c r="D130" s="89">
        <v>380</v>
      </c>
      <c r="E130" s="89">
        <v>517.54999999999995</v>
      </c>
      <c r="F130" s="193">
        <v>698.4</v>
      </c>
      <c r="G130" s="100" t="s">
        <v>126</v>
      </c>
    </row>
    <row r="131" spans="1:7" ht="41.25" thickBot="1" x14ac:dyDescent="0.3">
      <c r="A131" s="99">
        <v>155120.20000000001</v>
      </c>
      <c r="B131" s="135" t="s">
        <v>124</v>
      </c>
      <c r="C131" s="12">
        <v>280</v>
      </c>
      <c r="D131" s="89">
        <v>380</v>
      </c>
      <c r="E131" s="89">
        <v>517.54999999999995</v>
      </c>
      <c r="F131" s="193">
        <v>698.4</v>
      </c>
      <c r="G131" s="100" t="s">
        <v>127</v>
      </c>
    </row>
    <row r="132" spans="1:7" ht="16.5" thickBot="1" x14ac:dyDescent="0.3">
      <c r="A132" s="99">
        <v>155210</v>
      </c>
      <c r="B132" s="135" t="s">
        <v>124</v>
      </c>
      <c r="C132" s="12">
        <v>280</v>
      </c>
      <c r="D132" s="89">
        <v>380</v>
      </c>
      <c r="E132" s="89">
        <v>517.54999999999995</v>
      </c>
      <c r="F132" s="193">
        <v>698.4</v>
      </c>
      <c r="G132" s="100" t="s">
        <v>128</v>
      </c>
    </row>
    <row r="133" spans="1:7" ht="41.25" thickBot="1" x14ac:dyDescent="0.3">
      <c r="A133" s="99">
        <v>155290</v>
      </c>
      <c r="B133" s="135" t="s">
        <v>124</v>
      </c>
      <c r="C133" s="12">
        <v>280</v>
      </c>
      <c r="D133" s="89">
        <v>380</v>
      </c>
      <c r="E133" s="89">
        <v>517.54999999999995</v>
      </c>
      <c r="F133" s="193">
        <v>698.4</v>
      </c>
      <c r="G133" s="100" t="s">
        <v>129</v>
      </c>
    </row>
    <row r="134" spans="1:7" ht="27.75" thickBot="1" x14ac:dyDescent="0.3">
      <c r="A134" s="99">
        <v>155300</v>
      </c>
      <c r="B134" s="135" t="s">
        <v>130</v>
      </c>
      <c r="C134" s="12">
        <v>280</v>
      </c>
      <c r="D134" s="89">
        <v>380</v>
      </c>
      <c r="E134" s="89">
        <v>517.54999999999995</v>
      </c>
      <c r="F134" s="193">
        <v>698.4</v>
      </c>
      <c r="G134" s="100" t="s">
        <v>131</v>
      </c>
    </row>
    <row r="135" spans="1:7" ht="27.75" thickBot="1" x14ac:dyDescent="0.3">
      <c r="A135" s="99">
        <v>155411</v>
      </c>
      <c r="B135" s="135" t="s">
        <v>124</v>
      </c>
      <c r="C135" s="12">
        <v>280</v>
      </c>
      <c r="D135" s="89">
        <v>380</v>
      </c>
      <c r="E135" s="89">
        <v>517.54999999999995</v>
      </c>
      <c r="F135" s="193">
        <v>698.4</v>
      </c>
      <c r="G135" s="100" t="s">
        <v>132</v>
      </c>
    </row>
    <row r="136" spans="1:7" ht="16.5" thickBot="1" x14ac:dyDescent="0.3">
      <c r="A136" s="99">
        <v>155412</v>
      </c>
      <c r="B136" s="135" t="s">
        <v>124</v>
      </c>
      <c r="C136" s="12">
        <v>280</v>
      </c>
      <c r="D136" s="89">
        <v>380</v>
      </c>
      <c r="E136" s="89">
        <v>517.54999999999995</v>
      </c>
      <c r="F136" s="193">
        <v>698.4</v>
      </c>
      <c r="G136" s="100" t="s">
        <v>133</v>
      </c>
    </row>
    <row r="137" spans="1:7" ht="68.25" thickBot="1" x14ac:dyDescent="0.3">
      <c r="A137" s="99">
        <v>155420</v>
      </c>
      <c r="B137" s="135" t="s">
        <v>130</v>
      </c>
      <c r="C137" s="12">
        <v>280</v>
      </c>
      <c r="D137" s="89">
        <v>380</v>
      </c>
      <c r="E137" s="89">
        <v>517.54999999999995</v>
      </c>
      <c r="F137" s="193">
        <v>698.4</v>
      </c>
      <c r="G137" s="100" t="s">
        <v>134</v>
      </c>
    </row>
    <row r="138" spans="1:7" ht="16.5" thickBot="1" x14ac:dyDescent="0.3">
      <c r="A138" s="99">
        <v>155490.1</v>
      </c>
      <c r="B138" s="135" t="s">
        <v>124</v>
      </c>
      <c r="C138" s="12">
        <v>280</v>
      </c>
      <c r="D138" s="89">
        <v>380</v>
      </c>
      <c r="E138" s="89">
        <v>517.54999999999995</v>
      </c>
      <c r="F138" s="193">
        <v>698.4</v>
      </c>
      <c r="G138" s="100" t="s">
        <v>135</v>
      </c>
    </row>
    <row r="139" spans="1:7" ht="27.75" thickBot="1" x14ac:dyDescent="0.3">
      <c r="A139" s="99">
        <v>155490.20000000001</v>
      </c>
      <c r="B139" s="135" t="s">
        <v>124</v>
      </c>
      <c r="C139" s="12">
        <v>280</v>
      </c>
      <c r="D139" s="89">
        <v>380</v>
      </c>
      <c r="E139" s="89">
        <v>517.54999999999995</v>
      </c>
      <c r="F139" s="193">
        <v>698.4</v>
      </c>
      <c r="G139" s="100" t="s">
        <v>136</v>
      </c>
    </row>
    <row r="140" spans="1:7" ht="16.5" thickBot="1" x14ac:dyDescent="0.3">
      <c r="A140" s="99">
        <v>155499</v>
      </c>
      <c r="B140" s="135" t="s">
        <v>124</v>
      </c>
      <c r="C140" s="12">
        <v>280</v>
      </c>
      <c r="D140" s="89">
        <v>380</v>
      </c>
      <c r="E140" s="89">
        <v>517.54999999999995</v>
      </c>
      <c r="F140" s="193">
        <v>698.4</v>
      </c>
      <c r="G140" s="100" t="s">
        <v>137</v>
      </c>
    </row>
    <row r="141" spans="1:7" ht="17.25" customHeight="1" thickBot="1" x14ac:dyDescent="0.3">
      <c r="A141" s="101" t="s">
        <v>138</v>
      </c>
      <c r="B141" s="78"/>
      <c r="C141" s="1"/>
      <c r="D141" s="36"/>
      <c r="E141" s="36"/>
      <c r="F141" s="36"/>
      <c r="G141" s="103"/>
    </row>
    <row r="142" spans="1:7" ht="16.5" thickBot="1" x14ac:dyDescent="0.3">
      <c r="A142" s="99">
        <v>160091</v>
      </c>
      <c r="B142" s="135" t="s">
        <v>139</v>
      </c>
      <c r="C142" s="14">
        <v>572</v>
      </c>
      <c r="D142" s="88">
        <v>776</v>
      </c>
      <c r="E142" s="88">
        <v>1055.7</v>
      </c>
      <c r="F142" s="193">
        <f t="shared" ref="F142:F198" si="6">+E142*$F$1</f>
        <v>1425.1950000000002</v>
      </c>
      <c r="G142" s="100" t="s">
        <v>140</v>
      </c>
    </row>
    <row r="143" spans="1:7" ht="27.75" thickBot="1" x14ac:dyDescent="0.3">
      <c r="A143" s="99">
        <v>160099</v>
      </c>
      <c r="B143" s="135" t="s">
        <v>139</v>
      </c>
      <c r="C143" s="14">
        <v>572</v>
      </c>
      <c r="D143" s="89">
        <v>776</v>
      </c>
      <c r="E143" s="89">
        <v>1055.7</v>
      </c>
      <c r="F143" s="193">
        <f t="shared" si="6"/>
        <v>1425.1950000000002</v>
      </c>
      <c r="G143" s="100" t="s">
        <v>141</v>
      </c>
    </row>
    <row r="144" spans="1:7" ht="17.25" customHeight="1" thickBot="1" x14ac:dyDescent="0.3">
      <c r="A144" s="101" t="s">
        <v>142</v>
      </c>
      <c r="B144" s="78"/>
      <c r="C144" s="1"/>
      <c r="D144" s="36"/>
      <c r="E144" s="36"/>
      <c r="F144" s="36"/>
      <c r="G144" s="103"/>
    </row>
    <row r="145" spans="1:7" ht="27.75" thickBot="1" x14ac:dyDescent="0.3">
      <c r="A145" s="99">
        <v>171111</v>
      </c>
      <c r="B145" s="135" t="s">
        <v>1</v>
      </c>
      <c r="C145" s="12">
        <v>221</v>
      </c>
      <c r="D145" s="57">
        <f t="shared" ref="D145:D155" si="7">+C145*$D$1</f>
        <v>299.89999999999998</v>
      </c>
      <c r="E145" s="57">
        <f t="shared" ref="E145:E199" si="8">+D145*1.36</f>
        <v>407.86399999999998</v>
      </c>
      <c r="F145" s="192">
        <v>550.1</v>
      </c>
      <c r="G145" s="100" t="s">
        <v>143</v>
      </c>
    </row>
    <row r="146" spans="1:7" ht="41.25" thickBot="1" x14ac:dyDescent="0.3">
      <c r="A146" s="99">
        <v>171112</v>
      </c>
      <c r="B146" s="135" t="s">
        <v>1</v>
      </c>
      <c r="C146" s="12">
        <v>221</v>
      </c>
      <c r="D146" s="87">
        <f t="shared" si="7"/>
        <v>299.89999999999998</v>
      </c>
      <c r="E146" s="87">
        <f t="shared" si="8"/>
        <v>407.86399999999998</v>
      </c>
      <c r="F146" s="192">
        <v>550.1</v>
      </c>
      <c r="G146" s="100" t="s">
        <v>144</v>
      </c>
    </row>
    <row r="147" spans="1:7" ht="27.75" thickBot="1" x14ac:dyDescent="0.3">
      <c r="A147" s="99">
        <v>171120</v>
      </c>
      <c r="B147" s="135" t="s">
        <v>1</v>
      </c>
      <c r="C147" s="12">
        <v>221</v>
      </c>
      <c r="D147" s="87">
        <f t="shared" si="7"/>
        <v>299.89999999999998</v>
      </c>
      <c r="E147" s="87">
        <f t="shared" si="8"/>
        <v>407.86399999999998</v>
      </c>
      <c r="F147" s="192">
        <v>550.1</v>
      </c>
      <c r="G147" s="100" t="s">
        <v>145</v>
      </c>
    </row>
    <row r="148" spans="1:7" ht="27.75" thickBot="1" x14ac:dyDescent="0.3">
      <c r="A148" s="99">
        <v>171121</v>
      </c>
      <c r="B148" s="135" t="s">
        <v>1</v>
      </c>
      <c r="C148" s="12">
        <v>221</v>
      </c>
      <c r="D148" s="87">
        <f t="shared" si="7"/>
        <v>299.89999999999998</v>
      </c>
      <c r="E148" s="87">
        <f t="shared" si="8"/>
        <v>407.86399999999998</v>
      </c>
      <c r="F148" s="192">
        <v>550.1</v>
      </c>
      <c r="G148" s="100" t="s">
        <v>146</v>
      </c>
    </row>
    <row r="149" spans="1:7" ht="27.75" thickBot="1" x14ac:dyDescent="0.3">
      <c r="A149" s="99">
        <v>171131</v>
      </c>
      <c r="B149" s="135" t="s">
        <v>1</v>
      </c>
      <c r="C149" s="12">
        <v>221</v>
      </c>
      <c r="D149" s="87">
        <f t="shared" si="7"/>
        <v>299.89999999999998</v>
      </c>
      <c r="E149" s="87">
        <f t="shared" si="8"/>
        <v>407.86399999999998</v>
      </c>
      <c r="F149" s="192">
        <v>550.1</v>
      </c>
      <c r="G149" s="100" t="s">
        <v>147</v>
      </c>
    </row>
    <row r="150" spans="1:7" ht="41.25" thickBot="1" x14ac:dyDescent="0.3">
      <c r="A150" s="99">
        <v>171132</v>
      </c>
      <c r="B150" s="135" t="s">
        <v>1</v>
      </c>
      <c r="C150" s="12">
        <v>221</v>
      </c>
      <c r="D150" s="87">
        <f t="shared" si="7"/>
        <v>299.89999999999998</v>
      </c>
      <c r="E150" s="87">
        <f t="shared" si="8"/>
        <v>407.86399999999998</v>
      </c>
      <c r="F150" s="192">
        <v>550.1</v>
      </c>
      <c r="G150" s="100" t="s">
        <v>148</v>
      </c>
    </row>
    <row r="151" spans="1:7" ht="27.75" thickBot="1" x14ac:dyDescent="0.3">
      <c r="A151" s="99">
        <v>171139</v>
      </c>
      <c r="B151" s="135" t="s">
        <v>1</v>
      </c>
      <c r="C151" s="12">
        <v>221</v>
      </c>
      <c r="D151" s="87">
        <f t="shared" si="7"/>
        <v>299.89999999999998</v>
      </c>
      <c r="E151" s="87">
        <f t="shared" si="8"/>
        <v>407.86399999999998</v>
      </c>
      <c r="F151" s="192">
        <v>550.1</v>
      </c>
      <c r="G151" s="100" t="s">
        <v>149</v>
      </c>
    </row>
    <row r="152" spans="1:7" ht="27.75" thickBot="1" x14ac:dyDescent="0.3">
      <c r="A152" s="99">
        <v>171141</v>
      </c>
      <c r="B152" s="135" t="s">
        <v>1</v>
      </c>
      <c r="C152" s="12">
        <v>221</v>
      </c>
      <c r="D152" s="87">
        <f t="shared" si="7"/>
        <v>299.89999999999998</v>
      </c>
      <c r="E152" s="87">
        <f t="shared" si="8"/>
        <v>407.86399999999998</v>
      </c>
      <c r="F152" s="192">
        <v>550.1</v>
      </c>
      <c r="G152" s="100" t="s">
        <v>150</v>
      </c>
    </row>
    <row r="153" spans="1:7" ht="27.75" thickBot="1" x14ac:dyDescent="0.3">
      <c r="A153" s="99">
        <v>171142</v>
      </c>
      <c r="B153" s="135" t="s">
        <v>1</v>
      </c>
      <c r="C153" s="12">
        <v>221</v>
      </c>
      <c r="D153" s="87">
        <f t="shared" si="7"/>
        <v>299.89999999999998</v>
      </c>
      <c r="E153" s="87">
        <f t="shared" si="8"/>
        <v>407.86399999999998</v>
      </c>
      <c r="F153" s="192">
        <v>550.1</v>
      </c>
      <c r="G153" s="100" t="s">
        <v>151</v>
      </c>
    </row>
    <row r="154" spans="1:7" ht="41.25" thickBot="1" x14ac:dyDescent="0.3">
      <c r="A154" s="99">
        <v>171143</v>
      </c>
      <c r="B154" s="135" t="s">
        <v>1</v>
      </c>
      <c r="C154" s="12">
        <v>221</v>
      </c>
      <c r="D154" s="87">
        <f t="shared" si="7"/>
        <v>299.89999999999998</v>
      </c>
      <c r="E154" s="87">
        <f t="shared" si="8"/>
        <v>407.86399999999998</v>
      </c>
      <c r="F154" s="192">
        <v>550.1</v>
      </c>
      <c r="G154" s="100" t="s">
        <v>152</v>
      </c>
    </row>
    <row r="155" spans="1:7" ht="27.75" thickBot="1" x14ac:dyDescent="0.3">
      <c r="A155" s="99">
        <v>171149</v>
      </c>
      <c r="B155" s="135" t="s">
        <v>1</v>
      </c>
      <c r="C155" s="12">
        <v>221</v>
      </c>
      <c r="D155" s="87">
        <f t="shared" si="7"/>
        <v>299.89999999999998</v>
      </c>
      <c r="E155" s="87">
        <f t="shared" si="8"/>
        <v>407.86399999999998</v>
      </c>
      <c r="F155" s="192">
        <v>550.1</v>
      </c>
      <c r="G155" s="100" t="s">
        <v>153</v>
      </c>
    </row>
    <row r="156" spans="1:7" ht="41.25" thickBot="1" x14ac:dyDescent="0.3">
      <c r="A156" s="99">
        <v>171200.1</v>
      </c>
      <c r="B156" s="135" t="s">
        <v>1</v>
      </c>
      <c r="C156" s="12">
        <v>100</v>
      </c>
      <c r="D156" s="87">
        <v>135</v>
      </c>
      <c r="E156" s="87">
        <f t="shared" si="8"/>
        <v>183.60000000000002</v>
      </c>
      <c r="F156" s="192">
        <f t="shared" si="6"/>
        <v>247.86000000000004</v>
      </c>
      <c r="G156" s="100" t="s">
        <v>154</v>
      </c>
    </row>
    <row r="157" spans="1:7" ht="27.75" thickBot="1" x14ac:dyDescent="0.3">
      <c r="A157" s="99">
        <v>171200.2</v>
      </c>
      <c r="B157" s="135" t="s">
        <v>1</v>
      </c>
      <c r="C157" s="12">
        <v>221</v>
      </c>
      <c r="D157" s="87">
        <f t="shared" ref="D157:D167" si="9">+C157*$D$1</f>
        <v>299.89999999999998</v>
      </c>
      <c r="E157" s="87">
        <f t="shared" si="8"/>
        <v>407.86399999999998</v>
      </c>
      <c r="F157" s="192">
        <v>550.1</v>
      </c>
      <c r="G157" s="100" t="s">
        <v>155</v>
      </c>
    </row>
    <row r="158" spans="1:7" ht="27.75" thickBot="1" x14ac:dyDescent="0.3">
      <c r="A158" s="99">
        <v>172101</v>
      </c>
      <c r="B158" s="135" t="s">
        <v>1</v>
      </c>
      <c r="C158" s="12">
        <v>221</v>
      </c>
      <c r="D158" s="87">
        <f t="shared" si="9"/>
        <v>299.89999999999998</v>
      </c>
      <c r="E158" s="87">
        <f t="shared" si="8"/>
        <v>407.86399999999998</v>
      </c>
      <c r="F158" s="192">
        <v>550.1</v>
      </c>
      <c r="G158" s="100" t="s">
        <v>156</v>
      </c>
    </row>
    <row r="159" spans="1:7" ht="27.75" thickBot="1" x14ac:dyDescent="0.3">
      <c r="A159" s="99">
        <v>172102</v>
      </c>
      <c r="B159" s="135" t="s">
        <v>1</v>
      </c>
      <c r="C159" s="12">
        <v>221</v>
      </c>
      <c r="D159" s="87">
        <f t="shared" si="9"/>
        <v>299.89999999999998</v>
      </c>
      <c r="E159" s="87">
        <f t="shared" si="8"/>
        <v>407.86399999999998</v>
      </c>
      <c r="F159" s="192">
        <v>550.1</v>
      </c>
      <c r="G159" s="100" t="s">
        <v>157</v>
      </c>
    </row>
    <row r="160" spans="1:7" ht="27.75" thickBot="1" x14ac:dyDescent="0.3">
      <c r="A160" s="99">
        <v>172103</v>
      </c>
      <c r="B160" s="135" t="s">
        <v>1</v>
      </c>
      <c r="C160" s="12">
        <v>221</v>
      </c>
      <c r="D160" s="87">
        <f t="shared" si="9"/>
        <v>299.89999999999998</v>
      </c>
      <c r="E160" s="87">
        <f t="shared" si="8"/>
        <v>407.86399999999998</v>
      </c>
      <c r="F160" s="192">
        <v>550.1</v>
      </c>
      <c r="G160" s="100" t="s">
        <v>158</v>
      </c>
    </row>
    <row r="161" spans="1:7" ht="41.25" thickBot="1" x14ac:dyDescent="0.3">
      <c r="A161" s="99">
        <v>172104</v>
      </c>
      <c r="B161" s="135" t="s">
        <v>1</v>
      </c>
      <c r="C161" s="12">
        <v>221</v>
      </c>
      <c r="D161" s="87">
        <f t="shared" si="9"/>
        <v>299.89999999999998</v>
      </c>
      <c r="E161" s="87">
        <f t="shared" si="8"/>
        <v>407.86399999999998</v>
      </c>
      <c r="F161" s="192">
        <v>550.1</v>
      </c>
      <c r="G161" s="100" t="s">
        <v>159</v>
      </c>
    </row>
    <row r="162" spans="1:7" ht="54.75" thickBot="1" x14ac:dyDescent="0.3">
      <c r="A162" s="99">
        <v>172109</v>
      </c>
      <c r="B162" s="135" t="s">
        <v>1</v>
      </c>
      <c r="C162" s="12">
        <v>221</v>
      </c>
      <c r="D162" s="87">
        <f t="shared" si="9"/>
        <v>299.89999999999998</v>
      </c>
      <c r="E162" s="87">
        <f t="shared" si="8"/>
        <v>407.86399999999998</v>
      </c>
      <c r="F162" s="192">
        <v>550.1</v>
      </c>
      <c r="G162" s="100" t="s">
        <v>160</v>
      </c>
    </row>
    <row r="163" spans="1:7" ht="27.75" thickBot="1" x14ac:dyDescent="0.3">
      <c r="A163" s="99">
        <v>172200</v>
      </c>
      <c r="B163" s="135" t="s">
        <v>1</v>
      </c>
      <c r="C163" s="12">
        <v>221</v>
      </c>
      <c r="D163" s="87">
        <f t="shared" si="9"/>
        <v>299.89999999999998</v>
      </c>
      <c r="E163" s="87">
        <f t="shared" si="8"/>
        <v>407.86399999999998</v>
      </c>
      <c r="F163" s="192">
        <v>550.1</v>
      </c>
      <c r="G163" s="100" t="s">
        <v>161</v>
      </c>
    </row>
    <row r="164" spans="1:7" ht="54.75" thickBot="1" x14ac:dyDescent="0.3">
      <c r="A164" s="99">
        <v>172300</v>
      </c>
      <c r="B164" s="135" t="s">
        <v>1</v>
      </c>
      <c r="C164" s="12">
        <v>221</v>
      </c>
      <c r="D164" s="87">
        <f t="shared" si="9"/>
        <v>299.89999999999998</v>
      </c>
      <c r="E164" s="87">
        <f t="shared" si="8"/>
        <v>407.86399999999998</v>
      </c>
      <c r="F164" s="192">
        <v>550.1</v>
      </c>
      <c r="G164" s="100" t="s">
        <v>162</v>
      </c>
    </row>
    <row r="165" spans="1:7" ht="27.75" thickBot="1" x14ac:dyDescent="0.3">
      <c r="A165" s="99">
        <v>172900</v>
      </c>
      <c r="B165" s="135" t="s">
        <v>1</v>
      </c>
      <c r="C165" s="12">
        <v>221</v>
      </c>
      <c r="D165" s="87">
        <f t="shared" si="9"/>
        <v>299.89999999999998</v>
      </c>
      <c r="E165" s="87">
        <f t="shared" si="8"/>
        <v>407.86399999999998</v>
      </c>
      <c r="F165" s="192">
        <v>550.1</v>
      </c>
      <c r="G165" s="100" t="s">
        <v>163</v>
      </c>
    </row>
    <row r="166" spans="1:7" ht="16.5" thickBot="1" x14ac:dyDescent="0.3">
      <c r="A166" s="99">
        <v>173010</v>
      </c>
      <c r="B166" s="135" t="s">
        <v>1</v>
      </c>
      <c r="C166" s="12">
        <v>221</v>
      </c>
      <c r="D166" s="87">
        <f t="shared" si="9"/>
        <v>299.89999999999998</v>
      </c>
      <c r="E166" s="87">
        <f t="shared" si="8"/>
        <v>407.86399999999998</v>
      </c>
      <c r="F166" s="192">
        <v>550.1</v>
      </c>
      <c r="G166" s="100" t="s">
        <v>164</v>
      </c>
    </row>
    <row r="167" spans="1:7" ht="27.75" thickBot="1" x14ac:dyDescent="0.3">
      <c r="A167" s="99">
        <v>173090</v>
      </c>
      <c r="B167" s="135" t="s">
        <v>1</v>
      </c>
      <c r="C167" s="12">
        <v>221</v>
      </c>
      <c r="D167" s="87">
        <f t="shared" si="9"/>
        <v>299.89999999999998</v>
      </c>
      <c r="E167" s="87">
        <f t="shared" si="8"/>
        <v>407.86399999999998</v>
      </c>
      <c r="F167" s="192">
        <v>550.1</v>
      </c>
      <c r="G167" s="100" t="s">
        <v>165</v>
      </c>
    </row>
    <row r="168" spans="1:7" ht="27.75" thickBot="1" x14ac:dyDescent="0.3">
      <c r="A168" s="99">
        <v>173090.1</v>
      </c>
      <c r="B168" s="135" t="s">
        <v>1</v>
      </c>
      <c r="C168" s="12">
        <v>100</v>
      </c>
      <c r="D168" s="87">
        <v>135</v>
      </c>
      <c r="E168" s="87">
        <f t="shared" si="8"/>
        <v>183.60000000000002</v>
      </c>
      <c r="F168" s="192">
        <f t="shared" si="6"/>
        <v>247.86000000000004</v>
      </c>
      <c r="G168" s="100" t="s">
        <v>166</v>
      </c>
    </row>
    <row r="169" spans="1:7" ht="27.75" thickBot="1" x14ac:dyDescent="0.3">
      <c r="A169" s="99">
        <v>173091</v>
      </c>
      <c r="B169" s="135" t="s">
        <v>1</v>
      </c>
      <c r="C169" s="12">
        <v>100</v>
      </c>
      <c r="D169" s="87">
        <v>135</v>
      </c>
      <c r="E169" s="87">
        <f t="shared" si="8"/>
        <v>183.60000000000002</v>
      </c>
      <c r="F169" s="192">
        <f t="shared" si="6"/>
        <v>247.86000000000004</v>
      </c>
      <c r="G169" s="100" t="s">
        <v>167</v>
      </c>
    </row>
    <row r="170" spans="1:7" ht="27.75" thickBot="1" x14ac:dyDescent="0.3">
      <c r="A170" s="99">
        <v>173092</v>
      </c>
      <c r="B170" s="135" t="s">
        <v>1</v>
      </c>
      <c r="C170" s="12">
        <v>221</v>
      </c>
      <c r="D170" s="87">
        <f>+C170*$D$1</f>
        <v>299.89999999999998</v>
      </c>
      <c r="E170" s="87">
        <f t="shared" si="8"/>
        <v>407.86399999999998</v>
      </c>
      <c r="F170" s="192">
        <v>550.1</v>
      </c>
      <c r="G170" s="100" t="s">
        <v>168</v>
      </c>
    </row>
    <row r="171" spans="1:7" ht="16.5" thickBot="1" x14ac:dyDescent="0.3">
      <c r="A171" s="99">
        <v>173092.1</v>
      </c>
      <c r="B171" s="135" t="s">
        <v>1</v>
      </c>
      <c r="C171" s="12">
        <v>221</v>
      </c>
      <c r="D171" s="87">
        <f>+C171*$D$1</f>
        <v>299.89999999999998</v>
      </c>
      <c r="E171" s="87">
        <f t="shared" si="8"/>
        <v>407.86399999999998</v>
      </c>
      <c r="F171" s="192">
        <v>550.1</v>
      </c>
      <c r="G171" s="100" t="s">
        <v>169</v>
      </c>
    </row>
    <row r="172" spans="1:7" ht="17.25" thickBot="1" x14ac:dyDescent="0.3">
      <c r="A172" s="101" t="s">
        <v>170</v>
      </c>
      <c r="B172" s="136"/>
      <c r="C172" s="3"/>
      <c r="D172" s="37"/>
      <c r="E172" s="37"/>
      <c r="F172" s="37"/>
      <c r="G172" s="104"/>
    </row>
    <row r="173" spans="1:7" ht="27.75" thickBot="1" x14ac:dyDescent="0.3">
      <c r="A173" s="99">
        <v>181191</v>
      </c>
      <c r="B173" s="135" t="s">
        <v>1</v>
      </c>
      <c r="C173" s="12">
        <v>221</v>
      </c>
      <c r="D173" s="57">
        <f>+C173*$D$1</f>
        <v>299.89999999999998</v>
      </c>
      <c r="E173" s="57">
        <f t="shared" si="8"/>
        <v>407.86399999999998</v>
      </c>
      <c r="F173" s="192">
        <v>550.1</v>
      </c>
      <c r="G173" s="100" t="s">
        <v>171</v>
      </c>
    </row>
    <row r="174" spans="1:7" ht="27.75" thickBot="1" x14ac:dyDescent="0.3">
      <c r="A174" s="99">
        <v>181192</v>
      </c>
      <c r="B174" s="135" t="s">
        <v>1</v>
      </c>
      <c r="C174" s="12">
        <v>221</v>
      </c>
      <c r="D174" s="87">
        <f>+C174*$D$1</f>
        <v>299.89999999999998</v>
      </c>
      <c r="E174" s="87">
        <f t="shared" si="8"/>
        <v>407.86399999999998</v>
      </c>
      <c r="F174" s="192">
        <v>550.1</v>
      </c>
      <c r="G174" s="100" t="s">
        <v>172</v>
      </c>
    </row>
    <row r="175" spans="1:7" ht="122.25" thickBot="1" x14ac:dyDescent="0.3">
      <c r="A175" s="99">
        <v>181199</v>
      </c>
      <c r="B175" s="135" t="s">
        <v>1</v>
      </c>
      <c r="C175" s="12">
        <v>221</v>
      </c>
      <c r="D175" s="87">
        <f>+C175*$D$1</f>
        <v>299.89999999999998</v>
      </c>
      <c r="E175" s="87">
        <f t="shared" si="8"/>
        <v>407.86399999999998</v>
      </c>
      <c r="F175" s="192">
        <v>550.1</v>
      </c>
      <c r="G175" s="100" t="s">
        <v>173</v>
      </c>
    </row>
    <row r="176" spans="1:7" ht="27.75" thickBot="1" x14ac:dyDescent="0.3">
      <c r="A176" s="99">
        <v>181201</v>
      </c>
      <c r="B176" s="135" t="s">
        <v>1</v>
      </c>
      <c r="C176" s="12">
        <v>221</v>
      </c>
      <c r="D176" s="87">
        <f>+C176*$D$1</f>
        <v>299.89999999999998</v>
      </c>
      <c r="E176" s="87">
        <f t="shared" si="8"/>
        <v>407.86399999999998</v>
      </c>
      <c r="F176" s="192">
        <v>550.1</v>
      </c>
      <c r="G176" s="100" t="s">
        <v>174</v>
      </c>
    </row>
    <row r="177" spans="1:7" ht="27.75" thickBot="1" x14ac:dyDescent="0.3">
      <c r="A177" s="99">
        <v>181202</v>
      </c>
      <c r="B177" s="135" t="s">
        <v>124</v>
      </c>
      <c r="C177" s="12">
        <v>280</v>
      </c>
      <c r="D177" s="89">
        <v>380</v>
      </c>
      <c r="E177" s="89">
        <v>517.54999999999995</v>
      </c>
      <c r="F177" s="193">
        <v>698.4</v>
      </c>
      <c r="G177" s="100" t="s">
        <v>175</v>
      </c>
    </row>
    <row r="178" spans="1:7" ht="27.75" thickBot="1" x14ac:dyDescent="0.3">
      <c r="A178" s="110">
        <v>182001</v>
      </c>
      <c r="B178" s="137" t="s">
        <v>124</v>
      </c>
      <c r="C178" s="16">
        <v>280</v>
      </c>
      <c r="D178" s="89">
        <v>380</v>
      </c>
      <c r="E178" s="89">
        <v>517.54999999999995</v>
      </c>
      <c r="F178" s="194">
        <v>698.4</v>
      </c>
      <c r="G178" s="105" t="s">
        <v>176</v>
      </c>
    </row>
    <row r="179" spans="1:7" ht="16.5" x14ac:dyDescent="0.25">
      <c r="A179" s="63" t="s">
        <v>981</v>
      </c>
      <c r="B179" s="142"/>
      <c r="C179" s="25"/>
      <c r="D179" s="39"/>
      <c r="E179" s="39"/>
      <c r="F179" s="39"/>
      <c r="G179" s="64"/>
    </row>
    <row r="180" spans="1:7" ht="17.25" thickBot="1" x14ac:dyDescent="0.3">
      <c r="A180" s="61" t="s">
        <v>982</v>
      </c>
      <c r="B180" s="143"/>
      <c r="C180" s="24"/>
      <c r="D180" s="40"/>
      <c r="E180" s="40"/>
      <c r="F180" s="40"/>
      <c r="G180" s="62"/>
    </row>
    <row r="181" spans="1:7" ht="27.75" thickBot="1" x14ac:dyDescent="0.3">
      <c r="A181" s="99">
        <v>182009.1</v>
      </c>
      <c r="B181" s="135" t="s">
        <v>124</v>
      </c>
      <c r="C181" s="15">
        <v>280</v>
      </c>
      <c r="D181" s="88">
        <v>380</v>
      </c>
      <c r="E181" s="88">
        <v>517.54999999999995</v>
      </c>
      <c r="F181" s="193">
        <v>698.4</v>
      </c>
      <c r="G181" s="100" t="s">
        <v>177</v>
      </c>
    </row>
    <row r="182" spans="1:7" ht="41.25" thickBot="1" x14ac:dyDescent="0.3">
      <c r="A182" s="99">
        <v>182009.2</v>
      </c>
      <c r="B182" s="135" t="s">
        <v>124</v>
      </c>
      <c r="C182" s="12">
        <v>280</v>
      </c>
      <c r="D182" s="89">
        <v>380</v>
      </c>
      <c r="E182" s="89">
        <v>517.54999999999995</v>
      </c>
      <c r="F182" s="193">
        <v>698.4</v>
      </c>
      <c r="G182" s="100" t="s">
        <v>178</v>
      </c>
    </row>
    <row r="183" spans="1:7" ht="54.75" thickBot="1" x14ac:dyDescent="0.3">
      <c r="A183" s="99">
        <v>191100</v>
      </c>
      <c r="B183" s="135" t="s">
        <v>124</v>
      </c>
      <c r="C183" s="12">
        <v>221</v>
      </c>
      <c r="D183" s="87">
        <f>+C183*$D$1</f>
        <v>299.89999999999998</v>
      </c>
      <c r="E183" s="87">
        <f t="shared" si="8"/>
        <v>407.86399999999998</v>
      </c>
      <c r="F183" s="192">
        <v>550.1</v>
      </c>
      <c r="G183" s="100" t="s">
        <v>179</v>
      </c>
    </row>
    <row r="184" spans="1:7" ht="95.25" thickBot="1" x14ac:dyDescent="0.3">
      <c r="A184" s="99">
        <v>191200</v>
      </c>
      <c r="B184" s="135" t="s">
        <v>124</v>
      </c>
      <c r="C184" s="12">
        <v>280</v>
      </c>
      <c r="D184" s="89">
        <v>380</v>
      </c>
      <c r="E184" s="89">
        <v>517.54999999999995</v>
      </c>
      <c r="F184" s="193">
        <v>698.4</v>
      </c>
      <c r="G184" s="100" t="s">
        <v>180</v>
      </c>
    </row>
    <row r="185" spans="1:7" ht="17.25" thickBot="1" x14ac:dyDescent="0.3">
      <c r="A185" s="221" t="s">
        <v>1009</v>
      </c>
      <c r="B185" s="159"/>
      <c r="C185" s="159"/>
      <c r="D185" s="159"/>
      <c r="E185" s="42"/>
      <c r="F185" s="42"/>
      <c r="G185" s="162"/>
    </row>
    <row r="186" spans="1:7" ht="41.25" thickBot="1" x14ac:dyDescent="0.3">
      <c r="A186" s="99">
        <v>192010.1</v>
      </c>
      <c r="B186" s="135" t="s">
        <v>1</v>
      </c>
      <c r="C186" s="12">
        <v>221</v>
      </c>
      <c r="D186" s="57">
        <f>+C186*$D$1</f>
        <v>299.89999999999998</v>
      </c>
      <c r="E186" s="57">
        <f t="shared" si="8"/>
        <v>407.86399999999998</v>
      </c>
      <c r="F186" s="192">
        <v>550.1</v>
      </c>
      <c r="G186" s="100" t="s">
        <v>181</v>
      </c>
    </row>
    <row r="187" spans="1:7" ht="68.25" thickBot="1" x14ac:dyDescent="0.3">
      <c r="A187" s="99">
        <v>192010.2</v>
      </c>
      <c r="B187" s="135" t="s">
        <v>1</v>
      </c>
      <c r="C187" s="12">
        <v>221</v>
      </c>
      <c r="D187" s="87">
        <f>+C187*$D$1</f>
        <v>299.89999999999998</v>
      </c>
      <c r="E187" s="87">
        <f t="shared" si="8"/>
        <v>407.86399999999998</v>
      </c>
      <c r="F187" s="192">
        <v>550.1</v>
      </c>
      <c r="G187" s="100" t="s">
        <v>182</v>
      </c>
    </row>
    <row r="188" spans="1:7" ht="27.75" thickBot="1" x14ac:dyDescent="0.3">
      <c r="A188" s="110">
        <v>192030</v>
      </c>
      <c r="B188" s="137" t="s">
        <v>1</v>
      </c>
      <c r="C188" s="16">
        <v>180</v>
      </c>
      <c r="D188" s="169">
        <v>244</v>
      </c>
      <c r="E188" s="169">
        <f t="shared" si="8"/>
        <v>331.84000000000003</v>
      </c>
      <c r="F188" s="196">
        <f t="shared" si="6"/>
        <v>447.98400000000009</v>
      </c>
      <c r="G188" s="105" t="s">
        <v>183</v>
      </c>
    </row>
    <row r="189" spans="1:7" ht="16.5" x14ac:dyDescent="0.25">
      <c r="A189" s="170" t="s">
        <v>997</v>
      </c>
      <c r="B189" s="171"/>
      <c r="C189" s="172"/>
      <c r="D189" s="171"/>
      <c r="E189" s="171"/>
      <c r="F189" s="171"/>
      <c r="G189" s="173"/>
    </row>
    <row r="190" spans="1:7" ht="17.25" thickBot="1" x14ac:dyDescent="0.3">
      <c r="A190" s="165" t="s">
        <v>998</v>
      </c>
      <c r="B190" s="166"/>
      <c r="C190" s="167"/>
      <c r="D190" s="166"/>
      <c r="E190" s="166"/>
      <c r="F190" s="166"/>
      <c r="G190" s="168"/>
    </row>
    <row r="191" spans="1:7" ht="54.75" thickBot="1" x14ac:dyDescent="0.3">
      <c r="A191" s="99">
        <v>201000</v>
      </c>
      <c r="B191" s="135" t="s">
        <v>1</v>
      </c>
      <c r="C191" s="15">
        <v>221</v>
      </c>
      <c r="D191" s="87">
        <f>+C191*$D$1</f>
        <v>299.89999999999998</v>
      </c>
      <c r="E191" s="87">
        <f t="shared" si="8"/>
        <v>407.86399999999998</v>
      </c>
      <c r="F191" s="192">
        <v>550.1</v>
      </c>
      <c r="G191" s="100" t="s">
        <v>184</v>
      </c>
    </row>
    <row r="192" spans="1:7" ht="54.75" thickBot="1" x14ac:dyDescent="0.3">
      <c r="A192" s="99">
        <v>202100</v>
      </c>
      <c r="B192" s="135" t="s">
        <v>1</v>
      </c>
      <c r="C192" s="12">
        <v>221</v>
      </c>
      <c r="D192" s="87">
        <f>+C192*$D$1</f>
        <v>299.89999999999998</v>
      </c>
      <c r="E192" s="87">
        <f t="shared" si="8"/>
        <v>407.86399999999998</v>
      </c>
      <c r="F192" s="192">
        <v>550.1</v>
      </c>
      <c r="G192" s="100" t="s">
        <v>185</v>
      </c>
    </row>
    <row r="193" spans="1:7" ht="54.75" thickBot="1" x14ac:dyDescent="0.3">
      <c r="A193" s="99">
        <v>202201</v>
      </c>
      <c r="B193" s="135" t="s">
        <v>1</v>
      </c>
      <c r="C193" s="12">
        <v>221</v>
      </c>
      <c r="D193" s="87">
        <f>+C193*$D$1</f>
        <v>299.89999999999998</v>
      </c>
      <c r="E193" s="87">
        <f t="shared" si="8"/>
        <v>407.86399999999998</v>
      </c>
      <c r="F193" s="192">
        <v>550.1</v>
      </c>
      <c r="G193" s="100" t="s">
        <v>186</v>
      </c>
    </row>
    <row r="194" spans="1:7" ht="27.75" thickBot="1" x14ac:dyDescent="0.3">
      <c r="A194" s="99">
        <v>202202</v>
      </c>
      <c r="B194" s="135" t="s">
        <v>1</v>
      </c>
      <c r="C194" s="12">
        <v>221</v>
      </c>
      <c r="D194" s="87">
        <f>+C194*$D$1</f>
        <v>299.89999999999998</v>
      </c>
      <c r="E194" s="87">
        <f t="shared" si="8"/>
        <v>407.86399999999998</v>
      </c>
      <c r="F194" s="192">
        <v>550.1</v>
      </c>
      <c r="G194" s="100" t="s">
        <v>187</v>
      </c>
    </row>
    <row r="195" spans="1:7" ht="54.75" thickBot="1" x14ac:dyDescent="0.3">
      <c r="A195" s="99">
        <v>202300</v>
      </c>
      <c r="B195" s="135" t="s">
        <v>1</v>
      </c>
      <c r="C195" s="12">
        <v>221</v>
      </c>
      <c r="D195" s="87">
        <f>+C195*$D$1</f>
        <v>299.89999999999998</v>
      </c>
      <c r="E195" s="87">
        <f t="shared" si="8"/>
        <v>407.86399999999998</v>
      </c>
      <c r="F195" s="192">
        <v>550.1</v>
      </c>
      <c r="G195" s="100" t="s">
        <v>188</v>
      </c>
    </row>
    <row r="196" spans="1:7" ht="27.75" thickBot="1" x14ac:dyDescent="0.3">
      <c r="A196" s="99">
        <v>202901</v>
      </c>
      <c r="B196" s="135" t="s">
        <v>1</v>
      </c>
      <c r="C196" s="12">
        <v>100</v>
      </c>
      <c r="D196" s="87">
        <v>135</v>
      </c>
      <c r="E196" s="87">
        <f t="shared" si="8"/>
        <v>183.60000000000002</v>
      </c>
      <c r="F196" s="192">
        <f t="shared" si="6"/>
        <v>247.86000000000004</v>
      </c>
      <c r="G196" s="100" t="s">
        <v>189</v>
      </c>
    </row>
    <row r="197" spans="1:7" ht="16.5" thickBot="1" x14ac:dyDescent="0.3">
      <c r="A197" s="99">
        <v>202902</v>
      </c>
      <c r="B197" s="135" t="s">
        <v>1</v>
      </c>
      <c r="C197" s="12">
        <v>221</v>
      </c>
      <c r="D197" s="87">
        <f>+C197*$D$1</f>
        <v>299.89999999999998</v>
      </c>
      <c r="E197" s="87">
        <f t="shared" si="8"/>
        <v>407.86399999999998</v>
      </c>
      <c r="F197" s="192">
        <v>550.1</v>
      </c>
      <c r="G197" s="100" t="s">
        <v>190</v>
      </c>
    </row>
    <row r="198" spans="1:7" ht="27.75" thickBot="1" x14ac:dyDescent="0.3">
      <c r="A198" s="99">
        <v>202903</v>
      </c>
      <c r="B198" s="135" t="s">
        <v>1</v>
      </c>
      <c r="C198" s="12">
        <v>160</v>
      </c>
      <c r="D198" s="87">
        <v>218</v>
      </c>
      <c r="E198" s="87">
        <f t="shared" si="8"/>
        <v>296.48</v>
      </c>
      <c r="F198" s="192">
        <f t="shared" si="6"/>
        <v>400.24800000000005</v>
      </c>
      <c r="G198" s="100" t="s">
        <v>191</v>
      </c>
    </row>
    <row r="199" spans="1:7" ht="27.75" thickBot="1" x14ac:dyDescent="0.3">
      <c r="A199" s="99">
        <v>202904</v>
      </c>
      <c r="B199" s="135" t="s">
        <v>1</v>
      </c>
      <c r="C199" s="12">
        <v>160</v>
      </c>
      <c r="D199" s="87">
        <v>218</v>
      </c>
      <c r="E199" s="87">
        <f t="shared" si="8"/>
        <v>296.48</v>
      </c>
      <c r="F199" s="192">
        <f t="shared" ref="F199:F247" si="10">+E199*$F$1</f>
        <v>400.24800000000005</v>
      </c>
      <c r="G199" s="100" t="s">
        <v>192</v>
      </c>
    </row>
    <row r="200" spans="1:7" ht="54.75" thickBot="1" x14ac:dyDescent="0.3">
      <c r="A200" s="99">
        <v>202909</v>
      </c>
      <c r="B200" s="135" t="s">
        <v>1</v>
      </c>
      <c r="C200" s="12">
        <v>160</v>
      </c>
      <c r="D200" s="87">
        <v>218</v>
      </c>
      <c r="E200" s="87">
        <f t="shared" ref="E200:E263" si="11">+D200*1.36</f>
        <v>296.48</v>
      </c>
      <c r="F200" s="192">
        <f t="shared" si="10"/>
        <v>400.24800000000005</v>
      </c>
      <c r="G200" s="100" t="s">
        <v>193</v>
      </c>
    </row>
    <row r="201" spans="1:7" ht="17.25" thickBot="1" x14ac:dyDescent="0.3">
      <c r="A201" s="101" t="s">
        <v>194</v>
      </c>
      <c r="B201" s="78"/>
      <c r="C201" s="1"/>
      <c r="D201" s="36"/>
      <c r="E201" s="36"/>
      <c r="F201" s="36"/>
      <c r="G201" s="103"/>
    </row>
    <row r="202" spans="1:7" ht="27.75" thickBot="1" x14ac:dyDescent="0.3">
      <c r="A202" s="99">
        <v>210101</v>
      </c>
      <c r="B202" s="135" t="s">
        <v>1</v>
      </c>
      <c r="C202" s="12">
        <v>221</v>
      </c>
      <c r="D202" s="57">
        <f t="shared" ref="D202:D208" si="12">+C202*$D$1</f>
        <v>299.89999999999998</v>
      </c>
      <c r="E202" s="57">
        <f t="shared" si="11"/>
        <v>407.86399999999998</v>
      </c>
      <c r="F202" s="192">
        <v>550.1</v>
      </c>
      <c r="G202" s="100" t="s">
        <v>195</v>
      </c>
    </row>
    <row r="203" spans="1:7" ht="16.5" thickBot="1" x14ac:dyDescent="0.3">
      <c r="A203" s="99">
        <v>210102</v>
      </c>
      <c r="B203" s="135" t="s">
        <v>1</v>
      </c>
      <c r="C203" s="12">
        <v>221</v>
      </c>
      <c r="D203" s="87">
        <f t="shared" si="12"/>
        <v>299.89999999999998</v>
      </c>
      <c r="E203" s="87">
        <f t="shared" si="11"/>
        <v>407.86399999999998</v>
      </c>
      <c r="F203" s="192">
        <v>550.1</v>
      </c>
      <c r="G203" s="100" t="s">
        <v>196</v>
      </c>
    </row>
    <row r="204" spans="1:7" ht="27.75" thickBot="1" x14ac:dyDescent="0.3">
      <c r="A204" s="99">
        <v>210201</v>
      </c>
      <c r="B204" s="135" t="s">
        <v>1</v>
      </c>
      <c r="C204" s="12">
        <v>221</v>
      </c>
      <c r="D204" s="87">
        <f t="shared" si="12"/>
        <v>299.89999999999998</v>
      </c>
      <c r="E204" s="87">
        <f t="shared" si="11"/>
        <v>407.86399999999998</v>
      </c>
      <c r="F204" s="192">
        <v>550.1</v>
      </c>
      <c r="G204" s="100" t="s">
        <v>197</v>
      </c>
    </row>
    <row r="205" spans="1:7" ht="27.75" thickBot="1" x14ac:dyDescent="0.3">
      <c r="A205" s="99">
        <v>210202</v>
      </c>
      <c r="B205" s="135" t="s">
        <v>1</v>
      </c>
      <c r="C205" s="12">
        <v>221</v>
      </c>
      <c r="D205" s="87">
        <f t="shared" si="12"/>
        <v>299.89999999999998</v>
      </c>
      <c r="E205" s="87">
        <f t="shared" si="11"/>
        <v>407.86399999999998</v>
      </c>
      <c r="F205" s="192">
        <v>550.1</v>
      </c>
      <c r="G205" s="100" t="s">
        <v>198</v>
      </c>
    </row>
    <row r="206" spans="1:7" ht="27.75" thickBot="1" x14ac:dyDescent="0.3">
      <c r="A206" s="99">
        <v>210990.1</v>
      </c>
      <c r="B206" s="135" t="s">
        <v>1</v>
      </c>
      <c r="C206" s="12">
        <v>221</v>
      </c>
      <c r="D206" s="87">
        <f t="shared" si="12"/>
        <v>299.89999999999998</v>
      </c>
      <c r="E206" s="87">
        <f t="shared" si="11"/>
        <v>407.86399999999998</v>
      </c>
      <c r="F206" s="192">
        <v>550.1</v>
      </c>
      <c r="G206" s="100" t="s">
        <v>199</v>
      </c>
    </row>
    <row r="207" spans="1:7" ht="41.25" thickBot="1" x14ac:dyDescent="0.3">
      <c r="A207" s="99">
        <v>210990.2</v>
      </c>
      <c r="B207" s="135" t="s">
        <v>1</v>
      </c>
      <c r="C207" s="12">
        <v>221</v>
      </c>
      <c r="D207" s="87">
        <f t="shared" si="12"/>
        <v>299.89999999999998</v>
      </c>
      <c r="E207" s="87">
        <f t="shared" si="11"/>
        <v>407.86399999999998</v>
      </c>
      <c r="F207" s="192">
        <v>550.1</v>
      </c>
      <c r="G207" s="100" t="s">
        <v>200</v>
      </c>
    </row>
    <row r="208" spans="1:7" ht="27.75" thickBot="1" x14ac:dyDescent="0.3">
      <c r="A208" s="99">
        <v>210991</v>
      </c>
      <c r="B208" s="135" t="s">
        <v>1</v>
      </c>
      <c r="C208" s="12">
        <v>221</v>
      </c>
      <c r="D208" s="87">
        <f t="shared" si="12"/>
        <v>299.89999999999998</v>
      </c>
      <c r="E208" s="87">
        <f t="shared" si="11"/>
        <v>407.86399999999998</v>
      </c>
      <c r="F208" s="192">
        <v>550.1</v>
      </c>
      <c r="G208" s="100" t="s">
        <v>201</v>
      </c>
    </row>
    <row r="209" spans="1:7" ht="17.25" thickBot="1" x14ac:dyDescent="0.3">
      <c r="A209" s="101" t="s">
        <v>202</v>
      </c>
      <c r="B209" s="78"/>
      <c r="C209" s="1"/>
      <c r="D209" s="36"/>
      <c r="E209" s="36"/>
      <c r="F209" s="36"/>
      <c r="G209" s="103"/>
    </row>
    <row r="210" spans="1:7" ht="41.25" thickBot="1" x14ac:dyDescent="0.3">
      <c r="A210" s="99">
        <v>221100</v>
      </c>
      <c r="B210" s="135" t="s">
        <v>1</v>
      </c>
      <c r="C210" s="12">
        <v>221</v>
      </c>
      <c r="D210" s="57">
        <f>+C210*$D$1</f>
        <v>299.89999999999998</v>
      </c>
      <c r="E210" s="57">
        <f t="shared" si="11"/>
        <v>407.86399999999998</v>
      </c>
      <c r="F210" s="192">
        <v>550.1</v>
      </c>
      <c r="G210" s="100" t="s">
        <v>203</v>
      </c>
    </row>
    <row r="211" spans="1:7" ht="27.75" thickBot="1" x14ac:dyDescent="0.3">
      <c r="A211" s="99">
        <v>221200</v>
      </c>
      <c r="B211" s="135" t="s">
        <v>1</v>
      </c>
      <c r="C211" s="12">
        <v>100</v>
      </c>
      <c r="D211" s="87">
        <v>135</v>
      </c>
      <c r="E211" s="87">
        <f t="shared" si="11"/>
        <v>183.60000000000002</v>
      </c>
      <c r="F211" s="192">
        <f t="shared" si="10"/>
        <v>247.86000000000004</v>
      </c>
      <c r="G211" s="100" t="s">
        <v>204</v>
      </c>
    </row>
    <row r="212" spans="1:7" ht="16.5" thickBot="1" x14ac:dyDescent="0.3">
      <c r="A212" s="99">
        <v>221900.1</v>
      </c>
      <c r="B212" s="135" t="s">
        <v>1</v>
      </c>
      <c r="C212" s="12">
        <v>100</v>
      </c>
      <c r="D212" s="87">
        <v>135</v>
      </c>
      <c r="E212" s="87">
        <f t="shared" si="11"/>
        <v>183.60000000000002</v>
      </c>
      <c r="F212" s="192">
        <f t="shared" si="10"/>
        <v>247.86000000000004</v>
      </c>
      <c r="G212" s="100" t="s">
        <v>205</v>
      </c>
    </row>
    <row r="213" spans="1:7" ht="16.5" thickBot="1" x14ac:dyDescent="0.3">
      <c r="A213" s="99">
        <v>221900.2</v>
      </c>
      <c r="B213" s="135" t="s">
        <v>1</v>
      </c>
      <c r="C213" s="12">
        <v>100</v>
      </c>
      <c r="D213" s="87">
        <v>135</v>
      </c>
      <c r="E213" s="87">
        <f t="shared" si="11"/>
        <v>183.60000000000002</v>
      </c>
      <c r="F213" s="192">
        <f t="shared" si="10"/>
        <v>247.86000000000004</v>
      </c>
      <c r="G213" s="100" t="s">
        <v>206</v>
      </c>
    </row>
    <row r="214" spans="1:7" ht="27.75" thickBot="1" x14ac:dyDescent="0.3">
      <c r="A214" s="99">
        <v>222101</v>
      </c>
      <c r="B214" s="135" t="s">
        <v>1</v>
      </c>
      <c r="C214" s="12">
        <v>100</v>
      </c>
      <c r="D214" s="87">
        <v>135</v>
      </c>
      <c r="E214" s="87">
        <f t="shared" si="11"/>
        <v>183.60000000000002</v>
      </c>
      <c r="F214" s="192">
        <f t="shared" si="10"/>
        <v>247.86000000000004</v>
      </c>
      <c r="G214" s="100" t="s">
        <v>207</v>
      </c>
    </row>
    <row r="215" spans="1:7" ht="27.75" thickBot="1" x14ac:dyDescent="0.3">
      <c r="A215" s="99">
        <v>222109</v>
      </c>
      <c r="B215" s="135" t="s">
        <v>1</v>
      </c>
      <c r="C215" s="12">
        <v>100</v>
      </c>
      <c r="D215" s="87">
        <v>135</v>
      </c>
      <c r="E215" s="87">
        <f t="shared" si="11"/>
        <v>183.60000000000002</v>
      </c>
      <c r="F215" s="192">
        <f t="shared" si="10"/>
        <v>247.86000000000004</v>
      </c>
      <c r="G215" s="100" t="s">
        <v>208</v>
      </c>
    </row>
    <row r="216" spans="1:7" ht="41.25" thickBot="1" x14ac:dyDescent="0.3">
      <c r="A216" s="99">
        <v>222200</v>
      </c>
      <c r="B216" s="135" t="s">
        <v>1</v>
      </c>
      <c r="C216" s="12">
        <v>100</v>
      </c>
      <c r="D216" s="87">
        <v>135</v>
      </c>
      <c r="E216" s="87">
        <f t="shared" si="11"/>
        <v>183.60000000000002</v>
      </c>
      <c r="F216" s="192">
        <f t="shared" si="10"/>
        <v>247.86000000000004</v>
      </c>
      <c r="G216" s="100" t="s">
        <v>209</v>
      </c>
    </row>
    <row r="217" spans="1:7" ht="17.25" thickBot="1" x14ac:dyDescent="0.3">
      <c r="A217" s="222" t="s">
        <v>210</v>
      </c>
      <c r="B217" s="78"/>
      <c r="C217" s="27"/>
      <c r="D217" s="41"/>
      <c r="E217" s="41"/>
      <c r="F217" s="41"/>
      <c r="G217" s="103"/>
    </row>
    <row r="218" spans="1:7" ht="54.75" thickBot="1" x14ac:dyDescent="0.3">
      <c r="A218" s="99">
        <v>232000</v>
      </c>
      <c r="B218" s="135" t="s">
        <v>1</v>
      </c>
      <c r="C218" s="12">
        <v>280</v>
      </c>
      <c r="D218" s="88">
        <v>380</v>
      </c>
      <c r="E218" s="88">
        <v>517.54999999999995</v>
      </c>
      <c r="F218" s="193">
        <v>698.4</v>
      </c>
      <c r="G218" s="100" t="s">
        <v>211</v>
      </c>
    </row>
    <row r="219" spans="1:7" ht="17.25" thickBot="1" x14ac:dyDescent="0.3">
      <c r="A219" s="101" t="s">
        <v>212</v>
      </c>
      <c r="B219" s="78"/>
      <c r="C219" s="1"/>
      <c r="D219" s="36"/>
      <c r="E219" s="36"/>
      <c r="F219" s="36"/>
      <c r="G219" s="103"/>
    </row>
    <row r="220" spans="1:7" ht="41.25" thickBot="1" x14ac:dyDescent="0.3">
      <c r="A220" s="99">
        <v>241110.1</v>
      </c>
      <c r="B220" s="135" t="s">
        <v>1</v>
      </c>
      <c r="C220" s="12">
        <v>280</v>
      </c>
      <c r="D220" s="88">
        <v>380</v>
      </c>
      <c r="E220" s="88">
        <v>517.54999999999995</v>
      </c>
      <c r="F220" s="193">
        <v>698.4</v>
      </c>
      <c r="G220" s="100" t="s">
        <v>213</v>
      </c>
    </row>
    <row r="221" spans="1:7" ht="41.25" thickBot="1" x14ac:dyDescent="0.3">
      <c r="A221" s="99">
        <v>241110.2</v>
      </c>
      <c r="B221" s="135" t="s">
        <v>1</v>
      </c>
      <c r="C221" s="12">
        <v>280</v>
      </c>
      <c r="D221" s="89">
        <v>380</v>
      </c>
      <c r="E221" s="89">
        <v>517.54999999999995</v>
      </c>
      <c r="F221" s="193">
        <v>698.4</v>
      </c>
      <c r="G221" s="100" t="s">
        <v>214</v>
      </c>
    </row>
    <row r="222" spans="1:7" ht="41.25" thickBot="1" x14ac:dyDescent="0.3">
      <c r="A222" s="99">
        <v>241120</v>
      </c>
      <c r="B222" s="135" t="s">
        <v>1</v>
      </c>
      <c r="C222" s="12">
        <v>221</v>
      </c>
      <c r="D222" s="87">
        <f t="shared" ref="D222:D229" si="13">+C222*$D$1</f>
        <v>299.89999999999998</v>
      </c>
      <c r="E222" s="87">
        <f t="shared" si="11"/>
        <v>407.86399999999998</v>
      </c>
      <c r="F222" s="192">
        <v>550.1</v>
      </c>
      <c r="G222" s="100" t="s">
        <v>215</v>
      </c>
    </row>
    <row r="223" spans="1:7" ht="16.5" thickBot="1" x14ac:dyDescent="0.3">
      <c r="A223" s="99">
        <v>241130</v>
      </c>
      <c r="B223" s="135" t="s">
        <v>1</v>
      </c>
      <c r="C223" s="12">
        <v>221</v>
      </c>
      <c r="D223" s="87">
        <f t="shared" si="13"/>
        <v>299.89999999999998</v>
      </c>
      <c r="E223" s="87">
        <f t="shared" si="11"/>
        <v>407.86399999999998</v>
      </c>
      <c r="F223" s="192">
        <v>550.1</v>
      </c>
      <c r="G223" s="100" t="s">
        <v>216</v>
      </c>
    </row>
    <row r="224" spans="1:7" ht="41.25" thickBot="1" x14ac:dyDescent="0.3">
      <c r="A224" s="99">
        <v>241180</v>
      </c>
      <c r="B224" s="135" t="s">
        <v>1</v>
      </c>
      <c r="C224" s="12">
        <v>221</v>
      </c>
      <c r="D224" s="87">
        <f t="shared" si="13"/>
        <v>299.89999999999998</v>
      </c>
      <c r="E224" s="87">
        <f t="shared" si="11"/>
        <v>407.86399999999998</v>
      </c>
      <c r="F224" s="192">
        <v>550.1</v>
      </c>
      <c r="G224" s="100" t="s">
        <v>217</v>
      </c>
    </row>
    <row r="225" spans="1:7" ht="108.75" thickBot="1" x14ac:dyDescent="0.3">
      <c r="A225" s="99">
        <v>241190</v>
      </c>
      <c r="B225" s="135" t="s">
        <v>1</v>
      </c>
      <c r="C225" s="12">
        <v>221</v>
      </c>
      <c r="D225" s="87">
        <f t="shared" si="13"/>
        <v>299.89999999999998</v>
      </c>
      <c r="E225" s="87">
        <f t="shared" si="11"/>
        <v>407.86399999999998</v>
      </c>
      <c r="F225" s="192">
        <v>550.1</v>
      </c>
      <c r="G225" s="100" t="s">
        <v>218</v>
      </c>
    </row>
    <row r="226" spans="1:7" ht="41.25" thickBot="1" x14ac:dyDescent="0.3">
      <c r="A226" s="99">
        <v>241200</v>
      </c>
      <c r="B226" s="135" t="s">
        <v>1</v>
      </c>
      <c r="C226" s="12">
        <v>221</v>
      </c>
      <c r="D226" s="87">
        <f t="shared" si="13"/>
        <v>299.89999999999998</v>
      </c>
      <c r="E226" s="87">
        <f t="shared" si="11"/>
        <v>407.86399999999998</v>
      </c>
      <c r="F226" s="192">
        <v>550.1</v>
      </c>
      <c r="G226" s="100" t="s">
        <v>219</v>
      </c>
    </row>
    <row r="227" spans="1:7" ht="27.75" thickBot="1" x14ac:dyDescent="0.3">
      <c r="A227" s="99">
        <v>241301</v>
      </c>
      <c r="B227" s="135" t="s">
        <v>1</v>
      </c>
      <c r="C227" s="12">
        <v>221</v>
      </c>
      <c r="D227" s="87">
        <f t="shared" si="13"/>
        <v>299.89999999999998</v>
      </c>
      <c r="E227" s="87">
        <f t="shared" si="11"/>
        <v>407.86399999999998</v>
      </c>
      <c r="F227" s="192">
        <v>550.1</v>
      </c>
      <c r="G227" s="100" t="s">
        <v>220</v>
      </c>
    </row>
    <row r="228" spans="1:7" ht="27.75" thickBot="1" x14ac:dyDescent="0.3">
      <c r="A228" s="99">
        <v>241309</v>
      </c>
      <c r="B228" s="135" t="s">
        <v>1</v>
      </c>
      <c r="C228" s="12">
        <v>221</v>
      </c>
      <c r="D228" s="87">
        <f t="shared" si="13"/>
        <v>299.89999999999998</v>
      </c>
      <c r="E228" s="87">
        <f t="shared" si="11"/>
        <v>407.86399999999998</v>
      </c>
      <c r="F228" s="192">
        <v>550.1</v>
      </c>
      <c r="G228" s="100" t="s">
        <v>221</v>
      </c>
    </row>
    <row r="229" spans="1:7" ht="41.25" thickBot="1" x14ac:dyDescent="0.3">
      <c r="A229" s="99">
        <v>243000</v>
      </c>
      <c r="B229" s="135" t="s">
        <v>1</v>
      </c>
      <c r="C229" s="12">
        <v>221</v>
      </c>
      <c r="D229" s="87">
        <f t="shared" si="13"/>
        <v>299.89999999999998</v>
      </c>
      <c r="E229" s="87">
        <f t="shared" si="11"/>
        <v>407.86399999999998</v>
      </c>
      <c r="F229" s="192">
        <v>550.1</v>
      </c>
      <c r="G229" s="100" t="s">
        <v>222</v>
      </c>
    </row>
    <row r="230" spans="1:7" ht="17.25" thickBot="1" x14ac:dyDescent="0.3">
      <c r="A230" s="101" t="s">
        <v>223</v>
      </c>
      <c r="B230" s="78"/>
      <c r="C230" s="1"/>
      <c r="D230" s="36"/>
      <c r="E230" s="36"/>
      <c r="F230" s="36"/>
      <c r="G230" s="103"/>
    </row>
    <row r="231" spans="1:7" ht="27.75" thickBot="1" x14ac:dyDescent="0.3">
      <c r="A231" s="99">
        <v>242100</v>
      </c>
      <c r="B231" s="135" t="s">
        <v>1</v>
      </c>
      <c r="C231" s="12">
        <v>221</v>
      </c>
      <c r="D231" s="57">
        <f t="shared" ref="D231:D238" si="14">+C231*$D$1</f>
        <v>299.89999999999998</v>
      </c>
      <c r="E231" s="57">
        <f t="shared" si="11"/>
        <v>407.86399999999998</v>
      </c>
      <c r="F231" s="192">
        <v>550.1</v>
      </c>
      <c r="G231" s="100" t="s">
        <v>224</v>
      </c>
    </row>
    <row r="232" spans="1:7" ht="54.75" thickBot="1" x14ac:dyDescent="0.3">
      <c r="A232" s="99">
        <v>242200</v>
      </c>
      <c r="B232" s="135" t="s">
        <v>1</v>
      </c>
      <c r="C232" s="12">
        <v>221</v>
      </c>
      <c r="D232" s="87">
        <f t="shared" si="14"/>
        <v>299.89999999999998</v>
      </c>
      <c r="E232" s="87">
        <f t="shared" si="11"/>
        <v>407.86399999999998</v>
      </c>
      <c r="F232" s="192">
        <v>550.1</v>
      </c>
      <c r="G232" s="100" t="s">
        <v>225</v>
      </c>
    </row>
    <row r="233" spans="1:7" ht="68.25" thickBot="1" x14ac:dyDescent="0.3">
      <c r="A233" s="66">
        <v>242310</v>
      </c>
      <c r="B233" s="140" t="s">
        <v>1</v>
      </c>
      <c r="C233" s="12">
        <v>221</v>
      </c>
      <c r="D233" s="57">
        <f t="shared" si="14"/>
        <v>299.89999999999998</v>
      </c>
      <c r="E233" s="57">
        <f t="shared" si="11"/>
        <v>407.86399999999998</v>
      </c>
      <c r="F233" s="197">
        <v>550.1</v>
      </c>
      <c r="G233" s="96" t="s">
        <v>226</v>
      </c>
    </row>
    <row r="234" spans="1:7" ht="54.75" thickBot="1" x14ac:dyDescent="0.3">
      <c r="A234" s="66">
        <v>242320</v>
      </c>
      <c r="B234" s="138" t="s">
        <v>1</v>
      </c>
      <c r="C234" s="12">
        <v>221</v>
      </c>
      <c r="D234" s="57">
        <f t="shared" si="14"/>
        <v>299.89999999999998</v>
      </c>
      <c r="E234" s="57">
        <f t="shared" si="11"/>
        <v>407.86399999999998</v>
      </c>
      <c r="F234" s="197">
        <v>550.1</v>
      </c>
      <c r="G234" s="96" t="s">
        <v>227</v>
      </c>
    </row>
    <row r="235" spans="1:7" ht="41.25" thickBot="1" x14ac:dyDescent="0.3">
      <c r="A235" s="99">
        <v>242411</v>
      </c>
      <c r="B235" s="135" t="s">
        <v>1</v>
      </c>
      <c r="C235" s="12">
        <v>221</v>
      </c>
      <c r="D235" s="87">
        <f t="shared" si="14"/>
        <v>299.89999999999998</v>
      </c>
      <c r="E235" s="87">
        <f t="shared" si="11"/>
        <v>407.86399999999998</v>
      </c>
      <c r="F235" s="192">
        <v>550.1</v>
      </c>
      <c r="G235" s="100" t="s">
        <v>228</v>
      </c>
    </row>
    <row r="236" spans="1:7" ht="27.75" thickBot="1" x14ac:dyDescent="0.3">
      <c r="A236" s="99">
        <v>242412</v>
      </c>
      <c r="B236" s="135" t="s">
        <v>1</v>
      </c>
      <c r="C236" s="12">
        <v>221</v>
      </c>
      <c r="D236" s="87">
        <f t="shared" si="14"/>
        <v>299.89999999999998</v>
      </c>
      <c r="E236" s="87">
        <f t="shared" si="11"/>
        <v>407.86399999999998</v>
      </c>
      <c r="F236" s="192">
        <v>550.1</v>
      </c>
      <c r="G236" s="100" t="s">
        <v>229</v>
      </c>
    </row>
    <row r="237" spans="1:7" ht="41.25" thickBot="1" x14ac:dyDescent="0.3">
      <c r="A237" s="99">
        <v>242490</v>
      </c>
      <c r="B237" s="135" t="s">
        <v>1</v>
      </c>
      <c r="C237" s="12">
        <v>221</v>
      </c>
      <c r="D237" s="87">
        <f t="shared" si="14"/>
        <v>299.89999999999998</v>
      </c>
      <c r="E237" s="87">
        <f t="shared" si="11"/>
        <v>407.86399999999998</v>
      </c>
      <c r="F237" s="192">
        <v>550.1</v>
      </c>
      <c r="G237" s="100" t="s">
        <v>230</v>
      </c>
    </row>
    <row r="238" spans="1:7" ht="41.25" thickBot="1" x14ac:dyDescent="0.3">
      <c r="A238" s="99">
        <v>242901</v>
      </c>
      <c r="B238" s="135" t="s">
        <v>1</v>
      </c>
      <c r="C238" s="12">
        <v>221</v>
      </c>
      <c r="D238" s="87">
        <f t="shared" si="14"/>
        <v>299.89999999999998</v>
      </c>
      <c r="E238" s="87">
        <f t="shared" si="11"/>
        <v>407.86399999999998</v>
      </c>
      <c r="F238" s="192">
        <v>550.1</v>
      </c>
      <c r="G238" s="100" t="s">
        <v>231</v>
      </c>
    </row>
    <row r="239" spans="1:7" ht="41.25" thickBot="1" x14ac:dyDescent="0.3">
      <c r="A239" s="99">
        <v>242902</v>
      </c>
      <c r="B239" s="135" t="s">
        <v>130</v>
      </c>
      <c r="C239" s="12">
        <v>1092</v>
      </c>
      <c r="D239" s="87">
        <v>1480</v>
      </c>
      <c r="E239" s="87">
        <v>2013.7</v>
      </c>
      <c r="F239" s="192">
        <f t="shared" si="10"/>
        <v>2718.4950000000003</v>
      </c>
      <c r="G239" s="100" t="s">
        <v>232</v>
      </c>
    </row>
    <row r="240" spans="1:7" ht="68.25" thickBot="1" x14ac:dyDescent="0.3">
      <c r="A240" s="99">
        <v>242903</v>
      </c>
      <c r="B240" s="135" t="s">
        <v>1</v>
      </c>
      <c r="C240" s="12">
        <v>221</v>
      </c>
      <c r="D240" s="87">
        <f>+C240*$D$1</f>
        <v>299.89999999999998</v>
      </c>
      <c r="E240" s="87">
        <f t="shared" si="11"/>
        <v>407.86399999999998</v>
      </c>
      <c r="F240" s="192">
        <v>550.1</v>
      </c>
      <c r="G240" s="100" t="s">
        <v>233</v>
      </c>
    </row>
    <row r="241" spans="1:7" ht="41.25" thickBot="1" x14ac:dyDescent="0.3">
      <c r="A241" s="99">
        <v>242909</v>
      </c>
      <c r="B241" s="135" t="s">
        <v>1</v>
      </c>
      <c r="C241" s="12">
        <v>221</v>
      </c>
      <c r="D241" s="87">
        <f>+C241*$D$1</f>
        <v>299.89999999999998</v>
      </c>
      <c r="E241" s="87">
        <f t="shared" si="11"/>
        <v>407.86399999999998</v>
      </c>
      <c r="F241" s="192">
        <v>550.1</v>
      </c>
      <c r="G241" s="100" t="s">
        <v>234</v>
      </c>
    </row>
    <row r="242" spans="1:7" ht="17.25" customHeight="1" thickBot="1" x14ac:dyDescent="0.3">
      <c r="A242" s="101" t="s">
        <v>235</v>
      </c>
      <c r="B242" s="78"/>
      <c r="C242" s="1"/>
      <c r="D242" s="36"/>
      <c r="E242" s="36"/>
      <c r="F242" s="36"/>
      <c r="G242" s="103"/>
    </row>
    <row r="243" spans="1:7" ht="27.75" thickBot="1" x14ac:dyDescent="0.3">
      <c r="A243" s="99">
        <v>192020</v>
      </c>
      <c r="B243" s="135" t="s">
        <v>1</v>
      </c>
      <c r="C243" s="12">
        <v>221</v>
      </c>
      <c r="D243" s="57">
        <f>+C243*$D$1</f>
        <v>299.89999999999998</v>
      </c>
      <c r="E243" s="57">
        <f t="shared" si="11"/>
        <v>407.86399999999998</v>
      </c>
      <c r="F243" s="192">
        <v>550.1</v>
      </c>
      <c r="G243" s="100" t="s">
        <v>236</v>
      </c>
    </row>
    <row r="244" spans="1:7" ht="27.75" thickBot="1" x14ac:dyDescent="0.3">
      <c r="A244" s="99">
        <v>251110</v>
      </c>
      <c r="B244" s="135" t="s">
        <v>1</v>
      </c>
      <c r="C244" s="12">
        <v>221</v>
      </c>
      <c r="D244" s="87">
        <f>+C244*$D$1</f>
        <v>299.89999999999998</v>
      </c>
      <c r="E244" s="87">
        <f t="shared" si="11"/>
        <v>407.86399999999998</v>
      </c>
      <c r="F244" s="192">
        <v>550.1</v>
      </c>
      <c r="G244" s="100" t="s">
        <v>237</v>
      </c>
    </row>
    <row r="245" spans="1:7" ht="27.75" thickBot="1" x14ac:dyDescent="0.3">
      <c r="A245" s="99">
        <v>251120</v>
      </c>
      <c r="B245" s="135" t="s">
        <v>1</v>
      </c>
      <c r="C245" s="12">
        <v>160</v>
      </c>
      <c r="D245" s="87">
        <v>218</v>
      </c>
      <c r="E245" s="87">
        <f t="shared" si="11"/>
        <v>296.48</v>
      </c>
      <c r="F245" s="192">
        <f t="shared" si="10"/>
        <v>400.24800000000005</v>
      </c>
      <c r="G245" s="100" t="s">
        <v>238</v>
      </c>
    </row>
    <row r="246" spans="1:7" ht="54.75" thickBot="1" x14ac:dyDescent="0.3">
      <c r="A246" s="99">
        <v>251901</v>
      </c>
      <c r="B246" s="135" t="s">
        <v>1</v>
      </c>
      <c r="C246" s="12">
        <v>160</v>
      </c>
      <c r="D246" s="87">
        <v>218</v>
      </c>
      <c r="E246" s="87">
        <f t="shared" si="11"/>
        <v>296.48</v>
      </c>
      <c r="F246" s="192">
        <f t="shared" si="10"/>
        <v>400.24800000000005</v>
      </c>
      <c r="G246" s="100" t="s">
        <v>239</v>
      </c>
    </row>
    <row r="247" spans="1:7" ht="27.75" thickBot="1" x14ac:dyDescent="0.3">
      <c r="A247" s="99">
        <v>251909.1</v>
      </c>
      <c r="B247" s="135" t="s">
        <v>1</v>
      </c>
      <c r="C247" s="12">
        <v>160</v>
      </c>
      <c r="D247" s="87">
        <v>218</v>
      </c>
      <c r="E247" s="87">
        <f t="shared" si="11"/>
        <v>296.48</v>
      </c>
      <c r="F247" s="192">
        <f t="shared" si="10"/>
        <v>400.24800000000005</v>
      </c>
      <c r="G247" s="100" t="s">
        <v>240</v>
      </c>
    </row>
    <row r="248" spans="1:7" ht="27.75" thickBot="1" x14ac:dyDescent="0.3">
      <c r="A248" s="99">
        <v>251909.2</v>
      </c>
      <c r="B248" s="135" t="s">
        <v>1</v>
      </c>
      <c r="C248" s="12">
        <v>221</v>
      </c>
      <c r="D248" s="87">
        <f>+C248*$D$1</f>
        <v>299.89999999999998</v>
      </c>
      <c r="E248" s="87">
        <f t="shared" si="11"/>
        <v>407.86399999999998</v>
      </c>
      <c r="F248" s="192">
        <v>550.1</v>
      </c>
      <c r="G248" s="100" t="s">
        <v>241</v>
      </c>
    </row>
    <row r="249" spans="1:7" ht="17.25" thickBot="1" x14ac:dyDescent="0.3">
      <c r="A249" s="101" t="s">
        <v>242</v>
      </c>
      <c r="B249" s="78"/>
      <c r="C249" s="1"/>
      <c r="D249" s="36"/>
      <c r="E249" s="36"/>
      <c r="F249" s="36"/>
      <c r="G249" s="103"/>
    </row>
    <row r="250" spans="1:7" ht="27.75" thickBot="1" x14ac:dyDescent="0.3">
      <c r="A250" s="99">
        <v>241309.1</v>
      </c>
      <c r="B250" s="135" t="s">
        <v>1</v>
      </c>
      <c r="C250" s="12">
        <v>221</v>
      </c>
      <c r="D250" s="57">
        <f t="shared" ref="D250:D255" si="15">+C250*$D$1</f>
        <v>299.89999999999998</v>
      </c>
      <c r="E250" s="57">
        <f t="shared" si="11"/>
        <v>407.86399999999998</v>
      </c>
      <c r="F250" s="192">
        <v>550.1</v>
      </c>
      <c r="G250" s="100" t="s">
        <v>243</v>
      </c>
    </row>
    <row r="251" spans="1:7" ht="27.75" thickBot="1" x14ac:dyDescent="0.3">
      <c r="A251" s="99">
        <v>252010</v>
      </c>
      <c r="B251" s="135" t="s">
        <v>1</v>
      </c>
      <c r="C251" s="12">
        <v>221</v>
      </c>
      <c r="D251" s="87">
        <f t="shared" si="15"/>
        <v>299.89999999999998</v>
      </c>
      <c r="E251" s="87">
        <f t="shared" si="11"/>
        <v>407.86399999999998</v>
      </c>
      <c r="F251" s="192">
        <v>550.1</v>
      </c>
      <c r="G251" s="100" t="s">
        <v>244</v>
      </c>
    </row>
    <row r="252" spans="1:7" ht="27.75" thickBot="1" x14ac:dyDescent="0.3">
      <c r="A252" s="99">
        <v>252090.1</v>
      </c>
      <c r="B252" s="135" t="s">
        <v>1</v>
      </c>
      <c r="C252" s="12">
        <v>221</v>
      </c>
      <c r="D252" s="87">
        <f t="shared" si="15"/>
        <v>299.89999999999998</v>
      </c>
      <c r="E252" s="87">
        <f t="shared" si="11"/>
        <v>407.86399999999998</v>
      </c>
      <c r="F252" s="192">
        <v>550.1</v>
      </c>
      <c r="G252" s="100" t="s">
        <v>245</v>
      </c>
    </row>
    <row r="253" spans="1:7" ht="54.75" thickBot="1" x14ac:dyDescent="0.3">
      <c r="A253" s="99">
        <v>252090.2</v>
      </c>
      <c r="B253" s="135" t="s">
        <v>1</v>
      </c>
      <c r="C253" s="12">
        <v>221</v>
      </c>
      <c r="D253" s="87">
        <f t="shared" si="15"/>
        <v>299.89999999999998</v>
      </c>
      <c r="E253" s="87">
        <f t="shared" si="11"/>
        <v>407.86399999999998</v>
      </c>
      <c r="F253" s="192">
        <v>550.1</v>
      </c>
      <c r="G253" s="100" t="s">
        <v>246</v>
      </c>
    </row>
    <row r="254" spans="1:7" ht="27.75" thickBot="1" x14ac:dyDescent="0.3">
      <c r="A254" s="99">
        <v>252090.3</v>
      </c>
      <c r="B254" s="135" t="s">
        <v>1</v>
      </c>
      <c r="C254" s="12">
        <v>221</v>
      </c>
      <c r="D254" s="87">
        <f t="shared" si="15"/>
        <v>299.89999999999998</v>
      </c>
      <c r="E254" s="87">
        <f t="shared" si="11"/>
        <v>407.86399999999998</v>
      </c>
      <c r="F254" s="192">
        <v>550.1</v>
      </c>
      <c r="G254" s="100" t="s">
        <v>247</v>
      </c>
    </row>
    <row r="255" spans="1:7" ht="41.25" thickBot="1" x14ac:dyDescent="0.3">
      <c r="A255" s="99">
        <v>361020</v>
      </c>
      <c r="B255" s="135" t="s">
        <v>1</v>
      </c>
      <c r="C255" s="12">
        <v>221</v>
      </c>
      <c r="D255" s="87">
        <f t="shared" si="15"/>
        <v>299.89999999999998</v>
      </c>
      <c r="E255" s="87">
        <f t="shared" si="11"/>
        <v>407.86399999999998</v>
      </c>
      <c r="F255" s="192">
        <v>550.1</v>
      </c>
      <c r="G255" s="100" t="s">
        <v>248</v>
      </c>
    </row>
    <row r="256" spans="1:7" ht="17.25" thickBot="1" x14ac:dyDescent="0.3">
      <c r="A256" s="101" t="s">
        <v>249</v>
      </c>
      <c r="B256" s="78"/>
      <c r="C256" s="1"/>
      <c r="D256" s="36"/>
      <c r="E256" s="36"/>
      <c r="F256" s="36"/>
      <c r="G256" s="103"/>
    </row>
    <row r="257" spans="1:7" ht="27.75" thickBot="1" x14ac:dyDescent="0.3">
      <c r="A257" s="99">
        <v>261020</v>
      </c>
      <c r="B257" s="135" t="s">
        <v>1</v>
      </c>
      <c r="C257" s="12">
        <v>221</v>
      </c>
      <c r="D257" s="57">
        <f>+C257*$D$1</f>
        <v>299.89999999999998</v>
      </c>
      <c r="E257" s="57">
        <f t="shared" si="11"/>
        <v>407.86399999999998</v>
      </c>
      <c r="F257" s="192">
        <v>550.1</v>
      </c>
      <c r="G257" s="100" t="s">
        <v>250</v>
      </c>
    </row>
    <row r="258" spans="1:7" ht="27.75" thickBot="1" x14ac:dyDescent="0.3">
      <c r="A258" s="99">
        <v>261091</v>
      </c>
      <c r="B258" s="135" t="s">
        <v>1</v>
      </c>
      <c r="C258" s="12">
        <v>221</v>
      </c>
      <c r="D258" s="87">
        <f>+C258*$D$1</f>
        <v>299.89999999999998</v>
      </c>
      <c r="E258" s="87">
        <f t="shared" si="11"/>
        <v>407.86399999999998</v>
      </c>
      <c r="F258" s="192">
        <v>550.1</v>
      </c>
      <c r="G258" s="100" t="s">
        <v>251</v>
      </c>
    </row>
    <row r="259" spans="1:7" ht="41.25" thickBot="1" x14ac:dyDescent="0.3">
      <c r="A259" s="99">
        <v>261099</v>
      </c>
      <c r="B259" s="135" t="s">
        <v>1</v>
      </c>
      <c r="C259" s="12">
        <v>221</v>
      </c>
      <c r="D259" s="87">
        <f>+C259*$D$1</f>
        <v>299.89999999999998</v>
      </c>
      <c r="E259" s="87">
        <f t="shared" si="11"/>
        <v>407.86399999999998</v>
      </c>
      <c r="F259" s="192">
        <v>550.1</v>
      </c>
      <c r="G259" s="100" t="s">
        <v>252</v>
      </c>
    </row>
    <row r="260" spans="1:7" ht="17.25" thickBot="1" x14ac:dyDescent="0.3">
      <c r="A260" s="101" t="s">
        <v>253</v>
      </c>
      <c r="B260" s="78"/>
      <c r="C260" s="1"/>
      <c r="D260" s="36"/>
      <c r="E260" s="36"/>
      <c r="F260" s="36"/>
      <c r="G260" s="103"/>
    </row>
    <row r="261" spans="1:7" ht="41.25" thickBot="1" x14ac:dyDescent="0.3">
      <c r="A261" s="99">
        <v>269110</v>
      </c>
      <c r="B261" s="135" t="s">
        <v>1</v>
      </c>
      <c r="C261" s="12">
        <v>221</v>
      </c>
      <c r="D261" s="57">
        <f>+C261*$D$1</f>
        <v>299.89999999999998</v>
      </c>
      <c r="E261" s="57">
        <f t="shared" si="11"/>
        <v>407.86399999999998</v>
      </c>
      <c r="F261" s="192">
        <v>550.1</v>
      </c>
      <c r="G261" s="100" t="s">
        <v>254</v>
      </c>
    </row>
    <row r="262" spans="1:7" ht="54.75" thickBot="1" x14ac:dyDescent="0.3">
      <c r="A262" s="99">
        <v>269191</v>
      </c>
      <c r="B262" s="135" t="s">
        <v>1</v>
      </c>
      <c r="C262" s="12">
        <v>221</v>
      </c>
      <c r="D262" s="87">
        <f>+C262*$D$1</f>
        <v>299.89999999999998</v>
      </c>
      <c r="E262" s="87">
        <f t="shared" si="11"/>
        <v>407.86399999999998</v>
      </c>
      <c r="F262" s="192">
        <v>550.1</v>
      </c>
      <c r="G262" s="100" t="s">
        <v>255</v>
      </c>
    </row>
    <row r="263" spans="1:7" ht="68.25" thickBot="1" x14ac:dyDescent="0.3">
      <c r="A263" s="99">
        <v>269192</v>
      </c>
      <c r="B263" s="135" t="s">
        <v>1</v>
      </c>
      <c r="C263" s="12">
        <v>160</v>
      </c>
      <c r="D263" s="87">
        <v>218</v>
      </c>
      <c r="E263" s="87">
        <f t="shared" si="11"/>
        <v>296.48</v>
      </c>
      <c r="F263" s="192">
        <f t="shared" ref="F263:F264" si="16">+E263*$F$1</f>
        <v>400.24800000000005</v>
      </c>
      <c r="G263" s="100" t="s">
        <v>256</v>
      </c>
    </row>
    <row r="264" spans="1:7" ht="81.75" thickBot="1" x14ac:dyDescent="0.3">
      <c r="A264" s="99">
        <v>269193</v>
      </c>
      <c r="B264" s="135" t="s">
        <v>1</v>
      </c>
      <c r="C264" s="12">
        <v>160</v>
      </c>
      <c r="D264" s="87">
        <v>218</v>
      </c>
      <c r="E264" s="87">
        <f t="shared" ref="E264:E328" si="17">+D264*1.36</f>
        <v>296.48</v>
      </c>
      <c r="F264" s="192">
        <f t="shared" si="16"/>
        <v>400.24800000000005</v>
      </c>
      <c r="G264" s="100" t="s">
        <v>257</v>
      </c>
    </row>
    <row r="265" spans="1:7" ht="17.25" thickBot="1" x14ac:dyDescent="0.3">
      <c r="A265" s="101" t="s">
        <v>258</v>
      </c>
      <c r="B265" s="78"/>
      <c r="C265" s="1"/>
      <c r="D265" s="36"/>
      <c r="E265" s="36"/>
      <c r="F265" s="36"/>
      <c r="G265" s="103"/>
    </row>
    <row r="266" spans="1:7" ht="27.75" thickBot="1" x14ac:dyDescent="0.3">
      <c r="A266" s="99">
        <v>269200</v>
      </c>
      <c r="B266" s="135" t="s">
        <v>1</v>
      </c>
      <c r="C266" s="12">
        <v>221</v>
      </c>
      <c r="D266" s="57">
        <f t="shared" ref="D266:D277" si="18">+C266*$D$1</f>
        <v>299.89999999999998</v>
      </c>
      <c r="E266" s="57">
        <f t="shared" si="17"/>
        <v>407.86399999999998</v>
      </c>
      <c r="F266" s="192">
        <v>550.1</v>
      </c>
      <c r="G266" s="100" t="s">
        <v>259</v>
      </c>
    </row>
    <row r="267" spans="1:7" ht="27.75" thickBot="1" x14ac:dyDescent="0.3">
      <c r="A267" s="99">
        <v>269301</v>
      </c>
      <c r="B267" s="135" t="s">
        <v>1</v>
      </c>
      <c r="C267" s="12">
        <v>221</v>
      </c>
      <c r="D267" s="87">
        <f t="shared" si="18"/>
        <v>299.89999999999998</v>
      </c>
      <c r="E267" s="87">
        <f t="shared" si="17"/>
        <v>407.86399999999998</v>
      </c>
      <c r="F267" s="192">
        <v>550.1</v>
      </c>
      <c r="G267" s="100" t="s">
        <v>260</v>
      </c>
    </row>
    <row r="268" spans="1:7" ht="41.25" thickBot="1" x14ac:dyDescent="0.3">
      <c r="A268" s="99">
        <v>269302</v>
      </c>
      <c r="B268" s="135" t="s">
        <v>1</v>
      </c>
      <c r="C268" s="12">
        <v>221</v>
      </c>
      <c r="D268" s="87">
        <f t="shared" si="18"/>
        <v>299.89999999999998</v>
      </c>
      <c r="E268" s="87">
        <f t="shared" si="17"/>
        <v>407.86399999999998</v>
      </c>
      <c r="F268" s="192">
        <v>550.1</v>
      </c>
      <c r="G268" s="100" t="s">
        <v>261</v>
      </c>
    </row>
    <row r="269" spans="1:7" ht="54.75" thickBot="1" x14ac:dyDescent="0.3">
      <c r="A269" s="99">
        <v>269309</v>
      </c>
      <c r="B269" s="135" t="s">
        <v>1</v>
      </c>
      <c r="C269" s="12">
        <v>221</v>
      </c>
      <c r="D269" s="87">
        <f t="shared" si="18"/>
        <v>299.89999999999998</v>
      </c>
      <c r="E269" s="87">
        <f t="shared" si="17"/>
        <v>407.86399999999998</v>
      </c>
      <c r="F269" s="192">
        <v>550.1</v>
      </c>
      <c r="G269" s="100" t="s">
        <v>262</v>
      </c>
    </row>
    <row r="270" spans="1:7" ht="16.5" thickBot="1" x14ac:dyDescent="0.3">
      <c r="A270" s="99">
        <v>269410</v>
      </c>
      <c r="B270" s="135" t="s">
        <v>1</v>
      </c>
      <c r="C270" s="12">
        <v>221</v>
      </c>
      <c r="D270" s="87">
        <f t="shared" si="18"/>
        <v>299.89999999999998</v>
      </c>
      <c r="E270" s="87">
        <f t="shared" si="17"/>
        <v>407.86399999999998</v>
      </c>
      <c r="F270" s="192">
        <v>550.1</v>
      </c>
      <c r="G270" s="100" t="s">
        <v>263</v>
      </c>
    </row>
    <row r="271" spans="1:7" ht="16.5" thickBot="1" x14ac:dyDescent="0.3">
      <c r="A271" s="99">
        <v>269421</v>
      </c>
      <c r="B271" s="135" t="s">
        <v>1</v>
      </c>
      <c r="C271" s="12">
        <v>221</v>
      </c>
      <c r="D271" s="87">
        <f t="shared" si="18"/>
        <v>299.89999999999998</v>
      </c>
      <c r="E271" s="87">
        <f t="shared" si="17"/>
        <v>407.86399999999998</v>
      </c>
      <c r="F271" s="192">
        <v>550.1</v>
      </c>
      <c r="G271" s="100" t="s">
        <v>264</v>
      </c>
    </row>
    <row r="272" spans="1:7" ht="16.5" thickBot="1" x14ac:dyDescent="0.3">
      <c r="A272" s="99">
        <v>269422</v>
      </c>
      <c r="B272" s="135" t="s">
        <v>1</v>
      </c>
      <c r="C272" s="12">
        <v>221</v>
      </c>
      <c r="D272" s="87">
        <f t="shared" si="18"/>
        <v>299.89999999999998</v>
      </c>
      <c r="E272" s="87">
        <f t="shared" si="17"/>
        <v>407.86399999999998</v>
      </c>
      <c r="F272" s="192">
        <v>550.1</v>
      </c>
      <c r="G272" s="100" t="s">
        <v>265</v>
      </c>
    </row>
    <row r="273" spans="1:7" ht="54.75" thickBot="1" x14ac:dyDescent="0.3">
      <c r="A273" s="99">
        <v>269510</v>
      </c>
      <c r="B273" s="135" t="s">
        <v>1</v>
      </c>
      <c r="C273" s="12">
        <v>221</v>
      </c>
      <c r="D273" s="87">
        <f t="shared" si="18"/>
        <v>299.89999999999998</v>
      </c>
      <c r="E273" s="87">
        <f t="shared" si="17"/>
        <v>407.86399999999998</v>
      </c>
      <c r="F273" s="192">
        <v>550.1</v>
      </c>
      <c r="G273" s="100" t="s">
        <v>266</v>
      </c>
    </row>
    <row r="274" spans="1:7" ht="41.25" thickBot="1" x14ac:dyDescent="0.3">
      <c r="A274" s="99">
        <v>269591</v>
      </c>
      <c r="B274" s="135" t="s">
        <v>1</v>
      </c>
      <c r="C274" s="12">
        <v>221</v>
      </c>
      <c r="D274" s="87">
        <f t="shared" si="18"/>
        <v>299.89999999999998</v>
      </c>
      <c r="E274" s="87">
        <f t="shared" si="17"/>
        <v>407.86399999999998</v>
      </c>
      <c r="F274" s="192">
        <v>550.1</v>
      </c>
      <c r="G274" s="100" t="s">
        <v>267</v>
      </c>
    </row>
    <row r="275" spans="1:7" ht="41.25" thickBot="1" x14ac:dyDescent="0.3">
      <c r="A275" s="99">
        <v>269592</v>
      </c>
      <c r="B275" s="135" t="s">
        <v>1</v>
      </c>
      <c r="C275" s="12">
        <v>221</v>
      </c>
      <c r="D275" s="87">
        <f t="shared" si="18"/>
        <v>299.89999999999998</v>
      </c>
      <c r="E275" s="87">
        <f t="shared" si="17"/>
        <v>407.86399999999998</v>
      </c>
      <c r="F275" s="192">
        <v>550.1</v>
      </c>
      <c r="G275" s="100" t="s">
        <v>268</v>
      </c>
    </row>
    <row r="276" spans="1:7" ht="41.25" thickBot="1" x14ac:dyDescent="0.3">
      <c r="A276" s="99">
        <v>269600</v>
      </c>
      <c r="B276" s="135" t="s">
        <v>1</v>
      </c>
      <c r="C276" s="12">
        <v>221</v>
      </c>
      <c r="D276" s="87">
        <f t="shared" si="18"/>
        <v>299.89999999999998</v>
      </c>
      <c r="E276" s="87">
        <f t="shared" si="17"/>
        <v>407.86399999999998</v>
      </c>
      <c r="F276" s="192">
        <v>550.1</v>
      </c>
      <c r="G276" s="100" t="s">
        <v>269</v>
      </c>
    </row>
    <row r="277" spans="1:7" ht="27.75" thickBot="1" x14ac:dyDescent="0.3">
      <c r="A277" s="99">
        <v>269990</v>
      </c>
      <c r="B277" s="135" t="s">
        <v>124</v>
      </c>
      <c r="C277" s="52">
        <v>221</v>
      </c>
      <c r="D277" s="87">
        <f t="shared" si="18"/>
        <v>299.89999999999998</v>
      </c>
      <c r="E277" s="87">
        <f t="shared" si="17"/>
        <v>407.86399999999998</v>
      </c>
      <c r="F277" s="192">
        <v>550.1</v>
      </c>
      <c r="G277" s="100" t="s">
        <v>270</v>
      </c>
    </row>
    <row r="278" spans="1:7" ht="17.25" customHeight="1" thickBot="1" x14ac:dyDescent="0.3">
      <c r="A278" s="101" t="s">
        <v>271</v>
      </c>
      <c r="B278" s="78"/>
      <c r="C278" s="1"/>
      <c r="D278" s="36"/>
      <c r="E278" s="36"/>
      <c r="F278" s="36"/>
      <c r="G278" s="103"/>
    </row>
    <row r="279" spans="1:7" ht="41.25" thickBot="1" x14ac:dyDescent="0.3">
      <c r="A279" s="99">
        <v>271001</v>
      </c>
      <c r="B279" s="135" t="s">
        <v>1</v>
      </c>
      <c r="C279" s="12">
        <v>221</v>
      </c>
      <c r="D279" s="57">
        <f>+C279*$D$1</f>
        <v>299.89999999999998</v>
      </c>
      <c r="E279" s="57">
        <f t="shared" si="17"/>
        <v>407.86399999999998</v>
      </c>
      <c r="F279" s="192">
        <v>550.1</v>
      </c>
      <c r="G279" s="100" t="s">
        <v>272</v>
      </c>
    </row>
    <row r="280" spans="1:7" ht="41.25" thickBot="1" x14ac:dyDescent="0.3">
      <c r="A280" s="99">
        <v>271002</v>
      </c>
      <c r="B280" s="135" t="s">
        <v>1</v>
      </c>
      <c r="C280" s="12">
        <v>221</v>
      </c>
      <c r="D280" s="87">
        <f>+C280*$D$1</f>
        <v>299.89999999999998</v>
      </c>
      <c r="E280" s="87">
        <f t="shared" si="17"/>
        <v>407.86399999999998</v>
      </c>
      <c r="F280" s="192">
        <v>550.1</v>
      </c>
      <c r="G280" s="100" t="s">
        <v>273</v>
      </c>
    </row>
    <row r="281" spans="1:7" ht="68.25" thickBot="1" x14ac:dyDescent="0.3">
      <c r="A281" s="99">
        <v>271009</v>
      </c>
      <c r="B281" s="135" t="s">
        <v>1</v>
      </c>
      <c r="C281" s="12">
        <v>221</v>
      </c>
      <c r="D281" s="87">
        <f>+C281*$D$1</f>
        <v>299.89999999999998</v>
      </c>
      <c r="E281" s="87">
        <f t="shared" si="17"/>
        <v>407.86399999999998</v>
      </c>
      <c r="F281" s="192">
        <v>550.1</v>
      </c>
      <c r="G281" s="100" t="s">
        <v>274</v>
      </c>
    </row>
    <row r="282" spans="1:7" ht="28.5" customHeight="1" thickBot="1" x14ac:dyDescent="0.3">
      <c r="A282" s="222" t="s">
        <v>1010</v>
      </c>
      <c r="B282" s="36"/>
      <c r="C282" s="36"/>
      <c r="D282" s="36"/>
      <c r="E282" s="36"/>
      <c r="F282" s="36"/>
      <c r="G282" s="163"/>
    </row>
    <row r="283" spans="1:7" ht="41.25" thickBot="1" x14ac:dyDescent="0.3">
      <c r="A283" s="99">
        <v>272010</v>
      </c>
      <c r="B283" s="135" t="s">
        <v>1</v>
      </c>
      <c r="C283" s="12">
        <v>221</v>
      </c>
      <c r="D283" s="57">
        <f>+C283*$D$1</f>
        <v>299.89999999999998</v>
      </c>
      <c r="E283" s="57">
        <f t="shared" si="17"/>
        <v>407.86399999999998</v>
      </c>
      <c r="F283" s="192">
        <v>550.1</v>
      </c>
      <c r="G283" s="100" t="s">
        <v>275</v>
      </c>
    </row>
    <row r="284" spans="1:7" ht="41.25" thickBot="1" x14ac:dyDescent="0.3">
      <c r="A284" s="99">
        <v>272090</v>
      </c>
      <c r="B284" s="135" t="s">
        <v>1</v>
      </c>
      <c r="C284" s="12">
        <v>221</v>
      </c>
      <c r="D284" s="87">
        <f>+C284*$D$1</f>
        <v>299.89999999999998</v>
      </c>
      <c r="E284" s="87">
        <f t="shared" si="17"/>
        <v>407.86399999999998</v>
      </c>
      <c r="F284" s="192">
        <v>550.1</v>
      </c>
      <c r="G284" s="100" t="s">
        <v>276</v>
      </c>
    </row>
    <row r="285" spans="1:7" ht="16.5" thickBot="1" x14ac:dyDescent="0.3">
      <c r="A285" s="99">
        <v>273100</v>
      </c>
      <c r="B285" s="135" t="s">
        <v>1</v>
      </c>
      <c r="C285" s="12">
        <v>221</v>
      </c>
      <c r="D285" s="87">
        <f>+C285*$D$1</f>
        <v>299.89999999999998</v>
      </c>
      <c r="E285" s="87">
        <f t="shared" si="17"/>
        <v>407.86399999999998</v>
      </c>
      <c r="F285" s="192">
        <v>550.1</v>
      </c>
      <c r="G285" s="100" t="s">
        <v>277</v>
      </c>
    </row>
    <row r="286" spans="1:7" ht="27.75" thickBot="1" x14ac:dyDescent="0.3">
      <c r="A286" s="99">
        <v>273200</v>
      </c>
      <c r="B286" s="135" t="s">
        <v>1</v>
      </c>
      <c r="C286" s="12">
        <v>221</v>
      </c>
      <c r="D286" s="87">
        <f>+C286*$D$1</f>
        <v>299.89999999999998</v>
      </c>
      <c r="E286" s="87">
        <f t="shared" si="17"/>
        <v>407.86399999999998</v>
      </c>
      <c r="F286" s="192">
        <v>550.1</v>
      </c>
      <c r="G286" s="100" t="s">
        <v>278</v>
      </c>
    </row>
    <row r="287" spans="1:7" ht="17.25" thickBot="1" x14ac:dyDescent="0.3">
      <c r="A287" s="111" t="s">
        <v>279</v>
      </c>
      <c r="B287" s="144"/>
      <c r="C287" s="26"/>
      <c r="D287" s="42"/>
      <c r="E287" s="42"/>
      <c r="F287" s="42"/>
      <c r="G287" s="112"/>
    </row>
    <row r="288" spans="1:7" ht="27.75" thickBot="1" x14ac:dyDescent="0.3">
      <c r="A288" s="99">
        <v>281101</v>
      </c>
      <c r="B288" s="135" t="s">
        <v>1</v>
      </c>
      <c r="C288" s="90">
        <v>280</v>
      </c>
      <c r="D288" s="88">
        <v>380</v>
      </c>
      <c r="E288" s="88">
        <v>517.54999999999995</v>
      </c>
      <c r="F288" s="193">
        <v>698.4</v>
      </c>
      <c r="G288" s="100" t="s">
        <v>280</v>
      </c>
    </row>
    <row r="289" spans="1:7" ht="41.25" thickBot="1" x14ac:dyDescent="0.3">
      <c r="A289" s="99">
        <v>281102</v>
      </c>
      <c r="B289" s="135" t="s">
        <v>1</v>
      </c>
      <c r="C289" s="90">
        <v>280</v>
      </c>
      <c r="D289" s="89">
        <v>380</v>
      </c>
      <c r="E289" s="89">
        <v>517.54999999999995</v>
      </c>
      <c r="F289" s="193">
        <v>698.4</v>
      </c>
      <c r="G289" s="100" t="s">
        <v>281</v>
      </c>
    </row>
    <row r="290" spans="1:7" ht="16.5" thickBot="1" x14ac:dyDescent="0.3">
      <c r="A290" s="99">
        <v>281109</v>
      </c>
      <c r="B290" s="135" t="s">
        <v>1</v>
      </c>
      <c r="C290" s="90">
        <v>280</v>
      </c>
      <c r="D290" s="89">
        <v>380</v>
      </c>
      <c r="E290" s="89">
        <v>517.54999999999995</v>
      </c>
      <c r="F290" s="193">
        <v>698.4</v>
      </c>
      <c r="G290" s="100" t="s">
        <v>282</v>
      </c>
    </row>
    <row r="291" spans="1:7" ht="27.75" thickBot="1" x14ac:dyDescent="0.3">
      <c r="A291" s="99">
        <v>281200</v>
      </c>
      <c r="B291" s="135" t="s">
        <v>1</v>
      </c>
      <c r="C291" s="90">
        <v>280</v>
      </c>
      <c r="D291" s="89">
        <v>380</v>
      </c>
      <c r="E291" s="89">
        <v>517.54999999999995</v>
      </c>
      <c r="F291" s="193">
        <v>698.4</v>
      </c>
      <c r="G291" s="100" t="s">
        <v>283</v>
      </c>
    </row>
    <row r="292" spans="1:7" ht="27.75" thickBot="1" x14ac:dyDescent="0.3">
      <c r="A292" s="99">
        <v>281300</v>
      </c>
      <c r="B292" s="135" t="s">
        <v>1</v>
      </c>
      <c r="C292" s="90">
        <v>280</v>
      </c>
      <c r="D292" s="89">
        <v>380</v>
      </c>
      <c r="E292" s="89">
        <v>517.54999999999995</v>
      </c>
      <c r="F292" s="193">
        <v>698.4</v>
      </c>
      <c r="G292" s="100" t="s">
        <v>284</v>
      </c>
    </row>
    <row r="293" spans="1:7" ht="81.75" thickBot="1" x14ac:dyDescent="0.3">
      <c r="A293" s="99">
        <v>289100</v>
      </c>
      <c r="B293" s="135" t="s">
        <v>1</v>
      </c>
      <c r="C293" s="90">
        <v>280</v>
      </c>
      <c r="D293" s="89">
        <v>380</v>
      </c>
      <c r="E293" s="89">
        <v>517.54999999999995</v>
      </c>
      <c r="F293" s="193">
        <v>698.4</v>
      </c>
      <c r="G293" s="100" t="s">
        <v>285</v>
      </c>
    </row>
    <row r="294" spans="1:7" ht="68.25" thickBot="1" x14ac:dyDescent="0.3">
      <c r="A294" s="99">
        <v>289301</v>
      </c>
      <c r="B294" s="135" t="s">
        <v>1</v>
      </c>
      <c r="C294" s="90">
        <v>280</v>
      </c>
      <c r="D294" s="89">
        <v>380</v>
      </c>
      <c r="E294" s="89">
        <v>517.54999999999995</v>
      </c>
      <c r="F294" s="193">
        <v>698.4</v>
      </c>
      <c r="G294" s="100" t="s">
        <v>286</v>
      </c>
    </row>
    <row r="295" spans="1:7" ht="41.25" thickBot="1" x14ac:dyDescent="0.3">
      <c r="A295" s="99">
        <v>289302</v>
      </c>
      <c r="B295" s="135" t="s">
        <v>1</v>
      </c>
      <c r="C295" s="90">
        <v>280</v>
      </c>
      <c r="D295" s="89">
        <v>380</v>
      </c>
      <c r="E295" s="89">
        <v>517.54999999999995</v>
      </c>
      <c r="F295" s="193">
        <v>698.4</v>
      </c>
      <c r="G295" s="100" t="s">
        <v>287</v>
      </c>
    </row>
    <row r="296" spans="1:7" ht="54.75" thickBot="1" x14ac:dyDescent="0.3">
      <c r="A296" s="99">
        <v>289309</v>
      </c>
      <c r="B296" s="135" t="s">
        <v>1</v>
      </c>
      <c r="C296" s="90">
        <v>280</v>
      </c>
      <c r="D296" s="89">
        <v>380</v>
      </c>
      <c r="E296" s="89">
        <v>517.54999999999995</v>
      </c>
      <c r="F296" s="193">
        <v>698.4</v>
      </c>
      <c r="G296" s="100" t="s">
        <v>288</v>
      </c>
    </row>
    <row r="297" spans="1:7" ht="41.25" thickBot="1" x14ac:dyDescent="0.3">
      <c r="A297" s="99">
        <v>289910</v>
      </c>
      <c r="B297" s="135" t="s">
        <v>1</v>
      </c>
      <c r="C297" s="90">
        <v>280</v>
      </c>
      <c r="D297" s="89">
        <v>380</v>
      </c>
      <c r="E297" s="89">
        <v>517.54999999999995</v>
      </c>
      <c r="F297" s="193">
        <v>698.4</v>
      </c>
      <c r="G297" s="100" t="s">
        <v>289</v>
      </c>
    </row>
    <row r="298" spans="1:7" ht="27.75" thickBot="1" x14ac:dyDescent="0.3">
      <c r="A298" s="99">
        <v>289991</v>
      </c>
      <c r="B298" s="135" t="s">
        <v>1</v>
      </c>
      <c r="C298" s="90">
        <v>280</v>
      </c>
      <c r="D298" s="89">
        <v>380</v>
      </c>
      <c r="E298" s="89">
        <v>517.54999999999995</v>
      </c>
      <c r="F298" s="193">
        <v>698.4</v>
      </c>
      <c r="G298" s="100" t="s">
        <v>290</v>
      </c>
    </row>
    <row r="299" spans="1:7" ht="27.75" thickBot="1" x14ac:dyDescent="0.3">
      <c r="A299" s="99">
        <v>289992</v>
      </c>
      <c r="B299" s="135" t="s">
        <v>1</v>
      </c>
      <c r="C299" s="90">
        <v>280</v>
      </c>
      <c r="D299" s="89">
        <v>380</v>
      </c>
      <c r="E299" s="89">
        <v>517.54999999999995</v>
      </c>
      <c r="F299" s="193">
        <v>698.4</v>
      </c>
      <c r="G299" s="100" t="s">
        <v>291</v>
      </c>
    </row>
    <row r="300" spans="1:7" ht="41.25" thickBot="1" x14ac:dyDescent="0.3">
      <c r="A300" s="99">
        <v>289993</v>
      </c>
      <c r="B300" s="135" t="s">
        <v>1</v>
      </c>
      <c r="C300" s="90">
        <v>280</v>
      </c>
      <c r="D300" s="89">
        <v>380</v>
      </c>
      <c r="E300" s="89">
        <v>517.54999999999995</v>
      </c>
      <c r="F300" s="193">
        <v>698.4</v>
      </c>
      <c r="G300" s="100" t="s">
        <v>292</v>
      </c>
    </row>
    <row r="301" spans="1:7" ht="27.75" thickBot="1" x14ac:dyDescent="0.3">
      <c r="A301" s="99">
        <v>289999</v>
      </c>
      <c r="B301" s="135" t="s">
        <v>1</v>
      </c>
      <c r="C301" s="90">
        <v>280</v>
      </c>
      <c r="D301" s="89">
        <v>380</v>
      </c>
      <c r="E301" s="89">
        <v>517.54999999999995</v>
      </c>
      <c r="F301" s="193">
        <v>698.4</v>
      </c>
      <c r="G301" s="100" t="s">
        <v>293</v>
      </c>
    </row>
    <row r="302" spans="1:7" ht="17.25" thickBot="1" x14ac:dyDescent="0.3">
      <c r="A302" s="101" t="s">
        <v>294</v>
      </c>
      <c r="B302" s="78"/>
      <c r="C302" s="1"/>
      <c r="D302" s="60"/>
      <c r="E302" s="36"/>
      <c r="F302" s="36"/>
      <c r="G302" s="103"/>
    </row>
    <row r="303" spans="1:7" ht="68.25" thickBot="1" x14ac:dyDescent="0.3">
      <c r="A303" s="99">
        <v>291100</v>
      </c>
      <c r="B303" s="135" t="s">
        <v>1</v>
      </c>
      <c r="C303" s="12">
        <v>221</v>
      </c>
      <c r="D303" s="57">
        <f t="shared" ref="D303:D325" si="19">+C303*$D$1</f>
        <v>299.89999999999998</v>
      </c>
      <c r="E303" s="57">
        <f t="shared" si="17"/>
        <v>407.86399999999998</v>
      </c>
      <c r="F303" s="192">
        <v>550.1</v>
      </c>
      <c r="G303" s="100" t="s">
        <v>295</v>
      </c>
    </row>
    <row r="304" spans="1:7" ht="54.75" thickBot="1" x14ac:dyDescent="0.3">
      <c r="A304" s="99">
        <v>291200.09999999998</v>
      </c>
      <c r="B304" s="135" t="s">
        <v>1</v>
      </c>
      <c r="C304" s="12">
        <v>221</v>
      </c>
      <c r="D304" s="87">
        <f t="shared" si="19"/>
        <v>299.89999999999998</v>
      </c>
      <c r="E304" s="87">
        <f t="shared" si="17"/>
        <v>407.86399999999998</v>
      </c>
      <c r="F304" s="192">
        <v>550.1</v>
      </c>
      <c r="G304" s="100" t="s">
        <v>296</v>
      </c>
    </row>
    <row r="305" spans="1:7" ht="41.25" thickBot="1" x14ac:dyDescent="0.3">
      <c r="A305" s="99">
        <v>291200.2</v>
      </c>
      <c r="B305" s="135" t="s">
        <v>1</v>
      </c>
      <c r="C305" s="12">
        <v>221</v>
      </c>
      <c r="D305" s="87">
        <f t="shared" si="19"/>
        <v>299.89999999999998</v>
      </c>
      <c r="E305" s="87">
        <f t="shared" si="17"/>
        <v>407.86399999999998</v>
      </c>
      <c r="F305" s="192">
        <v>550.1</v>
      </c>
      <c r="G305" s="100" t="s">
        <v>297</v>
      </c>
    </row>
    <row r="306" spans="1:7" ht="54.75" thickBot="1" x14ac:dyDescent="0.3">
      <c r="A306" s="99">
        <v>291400</v>
      </c>
      <c r="B306" s="135" t="s">
        <v>1</v>
      </c>
      <c r="C306" s="12">
        <v>221</v>
      </c>
      <c r="D306" s="87">
        <f t="shared" si="19"/>
        <v>299.89999999999998</v>
      </c>
      <c r="E306" s="87">
        <f t="shared" si="17"/>
        <v>407.86399999999998</v>
      </c>
      <c r="F306" s="192">
        <v>550.1</v>
      </c>
      <c r="G306" s="100" t="s">
        <v>298</v>
      </c>
    </row>
    <row r="307" spans="1:7" ht="41.25" thickBot="1" x14ac:dyDescent="0.3">
      <c r="A307" s="99">
        <v>291500</v>
      </c>
      <c r="B307" s="135" t="s">
        <v>1</v>
      </c>
      <c r="C307" s="12">
        <v>221</v>
      </c>
      <c r="D307" s="87">
        <f t="shared" si="19"/>
        <v>299.89999999999998</v>
      </c>
      <c r="E307" s="87">
        <f t="shared" si="17"/>
        <v>407.86399999999998</v>
      </c>
      <c r="F307" s="192">
        <v>550.1</v>
      </c>
      <c r="G307" s="100" t="s">
        <v>299</v>
      </c>
    </row>
    <row r="308" spans="1:7" ht="41.25" thickBot="1" x14ac:dyDescent="0.3">
      <c r="A308" s="99">
        <v>291900.09999999998</v>
      </c>
      <c r="B308" s="135" t="s">
        <v>1</v>
      </c>
      <c r="C308" s="12">
        <v>221</v>
      </c>
      <c r="D308" s="87">
        <f t="shared" si="19"/>
        <v>299.89999999999998</v>
      </c>
      <c r="E308" s="87">
        <f t="shared" si="17"/>
        <v>407.86399999999998</v>
      </c>
      <c r="F308" s="192">
        <v>550.1</v>
      </c>
      <c r="G308" s="100" t="s">
        <v>300</v>
      </c>
    </row>
    <row r="309" spans="1:7" ht="41.25" thickBot="1" x14ac:dyDescent="0.3">
      <c r="A309" s="99">
        <v>291900.2</v>
      </c>
      <c r="B309" s="135" t="s">
        <v>1</v>
      </c>
      <c r="C309" s="12">
        <v>221</v>
      </c>
      <c r="D309" s="87">
        <f t="shared" si="19"/>
        <v>299.89999999999998</v>
      </c>
      <c r="E309" s="87">
        <f t="shared" si="17"/>
        <v>407.86399999999998</v>
      </c>
      <c r="F309" s="192">
        <v>550.1</v>
      </c>
      <c r="G309" s="100" t="s">
        <v>301</v>
      </c>
    </row>
    <row r="310" spans="1:7" ht="54.75" thickBot="1" x14ac:dyDescent="0.3">
      <c r="A310" s="99">
        <v>291900.3</v>
      </c>
      <c r="B310" s="135" t="s">
        <v>1</v>
      </c>
      <c r="C310" s="12">
        <v>221</v>
      </c>
      <c r="D310" s="87">
        <f t="shared" si="19"/>
        <v>299.89999999999998</v>
      </c>
      <c r="E310" s="87">
        <f t="shared" si="17"/>
        <v>407.86399999999998</v>
      </c>
      <c r="F310" s="192">
        <v>550.1</v>
      </c>
      <c r="G310" s="100" t="s">
        <v>302</v>
      </c>
    </row>
    <row r="311" spans="1:7" ht="54.75" thickBot="1" x14ac:dyDescent="0.3">
      <c r="A311" s="99">
        <v>291900.40000000002</v>
      </c>
      <c r="B311" s="135" t="s">
        <v>1</v>
      </c>
      <c r="C311" s="12">
        <v>221</v>
      </c>
      <c r="D311" s="87">
        <f t="shared" si="19"/>
        <v>299.89999999999998</v>
      </c>
      <c r="E311" s="87">
        <f t="shared" si="17"/>
        <v>407.86399999999998</v>
      </c>
      <c r="F311" s="192">
        <v>550.1</v>
      </c>
      <c r="G311" s="100" t="s">
        <v>303</v>
      </c>
    </row>
    <row r="312" spans="1:7" ht="27.75" thickBot="1" x14ac:dyDescent="0.3">
      <c r="A312" s="113">
        <v>292110</v>
      </c>
      <c r="B312" s="58" t="s">
        <v>1</v>
      </c>
      <c r="C312" s="17">
        <v>221</v>
      </c>
      <c r="D312" s="91">
        <f t="shared" si="19"/>
        <v>299.89999999999998</v>
      </c>
      <c r="E312" s="91">
        <f t="shared" si="17"/>
        <v>407.86399999999998</v>
      </c>
      <c r="F312" s="198">
        <v>550.1</v>
      </c>
      <c r="G312" s="114" t="s">
        <v>304</v>
      </c>
    </row>
    <row r="313" spans="1:7" ht="41.25" thickBot="1" x14ac:dyDescent="0.3">
      <c r="A313" s="113">
        <v>292190</v>
      </c>
      <c r="B313" s="58" t="s">
        <v>1</v>
      </c>
      <c r="C313" s="17">
        <v>221</v>
      </c>
      <c r="D313" s="91">
        <f t="shared" si="19"/>
        <v>299.89999999999998</v>
      </c>
      <c r="E313" s="91">
        <f t="shared" si="17"/>
        <v>407.86399999999998</v>
      </c>
      <c r="F313" s="198">
        <v>550.1</v>
      </c>
      <c r="G313" s="114" t="s">
        <v>305</v>
      </c>
    </row>
    <row r="314" spans="1:7" ht="81.75" thickBot="1" x14ac:dyDescent="0.3">
      <c r="A314" s="113">
        <v>292300</v>
      </c>
      <c r="B314" s="58" t="s">
        <v>1</v>
      </c>
      <c r="C314" s="17">
        <v>221</v>
      </c>
      <c r="D314" s="91">
        <f t="shared" si="19"/>
        <v>299.89999999999998</v>
      </c>
      <c r="E314" s="91">
        <f t="shared" si="17"/>
        <v>407.86399999999998</v>
      </c>
      <c r="F314" s="198">
        <v>550.1</v>
      </c>
      <c r="G314" s="114" t="s">
        <v>306</v>
      </c>
    </row>
    <row r="315" spans="1:7" ht="54.75" thickBot="1" x14ac:dyDescent="0.3">
      <c r="A315" s="113">
        <v>292400.09999999998</v>
      </c>
      <c r="B315" s="58" t="s">
        <v>1</v>
      </c>
      <c r="C315" s="17">
        <v>221</v>
      </c>
      <c r="D315" s="91">
        <f t="shared" si="19"/>
        <v>299.89999999999998</v>
      </c>
      <c r="E315" s="91">
        <f t="shared" si="17"/>
        <v>407.86399999999998</v>
      </c>
      <c r="F315" s="198">
        <v>550.1</v>
      </c>
      <c r="G315" s="114" t="s">
        <v>307</v>
      </c>
    </row>
    <row r="316" spans="1:7" ht="41.25" thickBot="1" x14ac:dyDescent="0.3">
      <c r="A316" s="113">
        <v>292400.2</v>
      </c>
      <c r="B316" s="58" t="s">
        <v>1</v>
      </c>
      <c r="C316" s="17">
        <v>221</v>
      </c>
      <c r="D316" s="91">
        <f t="shared" si="19"/>
        <v>299.89999999999998</v>
      </c>
      <c r="E316" s="91">
        <f t="shared" si="17"/>
        <v>407.86399999999998</v>
      </c>
      <c r="F316" s="198">
        <v>550.1</v>
      </c>
      <c r="G316" s="114" t="s">
        <v>308</v>
      </c>
    </row>
    <row r="317" spans="1:7" ht="68.25" thickBot="1" x14ac:dyDescent="0.3">
      <c r="A317" s="113">
        <v>292500</v>
      </c>
      <c r="B317" s="58" t="s">
        <v>1</v>
      </c>
      <c r="C317" s="17">
        <v>221</v>
      </c>
      <c r="D317" s="91">
        <f t="shared" si="19"/>
        <v>299.89999999999998</v>
      </c>
      <c r="E317" s="91">
        <f t="shared" si="17"/>
        <v>407.86399999999998</v>
      </c>
      <c r="F317" s="198">
        <v>550.1</v>
      </c>
      <c r="G317" s="114" t="s">
        <v>309</v>
      </c>
    </row>
    <row r="318" spans="1:7" ht="54.75" thickBot="1" x14ac:dyDescent="0.3">
      <c r="A318" s="113">
        <v>292600</v>
      </c>
      <c r="B318" s="58" t="s">
        <v>1</v>
      </c>
      <c r="C318" s="17">
        <v>221</v>
      </c>
      <c r="D318" s="91">
        <f t="shared" si="19"/>
        <v>299.89999999999998</v>
      </c>
      <c r="E318" s="91">
        <f t="shared" si="17"/>
        <v>407.86399999999998</v>
      </c>
      <c r="F318" s="198">
        <v>550.1</v>
      </c>
      <c r="G318" s="114" t="s">
        <v>310</v>
      </c>
    </row>
    <row r="319" spans="1:7" ht="27.75" thickBot="1" x14ac:dyDescent="0.3">
      <c r="A319" s="113">
        <v>292700</v>
      </c>
      <c r="B319" s="58" t="s">
        <v>124</v>
      </c>
      <c r="C319" s="17">
        <v>221</v>
      </c>
      <c r="D319" s="91">
        <f t="shared" si="19"/>
        <v>299.89999999999998</v>
      </c>
      <c r="E319" s="91">
        <f t="shared" si="17"/>
        <v>407.86399999999998</v>
      </c>
      <c r="F319" s="198">
        <v>550.1</v>
      </c>
      <c r="G319" s="114" t="s">
        <v>311</v>
      </c>
    </row>
    <row r="320" spans="1:7" ht="54.75" thickBot="1" x14ac:dyDescent="0.3">
      <c r="A320" s="113">
        <v>292901</v>
      </c>
      <c r="B320" s="58" t="s">
        <v>1</v>
      </c>
      <c r="C320" s="17">
        <v>221</v>
      </c>
      <c r="D320" s="91">
        <f t="shared" si="19"/>
        <v>299.89999999999998</v>
      </c>
      <c r="E320" s="91">
        <f t="shared" si="17"/>
        <v>407.86399999999998</v>
      </c>
      <c r="F320" s="198">
        <v>550.1</v>
      </c>
      <c r="G320" s="114" t="s">
        <v>312</v>
      </c>
    </row>
    <row r="321" spans="1:7" ht="68.25" thickBot="1" x14ac:dyDescent="0.3">
      <c r="A321" s="113">
        <v>292909.09999999998</v>
      </c>
      <c r="B321" s="58" t="s">
        <v>1</v>
      </c>
      <c r="C321" s="17">
        <v>221</v>
      </c>
      <c r="D321" s="91">
        <f t="shared" si="19"/>
        <v>299.89999999999998</v>
      </c>
      <c r="E321" s="91">
        <f t="shared" si="17"/>
        <v>407.86399999999998</v>
      </c>
      <c r="F321" s="198">
        <v>550.1</v>
      </c>
      <c r="G321" s="114" t="s">
        <v>313</v>
      </c>
    </row>
    <row r="322" spans="1:7" ht="41.25" thickBot="1" x14ac:dyDescent="0.3">
      <c r="A322" s="113">
        <v>292909.2</v>
      </c>
      <c r="B322" s="58" t="s">
        <v>1</v>
      </c>
      <c r="C322" s="17">
        <v>221</v>
      </c>
      <c r="D322" s="91">
        <f t="shared" si="19"/>
        <v>299.89999999999998</v>
      </c>
      <c r="E322" s="91">
        <f t="shared" si="17"/>
        <v>407.86399999999998</v>
      </c>
      <c r="F322" s="198">
        <v>550.1</v>
      </c>
      <c r="G322" s="114" t="s">
        <v>314</v>
      </c>
    </row>
    <row r="323" spans="1:7" ht="41.25" thickBot="1" x14ac:dyDescent="0.3">
      <c r="A323" s="113">
        <v>292909.3</v>
      </c>
      <c r="B323" s="58" t="s">
        <v>1</v>
      </c>
      <c r="C323" s="17">
        <v>221</v>
      </c>
      <c r="D323" s="91">
        <f t="shared" si="19"/>
        <v>299.89999999999998</v>
      </c>
      <c r="E323" s="91">
        <f t="shared" si="17"/>
        <v>407.86399999999998</v>
      </c>
      <c r="F323" s="198">
        <v>550.1</v>
      </c>
      <c r="G323" s="114" t="s">
        <v>315</v>
      </c>
    </row>
    <row r="324" spans="1:7" ht="54.75" thickBot="1" x14ac:dyDescent="0.3">
      <c r="A324" s="113">
        <v>293010</v>
      </c>
      <c r="B324" s="58" t="s">
        <v>1</v>
      </c>
      <c r="C324" s="17">
        <v>221</v>
      </c>
      <c r="D324" s="91">
        <f t="shared" si="19"/>
        <v>299.89999999999998</v>
      </c>
      <c r="E324" s="91">
        <f t="shared" si="17"/>
        <v>407.86399999999998</v>
      </c>
      <c r="F324" s="198">
        <v>550.1</v>
      </c>
      <c r="G324" s="114" t="s">
        <v>316</v>
      </c>
    </row>
    <row r="325" spans="1:7" ht="41.25" thickBot="1" x14ac:dyDescent="0.3">
      <c r="A325" s="161">
        <v>293095</v>
      </c>
      <c r="B325" s="69" t="s">
        <v>1</v>
      </c>
      <c r="C325" s="20">
        <v>221</v>
      </c>
      <c r="D325" s="178">
        <f t="shared" si="19"/>
        <v>299.89999999999998</v>
      </c>
      <c r="E325" s="178">
        <f t="shared" si="17"/>
        <v>407.86399999999998</v>
      </c>
      <c r="F325" s="199">
        <v>550.1</v>
      </c>
      <c r="G325" s="116" t="s">
        <v>317</v>
      </c>
    </row>
    <row r="326" spans="1:7" ht="16.5" x14ac:dyDescent="0.25">
      <c r="A326" s="179" t="s">
        <v>999</v>
      </c>
      <c r="B326" s="180"/>
      <c r="C326" s="181"/>
      <c r="D326" s="180"/>
      <c r="E326" s="180"/>
      <c r="F326" s="180"/>
      <c r="G326" s="182"/>
    </row>
    <row r="327" spans="1:7" ht="17.25" thickBot="1" x14ac:dyDescent="0.3">
      <c r="A327" s="174" t="s">
        <v>1000</v>
      </c>
      <c r="B327" s="175"/>
      <c r="C327" s="176"/>
      <c r="D327" s="175"/>
      <c r="E327" s="175"/>
      <c r="F327" s="175"/>
      <c r="G327" s="177"/>
    </row>
    <row r="328" spans="1:7" ht="41.25" thickBot="1" x14ac:dyDescent="0.3">
      <c r="A328" s="113">
        <v>293020</v>
      </c>
      <c r="B328" s="58" t="s">
        <v>1</v>
      </c>
      <c r="C328" s="29">
        <v>221</v>
      </c>
      <c r="D328" s="91">
        <f>+C328*$D$1</f>
        <v>299.89999999999998</v>
      </c>
      <c r="E328" s="91">
        <f t="shared" si="17"/>
        <v>407.86399999999998</v>
      </c>
      <c r="F328" s="198">
        <v>550.1</v>
      </c>
      <c r="G328" s="114" t="s">
        <v>318</v>
      </c>
    </row>
    <row r="329" spans="1:7" ht="27.75" thickBot="1" x14ac:dyDescent="0.3">
      <c r="A329" s="113">
        <v>293091</v>
      </c>
      <c r="B329" s="58" t="s">
        <v>1</v>
      </c>
      <c r="C329" s="17">
        <v>160</v>
      </c>
      <c r="D329" s="91">
        <v>218</v>
      </c>
      <c r="E329" s="91">
        <f t="shared" ref="E329:E350" si="20">+D329*1.36</f>
        <v>296.48</v>
      </c>
      <c r="F329" s="198">
        <f t="shared" ref="F329" si="21">+E329*$F$1</f>
        <v>400.24800000000005</v>
      </c>
      <c r="G329" s="114" t="s">
        <v>319</v>
      </c>
    </row>
    <row r="330" spans="1:7" ht="54.75" thickBot="1" x14ac:dyDescent="0.3">
      <c r="A330" s="113">
        <v>293092.09999999998</v>
      </c>
      <c r="B330" s="58" t="s">
        <v>1</v>
      </c>
      <c r="C330" s="17">
        <v>221</v>
      </c>
      <c r="D330" s="91">
        <f t="shared" ref="D330:D350" si="22">+C330*$D$1</f>
        <v>299.89999999999998</v>
      </c>
      <c r="E330" s="91">
        <f t="shared" si="20"/>
        <v>407.86399999999998</v>
      </c>
      <c r="F330" s="198">
        <v>550.1</v>
      </c>
      <c r="G330" s="114" t="s">
        <v>320</v>
      </c>
    </row>
    <row r="331" spans="1:7" ht="27.75" thickBot="1" x14ac:dyDescent="0.3">
      <c r="A331" s="113">
        <v>293092.2</v>
      </c>
      <c r="B331" s="58" t="s">
        <v>1</v>
      </c>
      <c r="C331" s="17">
        <v>221</v>
      </c>
      <c r="D331" s="91">
        <f t="shared" si="22"/>
        <v>299.89999999999998</v>
      </c>
      <c r="E331" s="91">
        <f t="shared" si="20"/>
        <v>407.86399999999998</v>
      </c>
      <c r="F331" s="198">
        <v>550.1</v>
      </c>
      <c r="G331" s="114" t="s">
        <v>321</v>
      </c>
    </row>
    <row r="332" spans="1:7" ht="54.75" thickBot="1" x14ac:dyDescent="0.3">
      <c r="A332" s="113">
        <v>293093</v>
      </c>
      <c r="B332" s="58" t="s">
        <v>1</v>
      </c>
      <c r="C332" s="17">
        <v>221</v>
      </c>
      <c r="D332" s="91">
        <f t="shared" si="22"/>
        <v>299.89999999999998</v>
      </c>
      <c r="E332" s="91">
        <f t="shared" si="20"/>
        <v>407.86399999999998</v>
      </c>
      <c r="F332" s="198">
        <v>550.1</v>
      </c>
      <c r="G332" s="114" t="s">
        <v>322</v>
      </c>
    </row>
    <row r="333" spans="1:7" ht="68.25" thickBot="1" x14ac:dyDescent="0.3">
      <c r="A333" s="113">
        <v>293094</v>
      </c>
      <c r="B333" s="58" t="s">
        <v>1</v>
      </c>
      <c r="C333" s="17">
        <v>221</v>
      </c>
      <c r="D333" s="91">
        <f t="shared" si="22"/>
        <v>299.89999999999998</v>
      </c>
      <c r="E333" s="91">
        <f t="shared" si="20"/>
        <v>407.86399999999998</v>
      </c>
      <c r="F333" s="198">
        <v>550.1</v>
      </c>
      <c r="G333" s="114" t="s">
        <v>323</v>
      </c>
    </row>
    <row r="334" spans="1:7" ht="68.25" thickBot="1" x14ac:dyDescent="0.3">
      <c r="A334" s="113">
        <v>293099.09999999998</v>
      </c>
      <c r="B334" s="58" t="s">
        <v>1</v>
      </c>
      <c r="C334" s="17">
        <v>221</v>
      </c>
      <c r="D334" s="91">
        <f t="shared" si="22"/>
        <v>299.89999999999998</v>
      </c>
      <c r="E334" s="91">
        <f t="shared" si="20"/>
        <v>407.86399999999998</v>
      </c>
      <c r="F334" s="198">
        <v>550.1</v>
      </c>
      <c r="G334" s="114" t="s">
        <v>324</v>
      </c>
    </row>
    <row r="335" spans="1:7" ht="54.75" thickBot="1" x14ac:dyDescent="0.3">
      <c r="A335" s="113">
        <v>293099.2</v>
      </c>
      <c r="B335" s="58" t="s">
        <v>1</v>
      </c>
      <c r="C335" s="17">
        <v>221</v>
      </c>
      <c r="D335" s="91">
        <f t="shared" si="22"/>
        <v>299.89999999999998</v>
      </c>
      <c r="E335" s="91">
        <f t="shared" si="20"/>
        <v>407.86399999999998</v>
      </c>
      <c r="F335" s="198">
        <v>550.1</v>
      </c>
      <c r="G335" s="114" t="s">
        <v>325</v>
      </c>
    </row>
    <row r="336" spans="1:7" ht="54.75" thickBot="1" x14ac:dyDescent="0.3">
      <c r="A336" s="113">
        <v>293099.3</v>
      </c>
      <c r="B336" s="58" t="s">
        <v>1</v>
      </c>
      <c r="C336" s="17">
        <v>221</v>
      </c>
      <c r="D336" s="91">
        <f t="shared" si="22"/>
        <v>299.89999999999998</v>
      </c>
      <c r="E336" s="91">
        <f t="shared" si="20"/>
        <v>407.86399999999998</v>
      </c>
      <c r="F336" s="198">
        <v>550.1</v>
      </c>
      <c r="G336" s="114" t="s">
        <v>326</v>
      </c>
    </row>
    <row r="337" spans="1:7" ht="27.75" thickBot="1" x14ac:dyDescent="0.3">
      <c r="A337" s="113">
        <v>293099.40000000002</v>
      </c>
      <c r="B337" s="58" t="s">
        <v>1</v>
      </c>
      <c r="C337" s="17">
        <v>221</v>
      </c>
      <c r="D337" s="91">
        <f t="shared" si="22"/>
        <v>299.89999999999998</v>
      </c>
      <c r="E337" s="91">
        <f t="shared" si="20"/>
        <v>407.86399999999998</v>
      </c>
      <c r="F337" s="198">
        <v>550.1</v>
      </c>
      <c r="G337" s="114" t="s">
        <v>327</v>
      </c>
    </row>
    <row r="338" spans="1:7" ht="68.25" thickBot="1" x14ac:dyDescent="0.3">
      <c r="A338" s="113">
        <v>300000</v>
      </c>
      <c r="B338" s="58" t="s">
        <v>1</v>
      </c>
      <c r="C338" s="17">
        <v>221</v>
      </c>
      <c r="D338" s="91">
        <f t="shared" si="22"/>
        <v>299.89999999999998</v>
      </c>
      <c r="E338" s="91">
        <f t="shared" si="20"/>
        <v>407.86399999999998</v>
      </c>
      <c r="F338" s="198">
        <v>550.1</v>
      </c>
      <c r="G338" s="114" t="s">
        <v>328</v>
      </c>
    </row>
    <row r="339" spans="1:7" ht="41.25" thickBot="1" x14ac:dyDescent="0.3">
      <c r="A339" s="113">
        <v>311000</v>
      </c>
      <c r="B339" s="58" t="s">
        <v>1</v>
      </c>
      <c r="C339" s="17">
        <v>221</v>
      </c>
      <c r="D339" s="91">
        <f t="shared" si="22"/>
        <v>299.89999999999998</v>
      </c>
      <c r="E339" s="91">
        <f t="shared" si="20"/>
        <v>407.86399999999998</v>
      </c>
      <c r="F339" s="198">
        <v>550.1</v>
      </c>
      <c r="G339" s="114" t="s">
        <v>329</v>
      </c>
    </row>
    <row r="340" spans="1:7" ht="41.25" thickBot="1" x14ac:dyDescent="0.3">
      <c r="A340" s="113">
        <v>312000.09999999998</v>
      </c>
      <c r="B340" s="58" t="s">
        <v>1</v>
      </c>
      <c r="C340" s="17">
        <v>221</v>
      </c>
      <c r="D340" s="91">
        <f t="shared" si="22"/>
        <v>299.89999999999998</v>
      </c>
      <c r="E340" s="91">
        <f t="shared" si="20"/>
        <v>407.86399999999998</v>
      </c>
      <c r="F340" s="198">
        <v>550.1</v>
      </c>
      <c r="G340" s="114" t="s">
        <v>330</v>
      </c>
    </row>
    <row r="341" spans="1:7" ht="27.75" thickBot="1" x14ac:dyDescent="0.3">
      <c r="A341" s="113">
        <v>312000.2</v>
      </c>
      <c r="B341" s="58" t="s">
        <v>1</v>
      </c>
      <c r="C341" s="17">
        <v>221</v>
      </c>
      <c r="D341" s="91">
        <f t="shared" si="22"/>
        <v>299.89999999999998</v>
      </c>
      <c r="E341" s="91">
        <f t="shared" si="20"/>
        <v>407.86399999999998</v>
      </c>
      <c r="F341" s="198">
        <v>550.1</v>
      </c>
      <c r="G341" s="114" t="s">
        <v>331</v>
      </c>
    </row>
    <row r="342" spans="1:7" ht="27.75" thickBot="1" x14ac:dyDescent="0.3">
      <c r="A342" s="113">
        <v>314000</v>
      </c>
      <c r="B342" s="58" t="s">
        <v>1</v>
      </c>
      <c r="C342" s="17">
        <v>221</v>
      </c>
      <c r="D342" s="91">
        <f t="shared" si="22"/>
        <v>299.89999999999998</v>
      </c>
      <c r="E342" s="91">
        <f t="shared" si="20"/>
        <v>407.86399999999998</v>
      </c>
      <c r="F342" s="198">
        <v>550.1</v>
      </c>
      <c r="G342" s="114" t="s">
        <v>332</v>
      </c>
    </row>
    <row r="343" spans="1:7" ht="41.25" thickBot="1" x14ac:dyDescent="0.3">
      <c r="A343" s="113">
        <v>315000</v>
      </c>
      <c r="B343" s="58" t="s">
        <v>1</v>
      </c>
      <c r="C343" s="17">
        <v>221</v>
      </c>
      <c r="D343" s="91">
        <f t="shared" si="22"/>
        <v>299.89999999999998</v>
      </c>
      <c r="E343" s="91">
        <f t="shared" si="20"/>
        <v>407.86399999999998</v>
      </c>
      <c r="F343" s="198">
        <v>550.1</v>
      </c>
      <c r="G343" s="114" t="s">
        <v>333</v>
      </c>
    </row>
    <row r="344" spans="1:7" ht="27.75" thickBot="1" x14ac:dyDescent="0.3">
      <c r="A344" s="113">
        <v>321000</v>
      </c>
      <c r="B344" s="58" t="s">
        <v>1</v>
      </c>
      <c r="C344" s="17">
        <v>221</v>
      </c>
      <c r="D344" s="91">
        <f t="shared" si="22"/>
        <v>299.89999999999998</v>
      </c>
      <c r="E344" s="91">
        <f t="shared" si="20"/>
        <v>407.86399999999998</v>
      </c>
      <c r="F344" s="198">
        <v>550.1</v>
      </c>
      <c r="G344" s="114" t="s">
        <v>334</v>
      </c>
    </row>
    <row r="345" spans="1:7" ht="54.75" thickBot="1" x14ac:dyDescent="0.3">
      <c r="A345" s="113">
        <v>322000</v>
      </c>
      <c r="B345" s="58" t="s">
        <v>1</v>
      </c>
      <c r="C345" s="17">
        <v>221</v>
      </c>
      <c r="D345" s="91">
        <f t="shared" si="22"/>
        <v>299.89999999999998</v>
      </c>
      <c r="E345" s="91">
        <f t="shared" si="20"/>
        <v>407.86399999999998</v>
      </c>
      <c r="F345" s="198">
        <v>550.1</v>
      </c>
      <c r="G345" s="114" t="s">
        <v>335</v>
      </c>
    </row>
    <row r="346" spans="1:7" ht="68.25" thickBot="1" x14ac:dyDescent="0.3">
      <c r="A346" s="113">
        <v>319000.09999999998</v>
      </c>
      <c r="B346" s="58" t="s">
        <v>1</v>
      </c>
      <c r="C346" s="17">
        <v>221</v>
      </c>
      <c r="D346" s="91">
        <f t="shared" si="22"/>
        <v>299.89999999999998</v>
      </c>
      <c r="E346" s="91">
        <f t="shared" si="20"/>
        <v>407.86399999999998</v>
      </c>
      <c r="F346" s="198">
        <v>550.1</v>
      </c>
      <c r="G346" s="114" t="s">
        <v>336</v>
      </c>
    </row>
    <row r="347" spans="1:7" ht="27.75" thickBot="1" x14ac:dyDescent="0.3">
      <c r="A347" s="113">
        <v>319000.2</v>
      </c>
      <c r="B347" s="58" t="s">
        <v>1</v>
      </c>
      <c r="C347" s="17">
        <v>221</v>
      </c>
      <c r="D347" s="91">
        <f t="shared" si="22"/>
        <v>299.89999999999998</v>
      </c>
      <c r="E347" s="91">
        <f t="shared" si="20"/>
        <v>407.86399999999998</v>
      </c>
      <c r="F347" s="198">
        <v>550.1</v>
      </c>
      <c r="G347" s="114" t="s">
        <v>337</v>
      </c>
    </row>
    <row r="348" spans="1:7" ht="54.75" thickBot="1" x14ac:dyDescent="0.3">
      <c r="A348" s="113">
        <v>323000.09999999998</v>
      </c>
      <c r="B348" s="58" t="s">
        <v>1</v>
      </c>
      <c r="C348" s="17">
        <v>221</v>
      </c>
      <c r="D348" s="91">
        <f t="shared" si="22"/>
        <v>299.89999999999998</v>
      </c>
      <c r="E348" s="91">
        <f t="shared" si="20"/>
        <v>407.86399999999998</v>
      </c>
      <c r="F348" s="198">
        <v>550.1</v>
      </c>
      <c r="G348" s="114" t="s">
        <v>338</v>
      </c>
    </row>
    <row r="349" spans="1:7" ht="41.25" thickBot="1" x14ac:dyDescent="0.3">
      <c r="A349" s="113">
        <v>323000.2</v>
      </c>
      <c r="B349" s="58" t="s">
        <v>1</v>
      </c>
      <c r="C349" s="17">
        <v>221</v>
      </c>
      <c r="D349" s="91">
        <f t="shared" si="22"/>
        <v>299.89999999999998</v>
      </c>
      <c r="E349" s="91">
        <f t="shared" si="20"/>
        <v>407.86399999999998</v>
      </c>
      <c r="F349" s="198">
        <v>550.1</v>
      </c>
      <c r="G349" s="114" t="s">
        <v>339</v>
      </c>
    </row>
    <row r="350" spans="1:7" ht="54.75" thickBot="1" x14ac:dyDescent="0.3">
      <c r="A350" s="115">
        <v>323000.3</v>
      </c>
      <c r="B350" s="69" t="s">
        <v>1</v>
      </c>
      <c r="C350" s="20">
        <v>221</v>
      </c>
      <c r="D350" s="91">
        <f t="shared" si="22"/>
        <v>299.89999999999998</v>
      </c>
      <c r="E350" s="91">
        <f t="shared" si="20"/>
        <v>407.86399999999998</v>
      </c>
      <c r="F350" s="199">
        <v>550.1</v>
      </c>
      <c r="G350" s="116" t="s">
        <v>340</v>
      </c>
    </row>
    <row r="351" spans="1:7" ht="16.5" customHeight="1" x14ac:dyDescent="0.25">
      <c r="A351" s="223" t="s">
        <v>1011</v>
      </c>
      <c r="B351" s="205"/>
      <c r="C351" s="44"/>
      <c r="D351" s="205"/>
      <c r="E351" s="205"/>
      <c r="F351" s="205"/>
      <c r="G351" s="206"/>
    </row>
    <row r="352" spans="1:7" ht="17.25" thickBot="1" x14ac:dyDescent="0.3">
      <c r="A352" s="224" t="s">
        <v>1012</v>
      </c>
      <c r="B352" s="207"/>
      <c r="C352" s="45"/>
      <c r="D352" s="207"/>
      <c r="E352" s="207"/>
      <c r="F352" s="207"/>
      <c r="G352" s="208"/>
    </row>
    <row r="353" spans="1:7" ht="68.25" thickBot="1" x14ac:dyDescent="0.3">
      <c r="A353" s="71">
        <v>331100</v>
      </c>
      <c r="B353" s="70" t="s">
        <v>1</v>
      </c>
      <c r="C353" s="29">
        <v>180</v>
      </c>
      <c r="D353" s="57">
        <v>244</v>
      </c>
      <c r="E353" s="57">
        <f t="shared" ref="E353:E373" si="23">+D353*1.36</f>
        <v>331.84000000000003</v>
      </c>
      <c r="F353" s="197">
        <f>+E353*$F$1</f>
        <v>447.98400000000009</v>
      </c>
      <c r="G353" s="97" t="s">
        <v>341</v>
      </c>
    </row>
    <row r="354" spans="1:7" ht="54.75" thickBot="1" x14ac:dyDescent="0.3">
      <c r="A354" s="113">
        <v>331200</v>
      </c>
      <c r="B354" s="58" t="s">
        <v>1</v>
      </c>
      <c r="C354" s="17">
        <v>180</v>
      </c>
      <c r="D354" s="87">
        <v>244</v>
      </c>
      <c r="E354" s="87">
        <f t="shared" si="23"/>
        <v>331.84000000000003</v>
      </c>
      <c r="F354" s="192">
        <f t="shared" ref="F354:F408" si="24">+E354*$F$1</f>
        <v>447.98400000000009</v>
      </c>
      <c r="G354" s="114" t="s">
        <v>1001</v>
      </c>
    </row>
    <row r="355" spans="1:7" ht="27.75" thickBot="1" x14ac:dyDescent="0.3">
      <c r="A355" s="113">
        <v>332001</v>
      </c>
      <c r="B355" s="58" t="s">
        <v>1</v>
      </c>
      <c r="C355" s="17">
        <v>221</v>
      </c>
      <c r="D355" s="91">
        <f>+C355*$D$1</f>
        <v>299.89999999999998</v>
      </c>
      <c r="E355" s="91">
        <f t="shared" si="23"/>
        <v>407.86399999999998</v>
      </c>
      <c r="F355" s="198">
        <v>550.1</v>
      </c>
      <c r="G355" s="114" t="s">
        <v>342</v>
      </c>
    </row>
    <row r="356" spans="1:7" ht="27.75" thickBot="1" x14ac:dyDescent="0.3">
      <c r="A356" s="113">
        <v>332002</v>
      </c>
      <c r="B356" s="58" t="s">
        <v>1</v>
      </c>
      <c r="C356" s="17">
        <v>180</v>
      </c>
      <c r="D356" s="87">
        <v>244</v>
      </c>
      <c r="E356" s="87">
        <f t="shared" si="23"/>
        <v>331.84000000000003</v>
      </c>
      <c r="F356" s="192">
        <f t="shared" si="24"/>
        <v>447.98400000000009</v>
      </c>
      <c r="G356" s="114" t="s">
        <v>343</v>
      </c>
    </row>
    <row r="357" spans="1:7" ht="27.75" thickBot="1" x14ac:dyDescent="0.3">
      <c r="A357" s="113">
        <v>332003</v>
      </c>
      <c r="B357" s="58" t="s">
        <v>1</v>
      </c>
      <c r="C357" s="17">
        <v>221</v>
      </c>
      <c r="D357" s="91">
        <f>+C357*$D$1</f>
        <v>299.89999999999998</v>
      </c>
      <c r="E357" s="91">
        <f t="shared" si="23"/>
        <v>407.86399999999998</v>
      </c>
      <c r="F357" s="198">
        <v>550.1</v>
      </c>
      <c r="G357" s="114" t="s">
        <v>344</v>
      </c>
    </row>
    <row r="358" spans="1:7" ht="68.25" thickBot="1" x14ac:dyDescent="0.3">
      <c r="A358" s="113">
        <v>333000</v>
      </c>
      <c r="B358" s="58" t="s">
        <v>1</v>
      </c>
      <c r="C358" s="17">
        <v>221</v>
      </c>
      <c r="D358" s="56">
        <f>+C358*$D$1</f>
        <v>299.89999999999998</v>
      </c>
      <c r="E358" s="91">
        <f t="shared" si="23"/>
        <v>407.86399999999998</v>
      </c>
      <c r="F358" s="198">
        <v>550.1</v>
      </c>
      <c r="G358" s="114" t="s">
        <v>345</v>
      </c>
    </row>
    <row r="359" spans="1:7" ht="17.25" customHeight="1" thickBot="1" x14ac:dyDescent="0.3">
      <c r="A359" s="76" t="s">
        <v>346</v>
      </c>
      <c r="B359" s="79"/>
      <c r="C359" s="4"/>
      <c r="D359" s="46"/>
      <c r="E359" s="46"/>
      <c r="F359" s="46"/>
      <c r="G359" s="75"/>
    </row>
    <row r="360" spans="1:7" ht="68.25" thickBot="1" x14ac:dyDescent="0.3">
      <c r="A360" s="113">
        <v>341000.1</v>
      </c>
      <c r="B360" s="58" t="s">
        <v>1</v>
      </c>
      <c r="C360" s="17">
        <v>221</v>
      </c>
      <c r="D360" s="56">
        <f t="shared" ref="D360:D368" si="25">+C360*$D$1</f>
        <v>299.89999999999998</v>
      </c>
      <c r="E360" s="56">
        <f t="shared" si="23"/>
        <v>407.86399999999998</v>
      </c>
      <c r="F360" s="198">
        <v>550.1</v>
      </c>
      <c r="G360" s="114" t="s">
        <v>347</v>
      </c>
    </row>
    <row r="361" spans="1:7" ht="27.75" thickBot="1" x14ac:dyDescent="0.3">
      <c r="A361" s="113">
        <v>341000.2</v>
      </c>
      <c r="B361" s="58" t="s">
        <v>1</v>
      </c>
      <c r="C361" s="17">
        <v>221</v>
      </c>
      <c r="D361" s="91">
        <f t="shared" si="25"/>
        <v>299.89999999999998</v>
      </c>
      <c r="E361" s="91">
        <f t="shared" si="23"/>
        <v>407.86399999999998</v>
      </c>
      <c r="F361" s="198">
        <v>550.1</v>
      </c>
      <c r="G361" s="114" t="s">
        <v>348</v>
      </c>
    </row>
    <row r="362" spans="1:7" ht="27.75" thickBot="1" x14ac:dyDescent="0.3">
      <c r="A362" s="113">
        <v>342000.1</v>
      </c>
      <c r="B362" s="58" t="s">
        <v>1</v>
      </c>
      <c r="C362" s="17">
        <v>221</v>
      </c>
      <c r="D362" s="91">
        <f t="shared" si="25"/>
        <v>299.89999999999998</v>
      </c>
      <c r="E362" s="91">
        <f t="shared" si="23"/>
        <v>407.86399999999998</v>
      </c>
      <c r="F362" s="198">
        <v>550.1</v>
      </c>
      <c r="G362" s="114" t="s">
        <v>349</v>
      </c>
    </row>
    <row r="363" spans="1:7" ht="81.75" thickBot="1" x14ac:dyDescent="0.3">
      <c r="A363" s="113">
        <v>342000.2</v>
      </c>
      <c r="B363" s="58" t="s">
        <v>1</v>
      </c>
      <c r="C363" s="17">
        <v>221</v>
      </c>
      <c r="D363" s="91">
        <f t="shared" si="25"/>
        <v>299.89999999999998</v>
      </c>
      <c r="E363" s="91">
        <f t="shared" si="23"/>
        <v>407.86399999999998</v>
      </c>
      <c r="F363" s="198">
        <v>550.1</v>
      </c>
      <c r="G363" s="114" t="s">
        <v>350</v>
      </c>
    </row>
    <row r="364" spans="1:7" ht="41.25" thickBot="1" x14ac:dyDescent="0.3">
      <c r="A364" s="113">
        <v>343000</v>
      </c>
      <c r="B364" s="58" t="s">
        <v>1</v>
      </c>
      <c r="C364" s="17">
        <v>221</v>
      </c>
      <c r="D364" s="91">
        <f t="shared" si="25"/>
        <v>299.89999999999998</v>
      </c>
      <c r="E364" s="91">
        <f t="shared" si="23"/>
        <v>407.86399999999998</v>
      </c>
      <c r="F364" s="198">
        <v>550.1</v>
      </c>
      <c r="G364" s="114" t="s">
        <v>351</v>
      </c>
    </row>
    <row r="365" spans="1:7" ht="16.5" thickBot="1" x14ac:dyDescent="0.3">
      <c r="A365" s="113">
        <v>343001</v>
      </c>
      <c r="B365" s="58" t="s">
        <v>1</v>
      </c>
      <c r="C365" s="17">
        <v>221</v>
      </c>
      <c r="D365" s="91">
        <f t="shared" si="25"/>
        <v>299.89999999999998</v>
      </c>
      <c r="E365" s="91">
        <f t="shared" si="23"/>
        <v>407.86399999999998</v>
      </c>
      <c r="F365" s="198">
        <v>550.1</v>
      </c>
      <c r="G365" s="114" t="s">
        <v>352</v>
      </c>
    </row>
    <row r="366" spans="1:7" ht="27.75" thickBot="1" x14ac:dyDescent="0.3">
      <c r="A366" s="113">
        <v>351100</v>
      </c>
      <c r="B366" s="58" t="s">
        <v>1</v>
      </c>
      <c r="C366" s="17">
        <v>221</v>
      </c>
      <c r="D366" s="91">
        <f t="shared" si="25"/>
        <v>299.89999999999998</v>
      </c>
      <c r="E366" s="91">
        <f t="shared" si="23"/>
        <v>407.86399999999998</v>
      </c>
      <c r="F366" s="198">
        <v>550.1</v>
      </c>
      <c r="G366" s="114" t="s">
        <v>353</v>
      </c>
    </row>
    <row r="367" spans="1:7" ht="54.75" thickBot="1" x14ac:dyDescent="0.3">
      <c r="A367" s="113">
        <v>351200</v>
      </c>
      <c r="B367" s="58" t="s">
        <v>1</v>
      </c>
      <c r="C367" s="17">
        <v>221</v>
      </c>
      <c r="D367" s="91">
        <f t="shared" si="25"/>
        <v>299.89999999999998</v>
      </c>
      <c r="E367" s="91">
        <f t="shared" si="23"/>
        <v>407.86399999999998</v>
      </c>
      <c r="F367" s="198">
        <v>550.1</v>
      </c>
      <c r="G367" s="114" t="s">
        <v>354</v>
      </c>
    </row>
    <row r="368" spans="1:7" ht="54.75" thickBot="1" x14ac:dyDescent="0.3">
      <c r="A368" s="113">
        <v>352000</v>
      </c>
      <c r="B368" s="58" t="s">
        <v>1</v>
      </c>
      <c r="C368" s="17">
        <v>221</v>
      </c>
      <c r="D368" s="91">
        <f t="shared" si="25"/>
        <v>299.89999999999998</v>
      </c>
      <c r="E368" s="91">
        <f t="shared" si="23"/>
        <v>407.86399999999998</v>
      </c>
      <c r="F368" s="198">
        <v>550.1</v>
      </c>
      <c r="G368" s="114" t="s">
        <v>355</v>
      </c>
    </row>
    <row r="369" spans="1:7" ht="54.75" thickBot="1" x14ac:dyDescent="0.3">
      <c r="A369" s="113">
        <v>353000</v>
      </c>
      <c r="B369" s="58" t="s">
        <v>1</v>
      </c>
      <c r="C369" s="17">
        <v>280</v>
      </c>
      <c r="D369" s="89">
        <v>380</v>
      </c>
      <c r="E369" s="89">
        <v>517.54999999999995</v>
      </c>
      <c r="F369" s="193">
        <v>698.4</v>
      </c>
      <c r="G369" s="114" t="s">
        <v>356</v>
      </c>
    </row>
    <row r="370" spans="1:7" ht="41.25" thickBot="1" x14ac:dyDescent="0.3">
      <c r="A370" s="113">
        <v>359100</v>
      </c>
      <c r="B370" s="58" t="s">
        <v>59</v>
      </c>
      <c r="C370" s="17">
        <v>221</v>
      </c>
      <c r="D370" s="91">
        <f>+C370*$D$1</f>
        <v>299.89999999999998</v>
      </c>
      <c r="E370" s="91">
        <f t="shared" si="23"/>
        <v>407.86399999999998</v>
      </c>
      <c r="F370" s="198">
        <v>550.1</v>
      </c>
      <c r="G370" s="114" t="s">
        <v>357</v>
      </c>
    </row>
    <row r="371" spans="1:7" ht="41.25" thickBot="1" x14ac:dyDescent="0.3">
      <c r="A371" s="113">
        <v>359200</v>
      </c>
      <c r="B371" s="58" t="s">
        <v>1</v>
      </c>
      <c r="C371" s="17">
        <v>221</v>
      </c>
      <c r="D371" s="91">
        <f>+C371*$D$1</f>
        <v>299.89999999999998</v>
      </c>
      <c r="E371" s="91">
        <f t="shared" si="23"/>
        <v>407.86399999999998</v>
      </c>
      <c r="F371" s="198">
        <v>550.1</v>
      </c>
      <c r="G371" s="114" t="s">
        <v>358</v>
      </c>
    </row>
    <row r="372" spans="1:7" ht="41.25" thickBot="1" x14ac:dyDescent="0.3">
      <c r="A372" s="113">
        <v>359200.1</v>
      </c>
      <c r="B372" s="58" t="s">
        <v>1</v>
      </c>
      <c r="C372" s="17">
        <v>221</v>
      </c>
      <c r="D372" s="91">
        <f>+C372*$D$1</f>
        <v>299.89999999999998</v>
      </c>
      <c r="E372" s="91">
        <f t="shared" si="23"/>
        <v>407.86399999999998</v>
      </c>
      <c r="F372" s="198">
        <v>550.1</v>
      </c>
      <c r="G372" s="114" t="s">
        <v>359</v>
      </c>
    </row>
    <row r="373" spans="1:7" ht="41.25" thickBot="1" x14ac:dyDescent="0.3">
      <c r="A373" s="115">
        <v>359200.2</v>
      </c>
      <c r="B373" s="69" t="s">
        <v>1</v>
      </c>
      <c r="C373" s="20">
        <v>221</v>
      </c>
      <c r="D373" s="178">
        <f>+C373*$D$1</f>
        <v>299.89999999999998</v>
      </c>
      <c r="E373" s="178">
        <f t="shared" si="23"/>
        <v>407.86399999999998</v>
      </c>
      <c r="F373" s="199">
        <v>550.1</v>
      </c>
      <c r="G373" s="116" t="s">
        <v>360</v>
      </c>
    </row>
    <row r="374" spans="1:7" ht="16.5" x14ac:dyDescent="0.25">
      <c r="A374" s="226" t="s">
        <v>1013</v>
      </c>
      <c r="B374" s="205"/>
      <c r="C374" s="44"/>
      <c r="D374" s="205"/>
      <c r="E374" s="205"/>
      <c r="F374" s="205"/>
      <c r="G374" s="206"/>
    </row>
    <row r="375" spans="1:7" ht="17.25" thickBot="1" x14ac:dyDescent="0.3">
      <c r="A375" s="225" t="s">
        <v>1014</v>
      </c>
      <c r="B375" s="207"/>
      <c r="C375" s="45"/>
      <c r="D375" s="207"/>
      <c r="E375" s="207"/>
      <c r="F375" s="207"/>
      <c r="G375" s="208"/>
    </row>
    <row r="376" spans="1:7" ht="41.25" thickBot="1" x14ac:dyDescent="0.3">
      <c r="A376" s="113">
        <v>361010.1</v>
      </c>
      <c r="B376" s="58" t="s">
        <v>1</v>
      </c>
      <c r="C376" s="29">
        <v>180</v>
      </c>
      <c r="D376" s="87">
        <v>244</v>
      </c>
      <c r="E376" s="87">
        <f t="shared" ref="E376:E377" si="26">+D376*1.36</f>
        <v>331.84000000000003</v>
      </c>
      <c r="F376" s="192">
        <f t="shared" si="24"/>
        <v>447.98400000000009</v>
      </c>
      <c r="G376" s="114" t="s">
        <v>361</v>
      </c>
    </row>
    <row r="377" spans="1:7" ht="27.75" thickBot="1" x14ac:dyDescent="0.3">
      <c r="A377" s="113">
        <v>361010.2</v>
      </c>
      <c r="B377" s="58" t="s">
        <v>1</v>
      </c>
      <c r="C377" s="17">
        <v>180</v>
      </c>
      <c r="D377" s="87">
        <v>244</v>
      </c>
      <c r="E377" s="87">
        <f t="shared" si="26"/>
        <v>331.84000000000003</v>
      </c>
      <c r="F377" s="192">
        <f t="shared" si="24"/>
        <v>447.98400000000009</v>
      </c>
      <c r="G377" s="114" t="s">
        <v>362</v>
      </c>
    </row>
    <row r="378" spans="1:7" ht="17.25" customHeight="1" thickBot="1" x14ac:dyDescent="0.3">
      <c r="A378" s="76" t="s">
        <v>363</v>
      </c>
      <c r="B378" s="79"/>
      <c r="C378" s="4"/>
      <c r="D378" s="46"/>
      <c r="E378" s="46"/>
      <c r="F378" s="46"/>
      <c r="G378" s="75"/>
    </row>
    <row r="379" spans="1:7" ht="41.25" thickBot="1" x14ac:dyDescent="0.3">
      <c r="A379" s="113">
        <v>151191</v>
      </c>
      <c r="B379" s="69" t="s">
        <v>1</v>
      </c>
      <c r="C379" s="17">
        <v>221</v>
      </c>
      <c r="D379" s="92">
        <f>+C379*$D$1</f>
        <v>299.89999999999998</v>
      </c>
      <c r="E379" s="92">
        <f t="shared" ref="E379:E408" si="27">+D379*1.36</f>
        <v>407.86399999999998</v>
      </c>
      <c r="F379" s="199">
        <v>550.1</v>
      </c>
      <c r="G379" s="116" t="s">
        <v>364</v>
      </c>
    </row>
    <row r="380" spans="1:7" ht="41.25" thickBot="1" x14ac:dyDescent="0.3">
      <c r="A380" s="113">
        <v>361030</v>
      </c>
      <c r="B380" s="70" t="s">
        <v>1</v>
      </c>
      <c r="C380" s="17">
        <v>221</v>
      </c>
      <c r="D380" s="56">
        <f>+C380*$D$1</f>
        <v>299.89999999999998</v>
      </c>
      <c r="E380" s="56">
        <f t="shared" si="27"/>
        <v>407.86399999999998</v>
      </c>
      <c r="F380" s="200">
        <v>550.1</v>
      </c>
      <c r="G380" s="97" t="s">
        <v>365</v>
      </c>
    </row>
    <row r="381" spans="1:7" ht="27.75" thickBot="1" x14ac:dyDescent="0.3">
      <c r="A381" s="113">
        <v>369101</v>
      </c>
      <c r="B381" s="58" t="s">
        <v>124</v>
      </c>
      <c r="C381" s="17">
        <v>221</v>
      </c>
      <c r="D381" s="91">
        <f>+C381*$D$1</f>
        <v>299.89999999999998</v>
      </c>
      <c r="E381" s="91">
        <f t="shared" si="27"/>
        <v>407.86399999999998</v>
      </c>
      <c r="F381" s="198">
        <v>550.1</v>
      </c>
      <c r="G381" s="114" t="s">
        <v>366</v>
      </c>
    </row>
    <row r="382" spans="1:7" ht="27.75" thickBot="1" x14ac:dyDescent="0.3">
      <c r="A382" s="113">
        <v>369102</v>
      </c>
      <c r="B382" s="58" t="s">
        <v>124</v>
      </c>
      <c r="C382" s="17">
        <v>180</v>
      </c>
      <c r="D382" s="87">
        <v>244</v>
      </c>
      <c r="E382" s="87">
        <f t="shared" si="27"/>
        <v>331.84000000000003</v>
      </c>
      <c r="F382" s="192">
        <f t="shared" si="24"/>
        <v>447.98400000000009</v>
      </c>
      <c r="G382" s="114" t="s">
        <v>367</v>
      </c>
    </row>
    <row r="383" spans="1:7" ht="27.75" thickBot="1" x14ac:dyDescent="0.3">
      <c r="A383" s="113">
        <v>369200</v>
      </c>
      <c r="B383" s="58" t="s">
        <v>1</v>
      </c>
      <c r="C383" s="17">
        <v>180</v>
      </c>
      <c r="D383" s="87">
        <v>244</v>
      </c>
      <c r="E383" s="87">
        <f t="shared" si="27"/>
        <v>331.84000000000003</v>
      </c>
      <c r="F383" s="192">
        <f t="shared" si="24"/>
        <v>447.98400000000009</v>
      </c>
      <c r="G383" s="114" t="s">
        <v>368</v>
      </c>
    </row>
    <row r="384" spans="1:7" ht="41.25" thickBot="1" x14ac:dyDescent="0.3">
      <c r="A384" s="113">
        <v>369300</v>
      </c>
      <c r="B384" s="58" t="s">
        <v>1</v>
      </c>
      <c r="C384" s="17">
        <v>180</v>
      </c>
      <c r="D384" s="87">
        <v>244</v>
      </c>
      <c r="E384" s="87">
        <f t="shared" si="27"/>
        <v>331.84000000000003</v>
      </c>
      <c r="F384" s="192">
        <f t="shared" si="24"/>
        <v>447.98400000000009</v>
      </c>
      <c r="G384" s="114" t="s">
        <v>369</v>
      </c>
    </row>
    <row r="385" spans="1:7" ht="41.25" thickBot="1" x14ac:dyDescent="0.3">
      <c r="A385" s="113">
        <v>369400</v>
      </c>
      <c r="B385" s="58" t="s">
        <v>1</v>
      </c>
      <c r="C385" s="17">
        <v>221</v>
      </c>
      <c r="D385" s="91">
        <f>+C385*$D$1</f>
        <v>299.89999999999998</v>
      </c>
      <c r="E385" s="91">
        <f t="shared" si="27"/>
        <v>407.86399999999998</v>
      </c>
      <c r="F385" s="198">
        <v>550.1</v>
      </c>
      <c r="G385" s="114" t="s">
        <v>370</v>
      </c>
    </row>
    <row r="386" spans="1:7" ht="54.75" thickBot="1" x14ac:dyDescent="0.3">
      <c r="A386" s="113">
        <v>369910</v>
      </c>
      <c r="B386" s="58" t="s">
        <v>1</v>
      </c>
      <c r="C386" s="17">
        <v>221</v>
      </c>
      <c r="D386" s="91">
        <f>+C386*$D$1</f>
        <v>299.89999999999998</v>
      </c>
      <c r="E386" s="91">
        <f t="shared" si="27"/>
        <v>407.86399999999998</v>
      </c>
      <c r="F386" s="198">
        <v>550.1</v>
      </c>
      <c r="G386" s="114" t="s">
        <v>371</v>
      </c>
    </row>
    <row r="387" spans="1:7" ht="27.75" thickBot="1" x14ac:dyDescent="0.3">
      <c r="A387" s="113">
        <v>369920</v>
      </c>
      <c r="B387" s="58" t="s">
        <v>1</v>
      </c>
      <c r="C387" s="17">
        <v>180</v>
      </c>
      <c r="D387" s="87">
        <v>244</v>
      </c>
      <c r="E387" s="87">
        <f t="shared" si="27"/>
        <v>331.84000000000003</v>
      </c>
      <c r="F387" s="192">
        <f t="shared" si="24"/>
        <v>447.98400000000009</v>
      </c>
      <c r="G387" s="114" t="s">
        <v>372</v>
      </c>
    </row>
    <row r="388" spans="1:7" ht="16.5" thickBot="1" x14ac:dyDescent="0.3">
      <c r="A388" s="113">
        <v>369991</v>
      </c>
      <c r="B388" s="58" t="s">
        <v>373</v>
      </c>
      <c r="C388" s="17">
        <v>221</v>
      </c>
      <c r="D388" s="91">
        <f>+C388*$D$1</f>
        <v>299.89999999999998</v>
      </c>
      <c r="E388" s="91">
        <f t="shared" si="27"/>
        <v>407.86399999999998</v>
      </c>
      <c r="F388" s="198">
        <v>550.1</v>
      </c>
      <c r="G388" s="114" t="s">
        <v>374</v>
      </c>
    </row>
    <row r="389" spans="1:7" ht="16.5" thickBot="1" x14ac:dyDescent="0.3">
      <c r="A389" s="113">
        <v>369992</v>
      </c>
      <c r="B389" s="58" t="s">
        <v>373</v>
      </c>
      <c r="C389" s="17">
        <v>221</v>
      </c>
      <c r="D389" s="91">
        <f>+C389*$D$1</f>
        <v>299.89999999999998</v>
      </c>
      <c r="E389" s="91">
        <f t="shared" si="27"/>
        <v>407.86399999999998</v>
      </c>
      <c r="F389" s="198">
        <v>550.1</v>
      </c>
      <c r="G389" s="114" t="s">
        <v>375</v>
      </c>
    </row>
    <row r="390" spans="1:7" ht="27.75" thickBot="1" x14ac:dyDescent="0.3">
      <c r="A390" s="113">
        <v>369999.1</v>
      </c>
      <c r="B390" s="58" t="s">
        <v>373</v>
      </c>
      <c r="C390" s="17">
        <v>221</v>
      </c>
      <c r="D390" s="91">
        <f>+C390*$D$1</f>
        <v>299.89999999999998</v>
      </c>
      <c r="E390" s="91">
        <f t="shared" si="27"/>
        <v>407.86399999999998</v>
      </c>
      <c r="F390" s="198">
        <v>550.1</v>
      </c>
      <c r="G390" s="114" t="s">
        <v>376</v>
      </c>
    </row>
    <row r="391" spans="1:7" ht="27.75" thickBot="1" x14ac:dyDescent="0.3">
      <c r="A391" s="113">
        <v>369999.2</v>
      </c>
      <c r="B391" s="58" t="s">
        <v>373</v>
      </c>
      <c r="C391" s="17">
        <v>221</v>
      </c>
      <c r="D391" s="91">
        <f>+C391*$D$1</f>
        <v>299.89999999999998</v>
      </c>
      <c r="E391" s="91">
        <f t="shared" si="27"/>
        <v>407.86399999999998</v>
      </c>
      <c r="F391" s="198">
        <v>550.1</v>
      </c>
      <c r="G391" s="114" t="s">
        <v>377</v>
      </c>
    </row>
    <row r="392" spans="1:7" ht="27.75" thickBot="1" x14ac:dyDescent="0.3">
      <c r="A392" s="113">
        <v>371000</v>
      </c>
      <c r="B392" s="58" t="s">
        <v>1</v>
      </c>
      <c r="C392" s="17">
        <v>180</v>
      </c>
      <c r="D392" s="87">
        <v>244</v>
      </c>
      <c r="E392" s="87">
        <f t="shared" si="27"/>
        <v>331.84000000000003</v>
      </c>
      <c r="F392" s="192">
        <f t="shared" si="24"/>
        <v>447.98400000000009</v>
      </c>
      <c r="G392" s="114" t="s">
        <v>378</v>
      </c>
    </row>
    <row r="393" spans="1:7" ht="27.75" thickBot="1" x14ac:dyDescent="0.3">
      <c r="A393" s="113">
        <v>372000</v>
      </c>
      <c r="B393" s="58" t="s">
        <v>1</v>
      </c>
      <c r="C393" s="17">
        <v>180</v>
      </c>
      <c r="D393" s="87">
        <v>244</v>
      </c>
      <c r="E393" s="87">
        <f t="shared" si="27"/>
        <v>331.84000000000003</v>
      </c>
      <c r="F393" s="192">
        <f t="shared" si="24"/>
        <v>447.98400000000009</v>
      </c>
      <c r="G393" s="114" t="s">
        <v>379</v>
      </c>
    </row>
    <row r="394" spans="1:7" ht="16.5" thickBot="1" x14ac:dyDescent="0.3">
      <c r="A394" s="113">
        <v>373000</v>
      </c>
      <c r="B394" s="58" t="s">
        <v>124</v>
      </c>
      <c r="C394" s="17">
        <v>180</v>
      </c>
      <c r="D394" s="87">
        <v>244</v>
      </c>
      <c r="E394" s="87">
        <f t="shared" si="27"/>
        <v>331.84000000000003</v>
      </c>
      <c r="F394" s="192">
        <f t="shared" si="24"/>
        <v>447.98400000000009</v>
      </c>
      <c r="G394" s="114" t="s">
        <v>380</v>
      </c>
    </row>
    <row r="395" spans="1:7" ht="41.25" thickBot="1" x14ac:dyDescent="0.3">
      <c r="A395" s="113">
        <v>374000</v>
      </c>
      <c r="B395" s="58" t="s">
        <v>1</v>
      </c>
      <c r="C395" s="17">
        <v>221</v>
      </c>
      <c r="D395" s="91">
        <f>+C395*$D$1</f>
        <v>299.89999999999998</v>
      </c>
      <c r="E395" s="91">
        <f t="shared" si="27"/>
        <v>407.86399999999998</v>
      </c>
      <c r="F395" s="198">
        <v>550.1</v>
      </c>
      <c r="G395" s="114" t="s">
        <v>381</v>
      </c>
    </row>
    <row r="396" spans="1:7" ht="17.25" customHeight="1" thickBot="1" x14ac:dyDescent="0.3">
      <c r="A396" s="76" t="s">
        <v>382</v>
      </c>
      <c r="B396" s="79"/>
      <c r="C396" s="4"/>
      <c r="D396" s="46"/>
      <c r="E396" s="46"/>
      <c r="F396" s="46"/>
      <c r="G396" s="75"/>
    </row>
    <row r="397" spans="1:7" ht="17.25" customHeight="1" thickBot="1" x14ac:dyDescent="0.3">
      <c r="A397" s="76" t="s">
        <v>383</v>
      </c>
      <c r="B397" s="79"/>
      <c r="C397" s="4"/>
      <c r="D397" s="46"/>
      <c r="E397" s="46"/>
      <c r="F397" s="46"/>
      <c r="G397" s="75"/>
    </row>
    <row r="398" spans="1:7" ht="108.75" thickBot="1" x14ac:dyDescent="0.3">
      <c r="A398" s="113">
        <v>401110</v>
      </c>
      <c r="B398" s="69" t="s">
        <v>480</v>
      </c>
      <c r="C398" s="17">
        <v>40</v>
      </c>
      <c r="D398" s="56">
        <v>54</v>
      </c>
      <c r="E398" s="56">
        <f t="shared" si="27"/>
        <v>73.440000000000012</v>
      </c>
      <c r="F398" s="56">
        <f t="shared" si="24"/>
        <v>99.14400000000002</v>
      </c>
      <c r="G398" s="54" t="s">
        <v>984</v>
      </c>
    </row>
    <row r="399" spans="1:7" ht="95.25" thickBot="1" x14ac:dyDescent="0.3">
      <c r="A399" s="113">
        <v>401120</v>
      </c>
      <c r="B399" s="70" t="s">
        <v>480</v>
      </c>
      <c r="C399" s="17">
        <v>40</v>
      </c>
      <c r="D399" s="91">
        <v>54</v>
      </c>
      <c r="E399" s="91">
        <f t="shared" si="27"/>
        <v>73.440000000000012</v>
      </c>
      <c r="F399" s="198">
        <f t="shared" si="24"/>
        <v>99.14400000000002</v>
      </c>
      <c r="G399" s="114" t="s">
        <v>985</v>
      </c>
    </row>
    <row r="400" spans="1:7" ht="95.25" thickBot="1" x14ac:dyDescent="0.3">
      <c r="A400" s="113">
        <v>401130</v>
      </c>
      <c r="B400" s="58" t="s">
        <v>480</v>
      </c>
      <c r="C400" s="17">
        <v>40</v>
      </c>
      <c r="D400" s="91">
        <v>54</v>
      </c>
      <c r="E400" s="91">
        <f t="shared" si="27"/>
        <v>73.440000000000012</v>
      </c>
      <c r="F400" s="198">
        <f t="shared" si="24"/>
        <v>99.14400000000002</v>
      </c>
      <c r="G400" s="114" t="s">
        <v>986</v>
      </c>
    </row>
    <row r="401" spans="1:7" ht="108.75" thickBot="1" x14ac:dyDescent="0.3">
      <c r="A401" s="113">
        <v>401190</v>
      </c>
      <c r="B401" s="58" t="s">
        <v>480</v>
      </c>
      <c r="C401" s="17">
        <v>40</v>
      </c>
      <c r="D401" s="91">
        <v>54</v>
      </c>
      <c r="E401" s="91">
        <f t="shared" si="27"/>
        <v>73.440000000000012</v>
      </c>
      <c r="F401" s="198">
        <f t="shared" si="24"/>
        <v>99.14400000000002</v>
      </c>
      <c r="G401" s="114" t="s">
        <v>987</v>
      </c>
    </row>
    <row r="402" spans="1:7" ht="41.25" thickBot="1" x14ac:dyDescent="0.3">
      <c r="A402" s="113">
        <v>401200</v>
      </c>
      <c r="B402" s="58" t="s">
        <v>480</v>
      </c>
      <c r="C402" s="18">
        <v>100</v>
      </c>
      <c r="D402" s="93">
        <v>135</v>
      </c>
      <c r="E402" s="93">
        <f t="shared" si="27"/>
        <v>183.60000000000002</v>
      </c>
      <c r="F402" s="201">
        <f t="shared" si="24"/>
        <v>247.86000000000004</v>
      </c>
      <c r="G402" s="114" t="s">
        <v>988</v>
      </c>
    </row>
    <row r="403" spans="1:7" ht="41.25" thickBot="1" x14ac:dyDescent="0.3">
      <c r="A403" s="113">
        <v>401300</v>
      </c>
      <c r="B403" s="58" t="s">
        <v>480</v>
      </c>
      <c r="C403" s="51">
        <v>100</v>
      </c>
      <c r="D403" s="93">
        <v>160</v>
      </c>
      <c r="E403" s="93">
        <v>217.66</v>
      </c>
      <c r="F403" s="201">
        <f t="shared" si="24"/>
        <v>293.84100000000001</v>
      </c>
      <c r="G403" s="114" t="s">
        <v>989</v>
      </c>
    </row>
    <row r="404" spans="1:7" ht="27.75" thickBot="1" x14ac:dyDescent="0.3">
      <c r="A404" s="113">
        <v>402001</v>
      </c>
      <c r="B404" s="58" t="s">
        <v>59</v>
      </c>
      <c r="C404" s="17">
        <v>3630</v>
      </c>
      <c r="D404" s="91">
        <v>4925</v>
      </c>
      <c r="E404" s="91">
        <v>6704.8</v>
      </c>
      <c r="F404" s="198">
        <f t="shared" si="24"/>
        <v>9051.4800000000014</v>
      </c>
      <c r="G404" s="114" t="s">
        <v>384</v>
      </c>
    </row>
    <row r="405" spans="1:7" ht="41.25" thickBot="1" x14ac:dyDescent="0.3">
      <c r="A405" s="113">
        <v>402009</v>
      </c>
      <c r="B405" s="58" t="s">
        <v>59</v>
      </c>
      <c r="C405" s="17">
        <v>3630</v>
      </c>
      <c r="D405" s="91">
        <v>4925</v>
      </c>
      <c r="E405" s="91">
        <v>6704.8</v>
      </c>
      <c r="F405" s="198">
        <f t="shared" si="24"/>
        <v>9051.4800000000014</v>
      </c>
      <c r="G405" s="114" t="s">
        <v>385</v>
      </c>
    </row>
    <row r="406" spans="1:7" ht="27.75" thickBot="1" x14ac:dyDescent="0.3">
      <c r="A406" s="117">
        <v>403000</v>
      </c>
      <c r="B406" s="69" t="s">
        <v>59</v>
      </c>
      <c r="C406" s="17">
        <v>358</v>
      </c>
      <c r="D406" s="91">
        <v>485</v>
      </c>
      <c r="E406" s="91">
        <v>659.8</v>
      </c>
      <c r="F406" s="199">
        <f t="shared" si="24"/>
        <v>890.73</v>
      </c>
      <c r="G406" s="118" t="s">
        <v>386</v>
      </c>
    </row>
    <row r="407" spans="1:7" ht="17.25" thickBot="1" x14ac:dyDescent="0.3">
      <c r="A407" s="76" t="s">
        <v>387</v>
      </c>
      <c r="B407" s="79"/>
      <c r="C407" s="4"/>
      <c r="D407" s="46"/>
      <c r="E407" s="46"/>
      <c r="F407" s="46"/>
      <c r="G407" s="75"/>
    </row>
    <row r="408" spans="1:7" ht="27.75" thickBot="1" x14ac:dyDescent="0.3">
      <c r="A408" s="113">
        <v>410020</v>
      </c>
      <c r="B408" s="58" t="s">
        <v>59</v>
      </c>
      <c r="C408" s="17">
        <v>1755</v>
      </c>
      <c r="D408" s="56">
        <v>2380</v>
      </c>
      <c r="E408" s="56">
        <f t="shared" si="27"/>
        <v>3236.8</v>
      </c>
      <c r="F408" s="198">
        <f t="shared" si="24"/>
        <v>4369.68</v>
      </c>
      <c r="G408" s="114" t="s">
        <v>387</v>
      </c>
    </row>
    <row r="409" spans="1:7" ht="17.25" customHeight="1" thickBot="1" x14ac:dyDescent="0.3">
      <c r="A409" s="227" t="s">
        <v>388</v>
      </c>
      <c r="B409" s="228"/>
      <c r="C409" s="31"/>
      <c r="D409" s="47"/>
      <c r="E409" s="47"/>
      <c r="F409" s="47"/>
      <c r="G409" s="229"/>
    </row>
    <row r="410" spans="1:7" ht="16.5" x14ac:dyDescent="0.25">
      <c r="A410" s="216" t="s">
        <v>1015</v>
      </c>
      <c r="B410" s="44"/>
      <c r="C410" s="44"/>
      <c r="D410" s="44"/>
      <c r="E410" s="44"/>
      <c r="F410" s="44"/>
      <c r="G410" s="217"/>
    </row>
    <row r="411" spans="1:7" ht="17.25" thickBot="1" x14ac:dyDescent="0.3">
      <c r="A411" s="209" t="s">
        <v>1016</v>
      </c>
      <c r="B411" s="45"/>
      <c r="C411" s="45"/>
      <c r="D411" s="45"/>
      <c r="E411" s="45"/>
      <c r="F411" s="45"/>
      <c r="G411" s="230"/>
    </row>
    <row r="412" spans="1:7" ht="27.75" thickBot="1" x14ac:dyDescent="0.3">
      <c r="A412" s="220">
        <v>451100</v>
      </c>
      <c r="B412" s="58" t="s">
        <v>59</v>
      </c>
      <c r="C412" s="29">
        <v>221</v>
      </c>
      <c r="D412" s="91">
        <f>+C412*$D$1</f>
        <v>299.89999999999998</v>
      </c>
      <c r="E412" s="91">
        <f t="shared" ref="E412:E446" si="28">+D412*1.36</f>
        <v>407.86399999999998</v>
      </c>
      <c r="F412" s="198">
        <v>550.1</v>
      </c>
      <c r="G412" s="114" t="s">
        <v>389</v>
      </c>
    </row>
    <row r="413" spans="1:7" ht="68.25" thickBot="1" x14ac:dyDescent="0.3">
      <c r="A413" s="113">
        <v>451200</v>
      </c>
      <c r="B413" s="70" t="s">
        <v>59</v>
      </c>
      <c r="C413" s="17">
        <v>358</v>
      </c>
      <c r="D413" s="91">
        <v>485</v>
      </c>
      <c r="E413" s="91">
        <v>659.8</v>
      </c>
      <c r="F413" s="198">
        <f t="shared" ref="F413:F447" si="29">+E413*$F$1</f>
        <v>890.73</v>
      </c>
      <c r="G413" s="97" t="s">
        <v>390</v>
      </c>
    </row>
    <row r="414" spans="1:7" ht="162.75" thickBot="1" x14ac:dyDescent="0.3">
      <c r="A414" s="113">
        <v>451900</v>
      </c>
      <c r="B414" s="58" t="s">
        <v>59</v>
      </c>
      <c r="C414" s="17">
        <v>221</v>
      </c>
      <c r="D414" s="91">
        <f t="shared" ref="D414:D420" si="30">+C414*$D$1</f>
        <v>299.89999999999998</v>
      </c>
      <c r="E414" s="91">
        <f t="shared" si="28"/>
        <v>407.86399999999998</v>
      </c>
      <c r="F414" s="198">
        <v>550.1</v>
      </c>
      <c r="G414" s="114" t="s">
        <v>391</v>
      </c>
    </row>
    <row r="415" spans="1:7" ht="108.75" thickBot="1" x14ac:dyDescent="0.3">
      <c r="A415" s="113">
        <v>452100</v>
      </c>
      <c r="B415" s="58" t="s">
        <v>59</v>
      </c>
      <c r="C415" s="17">
        <v>221</v>
      </c>
      <c r="D415" s="91">
        <f t="shared" si="30"/>
        <v>299.89999999999998</v>
      </c>
      <c r="E415" s="91">
        <f t="shared" si="28"/>
        <v>407.86399999999998</v>
      </c>
      <c r="F415" s="198">
        <v>550.1</v>
      </c>
      <c r="G415" s="114" t="s">
        <v>392</v>
      </c>
    </row>
    <row r="416" spans="1:7" ht="54.75" thickBot="1" x14ac:dyDescent="0.3">
      <c r="A416" s="113">
        <v>452390</v>
      </c>
      <c r="B416" s="58" t="s">
        <v>393</v>
      </c>
      <c r="C416" s="17">
        <v>221</v>
      </c>
      <c r="D416" s="91">
        <f t="shared" si="30"/>
        <v>299.89999999999998</v>
      </c>
      <c r="E416" s="91">
        <f t="shared" si="28"/>
        <v>407.86399999999998</v>
      </c>
      <c r="F416" s="198">
        <v>550.1</v>
      </c>
      <c r="G416" s="114" t="s">
        <v>394</v>
      </c>
    </row>
    <row r="417" spans="1:7" ht="16.5" thickBot="1" x14ac:dyDescent="0.3">
      <c r="A417" s="113">
        <v>452510</v>
      </c>
      <c r="B417" s="58" t="s">
        <v>59</v>
      </c>
      <c r="C417" s="17">
        <v>221</v>
      </c>
      <c r="D417" s="91">
        <f t="shared" si="30"/>
        <v>299.89999999999998</v>
      </c>
      <c r="E417" s="91">
        <f t="shared" si="28"/>
        <v>407.86399999999998</v>
      </c>
      <c r="F417" s="198">
        <v>550.1</v>
      </c>
      <c r="G417" s="114" t="s">
        <v>395</v>
      </c>
    </row>
    <row r="418" spans="1:7" ht="16.5" thickBot="1" x14ac:dyDescent="0.3">
      <c r="A418" s="113">
        <v>452510.1</v>
      </c>
      <c r="B418" s="58" t="s">
        <v>59</v>
      </c>
      <c r="C418" s="17">
        <v>221</v>
      </c>
      <c r="D418" s="91">
        <f t="shared" si="30"/>
        <v>299.89999999999998</v>
      </c>
      <c r="E418" s="91">
        <f t="shared" si="28"/>
        <v>407.86399999999998</v>
      </c>
      <c r="F418" s="198">
        <v>550.1</v>
      </c>
      <c r="G418" s="114" t="s">
        <v>396</v>
      </c>
    </row>
    <row r="419" spans="1:7" ht="41.25" thickBot="1" x14ac:dyDescent="0.3">
      <c r="A419" s="113">
        <v>452520</v>
      </c>
      <c r="B419" s="58" t="s">
        <v>59</v>
      </c>
      <c r="C419" s="17">
        <v>221</v>
      </c>
      <c r="D419" s="91">
        <f t="shared" si="30"/>
        <v>299.89999999999998</v>
      </c>
      <c r="E419" s="91">
        <f t="shared" si="28"/>
        <v>407.86399999999998</v>
      </c>
      <c r="F419" s="198">
        <v>550.1</v>
      </c>
      <c r="G419" s="114" t="s">
        <v>397</v>
      </c>
    </row>
    <row r="420" spans="1:7" ht="27.75" thickBot="1" x14ac:dyDescent="0.3">
      <c r="A420" s="113">
        <v>452530</v>
      </c>
      <c r="B420" s="58" t="s">
        <v>393</v>
      </c>
      <c r="C420" s="17">
        <v>221</v>
      </c>
      <c r="D420" s="91">
        <f t="shared" si="30"/>
        <v>299.89999999999998</v>
      </c>
      <c r="E420" s="91">
        <f t="shared" si="28"/>
        <v>407.86399999999998</v>
      </c>
      <c r="F420" s="198">
        <v>550.1</v>
      </c>
      <c r="G420" s="114" t="s">
        <v>398</v>
      </c>
    </row>
    <row r="421" spans="1:7" ht="27.75" thickBot="1" x14ac:dyDescent="0.3">
      <c r="A421" s="113">
        <v>452900</v>
      </c>
      <c r="B421" s="58" t="s">
        <v>393</v>
      </c>
      <c r="C421" s="17">
        <v>358</v>
      </c>
      <c r="D421" s="91">
        <v>485</v>
      </c>
      <c r="E421" s="91">
        <v>659.8</v>
      </c>
      <c r="F421" s="198">
        <f t="shared" si="29"/>
        <v>890.73</v>
      </c>
      <c r="G421" s="114" t="s">
        <v>399</v>
      </c>
    </row>
    <row r="422" spans="1:7" ht="16.5" thickBot="1" x14ac:dyDescent="0.3">
      <c r="A422" s="113">
        <v>452900.1</v>
      </c>
      <c r="B422" s="58" t="s">
        <v>393</v>
      </c>
      <c r="C422" s="17">
        <v>358</v>
      </c>
      <c r="D422" s="91">
        <v>485</v>
      </c>
      <c r="E422" s="91">
        <v>659.8</v>
      </c>
      <c r="F422" s="198">
        <f t="shared" si="29"/>
        <v>890.73</v>
      </c>
      <c r="G422" s="114" t="s">
        <v>400</v>
      </c>
    </row>
    <row r="423" spans="1:7" ht="41.25" thickBot="1" x14ac:dyDescent="0.3">
      <c r="A423" s="113">
        <v>453110</v>
      </c>
      <c r="B423" s="58" t="s">
        <v>393</v>
      </c>
      <c r="C423" s="17">
        <v>221</v>
      </c>
      <c r="D423" s="91">
        <f t="shared" ref="D423:D433" si="31">+C423*$D$1</f>
        <v>299.89999999999998</v>
      </c>
      <c r="E423" s="91">
        <f t="shared" si="28"/>
        <v>407.86399999999998</v>
      </c>
      <c r="F423" s="198">
        <v>550.1</v>
      </c>
      <c r="G423" s="114" t="s">
        <v>1032</v>
      </c>
    </row>
    <row r="424" spans="1:7" ht="41.25" thickBot="1" x14ac:dyDescent="0.3">
      <c r="A424" s="113">
        <v>453190</v>
      </c>
      <c r="B424" s="58" t="s">
        <v>393</v>
      </c>
      <c r="C424" s="17">
        <v>221</v>
      </c>
      <c r="D424" s="91">
        <f t="shared" si="31"/>
        <v>299.89999999999998</v>
      </c>
      <c r="E424" s="91">
        <f t="shared" si="28"/>
        <v>407.86399999999998</v>
      </c>
      <c r="F424" s="198">
        <v>550.1</v>
      </c>
      <c r="G424" s="114" t="s">
        <v>401</v>
      </c>
    </row>
    <row r="425" spans="1:7" ht="54.75" thickBot="1" x14ac:dyDescent="0.3">
      <c r="A425" s="113">
        <v>453300</v>
      </c>
      <c r="B425" s="58" t="s">
        <v>393</v>
      </c>
      <c r="C425" s="17">
        <v>221</v>
      </c>
      <c r="D425" s="91">
        <f t="shared" si="31"/>
        <v>299.89999999999998</v>
      </c>
      <c r="E425" s="91">
        <f t="shared" si="28"/>
        <v>407.86399999999998</v>
      </c>
      <c r="F425" s="198">
        <v>550.1</v>
      </c>
      <c r="G425" s="114" t="s">
        <v>1033</v>
      </c>
    </row>
    <row r="426" spans="1:7" ht="68.25" thickBot="1" x14ac:dyDescent="0.3">
      <c r="A426" s="113">
        <v>453900</v>
      </c>
      <c r="B426" s="58" t="s">
        <v>393</v>
      </c>
      <c r="C426" s="17">
        <v>221</v>
      </c>
      <c r="D426" s="91">
        <f t="shared" si="31"/>
        <v>299.89999999999998</v>
      </c>
      <c r="E426" s="91">
        <f t="shared" si="28"/>
        <v>407.86399999999998</v>
      </c>
      <c r="F426" s="198">
        <v>550.1</v>
      </c>
      <c r="G426" s="114" t="s">
        <v>402</v>
      </c>
    </row>
    <row r="427" spans="1:7" ht="41.25" thickBot="1" x14ac:dyDescent="0.3">
      <c r="A427" s="113">
        <v>454100</v>
      </c>
      <c r="B427" s="58" t="s">
        <v>393</v>
      </c>
      <c r="C427" s="17">
        <v>221</v>
      </c>
      <c r="D427" s="91">
        <f t="shared" si="31"/>
        <v>299.89999999999998</v>
      </c>
      <c r="E427" s="91">
        <f t="shared" si="28"/>
        <v>407.86399999999998</v>
      </c>
      <c r="F427" s="198">
        <v>550.1</v>
      </c>
      <c r="G427" s="114" t="s">
        <v>403</v>
      </c>
    </row>
    <row r="428" spans="1:7" ht="27.75" thickBot="1" x14ac:dyDescent="0.3">
      <c r="A428" s="113">
        <v>454200.1</v>
      </c>
      <c r="B428" s="58" t="s">
        <v>59</v>
      </c>
      <c r="C428" s="17">
        <v>221</v>
      </c>
      <c r="D428" s="91">
        <f t="shared" si="31"/>
        <v>299.89999999999998</v>
      </c>
      <c r="E428" s="91">
        <f t="shared" si="28"/>
        <v>407.86399999999998</v>
      </c>
      <c r="F428" s="198">
        <v>550.1</v>
      </c>
      <c r="G428" s="114" t="s">
        <v>404</v>
      </c>
    </row>
    <row r="429" spans="1:7" ht="41.25" thickBot="1" x14ac:dyDescent="0.3">
      <c r="A429" s="113">
        <v>454200.2</v>
      </c>
      <c r="B429" s="58" t="s">
        <v>59</v>
      </c>
      <c r="C429" s="17">
        <v>221</v>
      </c>
      <c r="D429" s="91">
        <f t="shared" si="31"/>
        <v>299.89999999999998</v>
      </c>
      <c r="E429" s="91">
        <f t="shared" si="28"/>
        <v>407.86399999999998</v>
      </c>
      <c r="F429" s="198">
        <v>550.1</v>
      </c>
      <c r="G429" s="114" t="s">
        <v>405</v>
      </c>
    </row>
    <row r="430" spans="1:7" ht="54.75" thickBot="1" x14ac:dyDescent="0.3">
      <c r="A430" s="113">
        <v>454200.3</v>
      </c>
      <c r="B430" s="58" t="s">
        <v>59</v>
      </c>
      <c r="C430" s="17">
        <v>221</v>
      </c>
      <c r="D430" s="91">
        <f t="shared" si="31"/>
        <v>299.89999999999998</v>
      </c>
      <c r="E430" s="91">
        <f t="shared" si="28"/>
        <v>407.86399999999998</v>
      </c>
      <c r="F430" s="198">
        <v>550.1</v>
      </c>
      <c r="G430" s="114" t="s">
        <v>406</v>
      </c>
    </row>
    <row r="431" spans="1:7" ht="27.75" thickBot="1" x14ac:dyDescent="0.3">
      <c r="A431" s="113">
        <v>454400</v>
      </c>
      <c r="B431" s="58" t="s">
        <v>59</v>
      </c>
      <c r="C431" s="17">
        <v>221</v>
      </c>
      <c r="D431" s="91">
        <f t="shared" si="31"/>
        <v>299.89999999999998</v>
      </c>
      <c r="E431" s="91">
        <f t="shared" si="28"/>
        <v>407.86399999999998</v>
      </c>
      <c r="F431" s="198">
        <v>550.1</v>
      </c>
      <c r="G431" s="114" t="s">
        <v>407</v>
      </c>
    </row>
    <row r="432" spans="1:7" ht="95.25" thickBot="1" x14ac:dyDescent="0.3">
      <c r="A432" s="113">
        <v>454900</v>
      </c>
      <c r="B432" s="58" t="s">
        <v>59</v>
      </c>
      <c r="C432" s="17">
        <v>221</v>
      </c>
      <c r="D432" s="91">
        <f t="shared" si="31"/>
        <v>299.89999999999998</v>
      </c>
      <c r="E432" s="91">
        <f t="shared" si="28"/>
        <v>407.86399999999998</v>
      </c>
      <c r="F432" s="198">
        <v>550.1</v>
      </c>
      <c r="G432" s="114" t="s">
        <v>408</v>
      </c>
    </row>
    <row r="433" spans="1:7" ht="27.75" thickBot="1" x14ac:dyDescent="0.3">
      <c r="A433" s="113">
        <v>455000</v>
      </c>
      <c r="B433" s="58" t="s">
        <v>59</v>
      </c>
      <c r="C433" s="17">
        <v>221</v>
      </c>
      <c r="D433" s="91">
        <f t="shared" si="31"/>
        <v>299.89999999999998</v>
      </c>
      <c r="E433" s="91">
        <f t="shared" si="28"/>
        <v>407.86399999999998</v>
      </c>
      <c r="F433" s="198">
        <v>550.1</v>
      </c>
      <c r="G433" s="114" t="s">
        <v>409</v>
      </c>
    </row>
    <row r="434" spans="1:7" ht="33" customHeight="1" thickBot="1" x14ac:dyDescent="0.3">
      <c r="A434" s="76" t="s">
        <v>410</v>
      </c>
      <c r="B434" s="79"/>
      <c r="C434" s="4"/>
      <c r="D434" s="46"/>
      <c r="E434" s="46"/>
      <c r="F434" s="46"/>
      <c r="G434" s="75"/>
    </row>
    <row r="435" spans="1:7" ht="41.25" thickBot="1" x14ac:dyDescent="0.3">
      <c r="A435" s="113">
        <v>502210</v>
      </c>
      <c r="B435" s="58" t="s">
        <v>1</v>
      </c>
      <c r="C435" s="17">
        <v>180</v>
      </c>
      <c r="D435" s="57">
        <v>244</v>
      </c>
      <c r="E435" s="57">
        <f t="shared" si="28"/>
        <v>331.84000000000003</v>
      </c>
      <c r="F435" s="192">
        <f t="shared" si="29"/>
        <v>447.98400000000009</v>
      </c>
      <c r="G435" s="114" t="s">
        <v>411</v>
      </c>
    </row>
    <row r="436" spans="1:7" ht="54.75" thickBot="1" x14ac:dyDescent="0.3">
      <c r="A436" s="113">
        <v>502220</v>
      </c>
      <c r="B436" s="58" t="s">
        <v>1</v>
      </c>
      <c r="C436" s="17">
        <v>221</v>
      </c>
      <c r="D436" s="91">
        <f>+C436*$D$1</f>
        <v>299.89999999999998</v>
      </c>
      <c r="E436" s="91">
        <f t="shared" si="28"/>
        <v>407.86399999999998</v>
      </c>
      <c r="F436" s="198">
        <v>550.1</v>
      </c>
      <c r="G436" s="114" t="s">
        <v>412</v>
      </c>
    </row>
    <row r="437" spans="1:7" ht="68.25" thickBot="1" x14ac:dyDescent="0.3">
      <c r="A437" s="113">
        <v>502300</v>
      </c>
      <c r="B437" s="58" t="s">
        <v>1</v>
      </c>
      <c r="C437" s="17">
        <v>221</v>
      </c>
      <c r="D437" s="91">
        <f>+C437*$D$1</f>
        <v>299.89999999999998</v>
      </c>
      <c r="E437" s="91">
        <f t="shared" si="28"/>
        <v>407.86399999999998</v>
      </c>
      <c r="F437" s="198">
        <v>550.1</v>
      </c>
      <c r="G437" s="114" t="s">
        <v>413</v>
      </c>
    </row>
    <row r="438" spans="1:7" ht="27.75" thickBot="1" x14ac:dyDescent="0.3">
      <c r="A438" s="113">
        <v>502400.1</v>
      </c>
      <c r="B438" s="58" t="s">
        <v>1</v>
      </c>
      <c r="C438" s="17">
        <v>180</v>
      </c>
      <c r="D438" s="87">
        <v>244</v>
      </c>
      <c r="E438" s="87">
        <f t="shared" si="28"/>
        <v>331.84000000000003</v>
      </c>
      <c r="F438" s="192">
        <f t="shared" si="29"/>
        <v>447.98400000000009</v>
      </c>
      <c r="G438" s="114" t="s">
        <v>414</v>
      </c>
    </row>
    <row r="439" spans="1:7" ht="27.75" thickBot="1" x14ac:dyDescent="0.3">
      <c r="A439" s="113">
        <v>502400.2</v>
      </c>
      <c r="B439" s="58" t="s">
        <v>1</v>
      </c>
      <c r="C439" s="17">
        <v>180</v>
      </c>
      <c r="D439" s="87">
        <v>244</v>
      </c>
      <c r="E439" s="87">
        <f t="shared" si="28"/>
        <v>331.84000000000003</v>
      </c>
      <c r="F439" s="192">
        <f t="shared" si="29"/>
        <v>447.98400000000009</v>
      </c>
      <c r="G439" s="114" t="s">
        <v>415</v>
      </c>
    </row>
    <row r="440" spans="1:7" ht="68.25" thickBot="1" x14ac:dyDescent="0.3">
      <c r="A440" s="113">
        <v>502500</v>
      </c>
      <c r="B440" s="58" t="s">
        <v>1</v>
      </c>
      <c r="C440" s="17">
        <v>180</v>
      </c>
      <c r="D440" s="87">
        <v>244</v>
      </c>
      <c r="E440" s="87">
        <f t="shared" si="28"/>
        <v>331.84000000000003</v>
      </c>
      <c r="F440" s="192">
        <f t="shared" si="29"/>
        <v>447.98400000000009</v>
      </c>
      <c r="G440" s="114" t="s">
        <v>416</v>
      </c>
    </row>
    <row r="441" spans="1:7" ht="27.75" thickBot="1" x14ac:dyDescent="0.3">
      <c r="A441" s="113">
        <v>502600</v>
      </c>
      <c r="B441" s="58" t="s">
        <v>1</v>
      </c>
      <c r="C441" s="17">
        <v>358</v>
      </c>
      <c r="D441" s="91">
        <v>485</v>
      </c>
      <c r="E441" s="91">
        <v>659.8</v>
      </c>
      <c r="F441" s="198">
        <f t="shared" si="29"/>
        <v>890.73</v>
      </c>
      <c r="G441" s="114" t="s">
        <v>417</v>
      </c>
    </row>
    <row r="442" spans="1:7" ht="16.5" thickBot="1" x14ac:dyDescent="0.3">
      <c r="A442" s="113">
        <v>502700</v>
      </c>
      <c r="B442" s="58" t="s">
        <v>1</v>
      </c>
      <c r="C442" s="17">
        <v>180</v>
      </c>
      <c r="D442" s="87">
        <v>244</v>
      </c>
      <c r="E442" s="87">
        <f t="shared" si="28"/>
        <v>331.84000000000003</v>
      </c>
      <c r="F442" s="192">
        <f t="shared" si="29"/>
        <v>447.98400000000009</v>
      </c>
      <c r="G442" s="114" t="s">
        <v>418</v>
      </c>
    </row>
    <row r="443" spans="1:7" ht="27.75" thickBot="1" x14ac:dyDescent="0.3">
      <c r="A443" s="113">
        <v>502920</v>
      </c>
      <c r="B443" s="58" t="s">
        <v>1</v>
      </c>
      <c r="C443" s="17">
        <v>221</v>
      </c>
      <c r="D443" s="91">
        <f>+C443*$D$1</f>
        <v>299.89999999999998</v>
      </c>
      <c r="E443" s="91">
        <f t="shared" si="28"/>
        <v>407.86399999999998</v>
      </c>
      <c r="F443" s="198">
        <v>550.1</v>
      </c>
      <c r="G443" s="114" t="s">
        <v>419</v>
      </c>
    </row>
    <row r="444" spans="1:7" ht="16.5" thickBot="1" x14ac:dyDescent="0.3">
      <c r="A444" s="113">
        <v>502921</v>
      </c>
      <c r="B444" s="58" t="s">
        <v>1</v>
      </c>
      <c r="C444" s="17">
        <v>180</v>
      </c>
      <c r="D444" s="87">
        <v>244</v>
      </c>
      <c r="E444" s="87">
        <f t="shared" si="28"/>
        <v>331.84000000000003</v>
      </c>
      <c r="F444" s="192">
        <f t="shared" si="29"/>
        <v>447.98400000000009</v>
      </c>
      <c r="G444" s="114" t="s">
        <v>420</v>
      </c>
    </row>
    <row r="445" spans="1:7" ht="108.75" thickBot="1" x14ac:dyDescent="0.3">
      <c r="A445" s="113">
        <v>502990</v>
      </c>
      <c r="B445" s="58" t="s">
        <v>1</v>
      </c>
      <c r="C445" s="17">
        <v>221</v>
      </c>
      <c r="D445" s="91">
        <f>+C445*$D$1</f>
        <v>299.89999999999998</v>
      </c>
      <c r="E445" s="91">
        <f t="shared" si="28"/>
        <v>407.86399999999998</v>
      </c>
      <c r="F445" s="198">
        <v>550.1</v>
      </c>
      <c r="G445" s="114" t="s">
        <v>421</v>
      </c>
    </row>
    <row r="446" spans="1:7" ht="27.75" thickBot="1" x14ac:dyDescent="0.3">
      <c r="A446" s="113">
        <v>504020</v>
      </c>
      <c r="B446" s="58" t="s">
        <v>1</v>
      </c>
      <c r="C446" s="17">
        <v>160</v>
      </c>
      <c r="D446" s="91">
        <v>218</v>
      </c>
      <c r="E446" s="91">
        <f t="shared" si="28"/>
        <v>296.48</v>
      </c>
      <c r="F446" s="198">
        <f t="shared" si="29"/>
        <v>400.24800000000005</v>
      </c>
      <c r="G446" s="114" t="s">
        <v>422</v>
      </c>
    </row>
    <row r="447" spans="1:7" ht="16.5" thickBot="1" x14ac:dyDescent="0.3">
      <c r="A447" s="113">
        <v>505000.1</v>
      </c>
      <c r="B447" s="58" t="s">
        <v>1</v>
      </c>
      <c r="C447" s="17">
        <v>358</v>
      </c>
      <c r="D447" s="91">
        <v>485</v>
      </c>
      <c r="E447" s="91">
        <v>659.8</v>
      </c>
      <c r="F447" s="198">
        <f t="shared" si="29"/>
        <v>890.73</v>
      </c>
      <c r="G447" s="114" t="s">
        <v>423</v>
      </c>
    </row>
    <row r="448" spans="1:7" ht="17.25" customHeight="1" thickBot="1" x14ac:dyDescent="0.3">
      <c r="A448" s="76" t="s">
        <v>424</v>
      </c>
      <c r="B448" s="79"/>
      <c r="C448" s="4"/>
      <c r="D448" s="46"/>
      <c r="E448" s="46"/>
      <c r="F448" s="46"/>
      <c r="G448" s="75"/>
    </row>
    <row r="449" spans="1:7" ht="17.25" thickBot="1" x14ac:dyDescent="0.3">
      <c r="A449" s="76" t="s">
        <v>425</v>
      </c>
      <c r="B449" s="79"/>
      <c r="C449" s="4"/>
      <c r="D449" s="46"/>
      <c r="E449" s="46"/>
      <c r="F449" s="46"/>
      <c r="G449" s="75"/>
    </row>
    <row r="450" spans="1:7" ht="17.25" thickBot="1" x14ac:dyDescent="0.3">
      <c r="A450" s="76" t="s">
        <v>426</v>
      </c>
      <c r="B450" s="79"/>
      <c r="C450" s="4"/>
      <c r="D450" s="46"/>
      <c r="E450" s="46"/>
      <c r="F450" s="46"/>
      <c r="G450" s="75"/>
    </row>
    <row r="451" spans="1:7" ht="41.25" thickBot="1" x14ac:dyDescent="0.3">
      <c r="A451" s="113">
        <v>511111</v>
      </c>
      <c r="B451" s="58" t="s">
        <v>427</v>
      </c>
      <c r="C451" s="17">
        <v>221</v>
      </c>
      <c r="D451" s="56">
        <f t="shared" ref="D451:D461" si="32">+C451*$D$1</f>
        <v>299.89999999999998</v>
      </c>
      <c r="E451" s="56">
        <f t="shared" ref="E451:E471" si="33">+D451*1.36</f>
        <v>407.86399999999998</v>
      </c>
      <c r="F451" s="198">
        <v>550.1</v>
      </c>
      <c r="G451" s="114" t="s">
        <v>428</v>
      </c>
    </row>
    <row r="452" spans="1:7" ht="68.25" thickBot="1" x14ac:dyDescent="0.3">
      <c r="A452" s="113">
        <v>511119</v>
      </c>
      <c r="B452" s="58" t="s">
        <v>427</v>
      </c>
      <c r="C452" s="17">
        <v>221</v>
      </c>
      <c r="D452" s="91">
        <f t="shared" si="32"/>
        <v>299.89999999999998</v>
      </c>
      <c r="E452" s="91">
        <f t="shared" si="33"/>
        <v>407.86399999999998</v>
      </c>
      <c r="F452" s="198">
        <v>550.1</v>
      </c>
      <c r="G452" s="114" t="s">
        <v>429</v>
      </c>
    </row>
    <row r="453" spans="1:7" ht="41.25" thickBot="1" x14ac:dyDescent="0.3">
      <c r="A453" s="113">
        <v>511121.1</v>
      </c>
      <c r="B453" s="58" t="s">
        <v>427</v>
      </c>
      <c r="C453" s="17">
        <v>221</v>
      </c>
      <c r="D453" s="91">
        <f t="shared" si="32"/>
        <v>299.89999999999998</v>
      </c>
      <c r="E453" s="91">
        <f t="shared" si="33"/>
        <v>407.86399999999998</v>
      </c>
      <c r="F453" s="198">
        <v>550.1</v>
      </c>
      <c r="G453" s="114" t="s">
        <v>430</v>
      </c>
    </row>
    <row r="454" spans="1:7" ht="41.25" thickBot="1" x14ac:dyDescent="0.3">
      <c r="A454" s="113">
        <v>511121.2</v>
      </c>
      <c r="B454" s="58" t="s">
        <v>427</v>
      </c>
      <c r="C454" s="17">
        <v>221</v>
      </c>
      <c r="D454" s="91">
        <f t="shared" si="32"/>
        <v>299.89999999999998</v>
      </c>
      <c r="E454" s="91">
        <f t="shared" si="33"/>
        <v>407.86399999999998</v>
      </c>
      <c r="F454" s="198">
        <v>550.1</v>
      </c>
      <c r="G454" s="114" t="s">
        <v>431</v>
      </c>
    </row>
    <row r="455" spans="1:7" ht="41.25" thickBot="1" x14ac:dyDescent="0.3">
      <c r="A455" s="113">
        <v>511122</v>
      </c>
      <c r="B455" s="58" t="s">
        <v>427</v>
      </c>
      <c r="C455" s="17">
        <v>221</v>
      </c>
      <c r="D455" s="91">
        <f t="shared" si="32"/>
        <v>299.89999999999998</v>
      </c>
      <c r="E455" s="91">
        <f t="shared" si="33"/>
        <v>407.86399999999998</v>
      </c>
      <c r="F455" s="198">
        <v>550.1</v>
      </c>
      <c r="G455" s="114" t="s">
        <v>432</v>
      </c>
    </row>
    <row r="456" spans="1:7" ht="16.5" thickBot="1" x14ac:dyDescent="0.3">
      <c r="A456" s="113">
        <v>511912</v>
      </c>
      <c r="B456" s="58" t="s">
        <v>427</v>
      </c>
      <c r="C456" s="17">
        <v>221</v>
      </c>
      <c r="D456" s="91">
        <f t="shared" si="32"/>
        <v>299.89999999999998</v>
      </c>
      <c r="E456" s="91">
        <f t="shared" si="33"/>
        <v>407.86399999999998</v>
      </c>
      <c r="F456" s="198">
        <v>550.1</v>
      </c>
      <c r="G456" s="114" t="s">
        <v>433</v>
      </c>
    </row>
    <row r="457" spans="1:7" ht="54.75" thickBot="1" x14ac:dyDescent="0.3">
      <c r="A457" s="113">
        <v>511919.1</v>
      </c>
      <c r="B457" s="58" t="s">
        <v>427</v>
      </c>
      <c r="C457" s="17">
        <v>221</v>
      </c>
      <c r="D457" s="91">
        <f t="shared" si="32"/>
        <v>299.89999999999998</v>
      </c>
      <c r="E457" s="91">
        <f t="shared" si="33"/>
        <v>407.86399999999998</v>
      </c>
      <c r="F457" s="198">
        <v>550.1</v>
      </c>
      <c r="G457" s="114" t="s">
        <v>434</v>
      </c>
    </row>
    <row r="458" spans="1:7" ht="41.25" thickBot="1" x14ac:dyDescent="0.3">
      <c r="A458" s="113">
        <v>511919.2</v>
      </c>
      <c r="B458" s="58" t="s">
        <v>427</v>
      </c>
      <c r="C458" s="17">
        <v>221</v>
      </c>
      <c r="D458" s="91">
        <f t="shared" si="32"/>
        <v>299.89999999999998</v>
      </c>
      <c r="E458" s="91">
        <f t="shared" si="33"/>
        <v>407.86399999999998</v>
      </c>
      <c r="F458" s="198">
        <v>550.1</v>
      </c>
      <c r="G458" s="114" t="s">
        <v>435</v>
      </c>
    </row>
    <row r="459" spans="1:7" ht="41.25" thickBot="1" x14ac:dyDescent="0.3">
      <c r="A459" s="113">
        <v>511919.3</v>
      </c>
      <c r="B459" s="58" t="s">
        <v>427</v>
      </c>
      <c r="C459" s="17">
        <v>221</v>
      </c>
      <c r="D459" s="91">
        <f t="shared" si="32"/>
        <v>299.89999999999998</v>
      </c>
      <c r="E459" s="91">
        <f t="shared" si="33"/>
        <v>407.86399999999998</v>
      </c>
      <c r="F459" s="198">
        <v>550.1</v>
      </c>
      <c r="G459" s="114" t="s">
        <v>436</v>
      </c>
    </row>
    <row r="460" spans="1:7" ht="41.25" thickBot="1" x14ac:dyDescent="0.3">
      <c r="A460" s="113">
        <v>511920</v>
      </c>
      <c r="B460" s="58" t="s">
        <v>427</v>
      </c>
      <c r="C460" s="17">
        <v>221</v>
      </c>
      <c r="D460" s="91">
        <f t="shared" si="32"/>
        <v>299.89999999999998</v>
      </c>
      <c r="E460" s="91">
        <f t="shared" si="33"/>
        <v>407.86399999999998</v>
      </c>
      <c r="F460" s="198">
        <v>550.1</v>
      </c>
      <c r="G460" s="114" t="s">
        <v>437</v>
      </c>
    </row>
    <row r="461" spans="1:7" ht="54.75" thickBot="1" x14ac:dyDescent="0.3">
      <c r="A461" s="113">
        <v>511930</v>
      </c>
      <c r="B461" s="58" t="s">
        <v>427</v>
      </c>
      <c r="C461" s="17">
        <v>221</v>
      </c>
      <c r="D461" s="91">
        <f t="shared" si="32"/>
        <v>299.89999999999998</v>
      </c>
      <c r="E461" s="91">
        <f t="shared" si="33"/>
        <v>407.86399999999998</v>
      </c>
      <c r="F461" s="198">
        <v>550.1</v>
      </c>
      <c r="G461" s="114" t="s">
        <v>438</v>
      </c>
    </row>
    <row r="462" spans="1:7" ht="54.75" thickBot="1" x14ac:dyDescent="0.3">
      <c r="A462" s="113">
        <v>511940.1</v>
      </c>
      <c r="B462" s="58" t="s">
        <v>427</v>
      </c>
      <c r="C462" s="17">
        <v>275</v>
      </c>
      <c r="D462" s="91">
        <v>373</v>
      </c>
      <c r="E462" s="91">
        <f t="shared" si="33"/>
        <v>507.28000000000003</v>
      </c>
      <c r="F462" s="198">
        <v>698.4</v>
      </c>
      <c r="G462" s="114" t="s">
        <v>439</v>
      </c>
    </row>
    <row r="463" spans="1:7" ht="27.75" thickBot="1" x14ac:dyDescent="0.3">
      <c r="A463" s="113">
        <v>511940.2</v>
      </c>
      <c r="B463" s="58" t="s">
        <v>427</v>
      </c>
      <c r="C463" s="17">
        <v>358</v>
      </c>
      <c r="D463" s="91">
        <v>485</v>
      </c>
      <c r="E463" s="91">
        <v>659.8</v>
      </c>
      <c r="F463" s="198">
        <f t="shared" ref="F463:F473" si="34">+E463*$F$1</f>
        <v>890.73</v>
      </c>
      <c r="G463" s="114" t="s">
        <v>440</v>
      </c>
    </row>
    <row r="464" spans="1:7" ht="68.25" thickBot="1" x14ac:dyDescent="0.3">
      <c r="A464" s="113">
        <v>511950</v>
      </c>
      <c r="B464" s="58" t="s">
        <v>427</v>
      </c>
      <c r="C464" s="17">
        <v>221</v>
      </c>
      <c r="D464" s="91">
        <f>+C464*$D$1</f>
        <v>299.89999999999998</v>
      </c>
      <c r="E464" s="91">
        <f t="shared" si="33"/>
        <v>407.86399999999998</v>
      </c>
      <c r="F464" s="198">
        <v>550.1</v>
      </c>
      <c r="G464" s="114" t="s">
        <v>441</v>
      </c>
    </row>
    <row r="465" spans="1:7" ht="68.25" thickBot="1" x14ac:dyDescent="0.3">
      <c r="A465" s="113">
        <v>511960.1</v>
      </c>
      <c r="B465" s="58" t="s">
        <v>427</v>
      </c>
      <c r="C465" s="17">
        <v>221</v>
      </c>
      <c r="D465" s="91">
        <f>+C465*$D$1</f>
        <v>299.89999999999998</v>
      </c>
      <c r="E465" s="91">
        <f t="shared" si="33"/>
        <v>407.86399999999998</v>
      </c>
      <c r="F465" s="198">
        <v>550.1</v>
      </c>
      <c r="G465" s="114" t="s">
        <v>442</v>
      </c>
    </row>
    <row r="466" spans="1:7" ht="81.75" thickBot="1" x14ac:dyDescent="0.3">
      <c r="A466" s="113">
        <v>511960.2</v>
      </c>
      <c r="B466" s="58" t="s">
        <v>427</v>
      </c>
      <c r="C466" s="17">
        <v>221</v>
      </c>
      <c r="D466" s="91">
        <f>+C466*$D$1</f>
        <v>299.89999999999998</v>
      </c>
      <c r="E466" s="91">
        <f t="shared" si="33"/>
        <v>407.86399999999998</v>
      </c>
      <c r="F466" s="198">
        <v>550.1</v>
      </c>
      <c r="G466" s="114" t="s">
        <v>443</v>
      </c>
    </row>
    <row r="467" spans="1:7" ht="81.75" thickBot="1" x14ac:dyDescent="0.3">
      <c r="A467" s="113">
        <v>511970</v>
      </c>
      <c r="B467" s="58" t="s">
        <v>427</v>
      </c>
      <c r="C467" s="17">
        <v>221</v>
      </c>
      <c r="D467" s="91">
        <f>+C467*$D$1</f>
        <v>299.89999999999998</v>
      </c>
      <c r="E467" s="91">
        <f t="shared" si="33"/>
        <v>407.86399999999998</v>
      </c>
      <c r="F467" s="198">
        <v>550.1</v>
      </c>
      <c r="G467" s="114" t="s">
        <v>444</v>
      </c>
    </row>
    <row r="468" spans="1:7" ht="41.25" thickBot="1" x14ac:dyDescent="0.3">
      <c r="A468" s="113">
        <v>511990.1</v>
      </c>
      <c r="B468" s="58" t="s">
        <v>427</v>
      </c>
      <c r="C468" s="17">
        <v>221</v>
      </c>
      <c r="D468" s="91">
        <f>+C468*$D$1</f>
        <v>299.89999999999998</v>
      </c>
      <c r="E468" s="91">
        <f t="shared" si="33"/>
        <v>407.86399999999998</v>
      </c>
      <c r="F468" s="198">
        <v>550.1</v>
      </c>
      <c r="G468" s="114" t="s">
        <v>445</v>
      </c>
    </row>
    <row r="469" spans="1:7" ht="27.75" thickBot="1" x14ac:dyDescent="0.3">
      <c r="A469" s="113">
        <v>511990.2</v>
      </c>
      <c r="B469" s="58" t="s">
        <v>427</v>
      </c>
      <c r="C469" s="17">
        <v>180</v>
      </c>
      <c r="D469" s="87">
        <v>244</v>
      </c>
      <c r="E469" s="87">
        <f t="shared" si="33"/>
        <v>331.84000000000003</v>
      </c>
      <c r="F469" s="192">
        <f t="shared" si="34"/>
        <v>447.98400000000009</v>
      </c>
      <c r="G469" s="114" t="s">
        <v>446</v>
      </c>
    </row>
    <row r="470" spans="1:7" ht="54.75" thickBot="1" x14ac:dyDescent="0.3">
      <c r="A470" s="113">
        <v>511990.3</v>
      </c>
      <c r="B470" s="58" t="s">
        <v>447</v>
      </c>
      <c r="C470" s="17">
        <v>358</v>
      </c>
      <c r="D470" s="91">
        <v>485</v>
      </c>
      <c r="E470" s="91">
        <v>659.8</v>
      </c>
      <c r="F470" s="198">
        <f t="shared" si="34"/>
        <v>890.73</v>
      </c>
      <c r="G470" s="114" t="s">
        <v>448</v>
      </c>
    </row>
    <row r="471" spans="1:7" ht="41.25" thickBot="1" x14ac:dyDescent="0.3">
      <c r="A471" s="113">
        <v>511990.4</v>
      </c>
      <c r="B471" s="58" t="s">
        <v>447</v>
      </c>
      <c r="C471" s="17">
        <v>180</v>
      </c>
      <c r="D471" s="87">
        <v>244</v>
      </c>
      <c r="E471" s="87">
        <f t="shared" si="33"/>
        <v>331.84000000000003</v>
      </c>
      <c r="F471" s="192">
        <f t="shared" si="34"/>
        <v>447.98400000000009</v>
      </c>
      <c r="G471" s="114" t="s">
        <v>449</v>
      </c>
    </row>
    <row r="472" spans="1:7" ht="54.75" thickBot="1" x14ac:dyDescent="0.3">
      <c r="A472" s="113">
        <v>511990.5</v>
      </c>
      <c r="B472" s="58" t="s">
        <v>427</v>
      </c>
      <c r="C472" s="17">
        <v>358</v>
      </c>
      <c r="D472" s="91">
        <v>485</v>
      </c>
      <c r="E472" s="91">
        <v>659.8</v>
      </c>
      <c r="F472" s="198">
        <f t="shared" si="34"/>
        <v>890.73</v>
      </c>
      <c r="G472" s="114" t="s">
        <v>450</v>
      </c>
    </row>
    <row r="473" spans="1:7" ht="54.75" thickBot="1" x14ac:dyDescent="0.3">
      <c r="A473" s="115">
        <v>511990.6</v>
      </c>
      <c r="B473" s="69" t="s">
        <v>447</v>
      </c>
      <c r="C473" s="20">
        <v>358</v>
      </c>
      <c r="D473" s="178">
        <v>485</v>
      </c>
      <c r="E473" s="178">
        <v>659.8</v>
      </c>
      <c r="F473" s="199">
        <f t="shared" si="34"/>
        <v>890.73</v>
      </c>
      <c r="G473" s="116" t="s">
        <v>451</v>
      </c>
    </row>
    <row r="474" spans="1:7" ht="16.5" x14ac:dyDescent="0.25">
      <c r="A474" s="231" t="s">
        <v>1017</v>
      </c>
      <c r="B474" s="44"/>
      <c r="C474" s="44"/>
      <c r="D474" s="44"/>
      <c r="E474" s="44"/>
      <c r="F474" s="44"/>
      <c r="G474" s="217"/>
    </row>
    <row r="475" spans="1:7" ht="17.25" thickBot="1" x14ac:dyDescent="0.3">
      <c r="A475" s="232" t="s">
        <v>1018</v>
      </c>
      <c r="B475" s="185"/>
      <c r="C475" s="186"/>
      <c r="D475" s="185"/>
      <c r="E475" s="185"/>
      <c r="F475" s="185"/>
      <c r="G475" s="187"/>
    </row>
    <row r="476" spans="1:7" ht="27.75" thickBot="1" x14ac:dyDescent="0.3">
      <c r="A476" s="184">
        <v>512111</v>
      </c>
      <c r="B476" s="58" t="s">
        <v>1</v>
      </c>
      <c r="C476" s="29">
        <v>221</v>
      </c>
      <c r="D476" s="91">
        <f t="shared" ref="D476:D498" si="35">+C476*$D$1</f>
        <v>299.89999999999998</v>
      </c>
      <c r="E476" s="91">
        <f t="shared" ref="E476:E541" si="36">+D476*1.36</f>
        <v>407.86399999999998</v>
      </c>
      <c r="F476" s="198">
        <v>550.1</v>
      </c>
      <c r="G476" s="114" t="s">
        <v>452</v>
      </c>
    </row>
    <row r="477" spans="1:7" ht="16.5" thickBot="1" x14ac:dyDescent="0.3">
      <c r="A477" s="113">
        <v>512112</v>
      </c>
      <c r="B477" s="58" t="s">
        <v>1</v>
      </c>
      <c r="C477" s="17">
        <v>221</v>
      </c>
      <c r="D477" s="91">
        <f t="shared" si="35"/>
        <v>299.89999999999998</v>
      </c>
      <c r="E477" s="91">
        <f t="shared" si="36"/>
        <v>407.86399999999998</v>
      </c>
      <c r="F477" s="198">
        <v>550.1</v>
      </c>
      <c r="G477" s="114" t="s">
        <v>453</v>
      </c>
    </row>
    <row r="478" spans="1:7" ht="27.75" thickBot="1" x14ac:dyDescent="0.3">
      <c r="A478" s="113">
        <v>512121</v>
      </c>
      <c r="B478" s="58" t="s">
        <v>1</v>
      </c>
      <c r="C478" s="17">
        <v>221</v>
      </c>
      <c r="D478" s="91">
        <f t="shared" si="35"/>
        <v>299.89999999999998</v>
      </c>
      <c r="E478" s="91">
        <f t="shared" si="36"/>
        <v>407.86399999999998</v>
      </c>
      <c r="F478" s="198">
        <v>550.1</v>
      </c>
      <c r="G478" s="114" t="s">
        <v>454</v>
      </c>
    </row>
    <row r="479" spans="1:7" ht="41.25" thickBot="1" x14ac:dyDescent="0.3">
      <c r="A479" s="113">
        <v>512129</v>
      </c>
      <c r="B479" s="58" t="s">
        <v>1</v>
      </c>
      <c r="C479" s="17">
        <v>221</v>
      </c>
      <c r="D479" s="91">
        <f t="shared" si="35"/>
        <v>299.89999999999998</v>
      </c>
      <c r="E479" s="91">
        <f t="shared" si="36"/>
        <v>407.86399999999998</v>
      </c>
      <c r="F479" s="198">
        <v>550.1</v>
      </c>
      <c r="G479" s="114" t="s">
        <v>455</v>
      </c>
    </row>
    <row r="480" spans="1:7" ht="41.25" thickBot="1" x14ac:dyDescent="0.3">
      <c r="A480" s="113">
        <v>512211</v>
      </c>
      <c r="B480" s="58" t="s">
        <v>1</v>
      </c>
      <c r="C480" s="17">
        <v>221</v>
      </c>
      <c r="D480" s="91">
        <f t="shared" si="35"/>
        <v>299.89999999999998</v>
      </c>
      <c r="E480" s="91">
        <f t="shared" si="36"/>
        <v>407.86399999999998</v>
      </c>
      <c r="F480" s="198">
        <v>550.1</v>
      </c>
      <c r="G480" s="114" t="s">
        <v>456</v>
      </c>
    </row>
    <row r="481" spans="1:7" ht="41.25" thickBot="1" x14ac:dyDescent="0.3">
      <c r="A481" s="113">
        <v>512212.1</v>
      </c>
      <c r="B481" s="58" t="s">
        <v>1</v>
      </c>
      <c r="C481" s="17">
        <v>221</v>
      </c>
      <c r="D481" s="91">
        <f t="shared" si="35"/>
        <v>299.89999999999998</v>
      </c>
      <c r="E481" s="91">
        <f t="shared" si="36"/>
        <v>407.86399999999998</v>
      </c>
      <c r="F481" s="198">
        <v>550.1</v>
      </c>
      <c r="G481" s="114" t="s">
        <v>457</v>
      </c>
    </row>
    <row r="482" spans="1:7" ht="27.75" thickBot="1" x14ac:dyDescent="0.3">
      <c r="A482" s="113">
        <v>512212.2</v>
      </c>
      <c r="B482" s="58" t="s">
        <v>1</v>
      </c>
      <c r="C482" s="17">
        <v>221</v>
      </c>
      <c r="D482" s="91">
        <f t="shared" si="35"/>
        <v>299.89999999999998</v>
      </c>
      <c r="E482" s="91">
        <f t="shared" si="36"/>
        <v>407.86399999999998</v>
      </c>
      <c r="F482" s="198">
        <v>550.1</v>
      </c>
      <c r="G482" s="114" t="s">
        <v>458</v>
      </c>
    </row>
    <row r="483" spans="1:7" ht="27.75" thickBot="1" x14ac:dyDescent="0.3">
      <c r="A483" s="113">
        <v>512221</v>
      </c>
      <c r="B483" s="58" t="s">
        <v>1</v>
      </c>
      <c r="C483" s="17">
        <v>221</v>
      </c>
      <c r="D483" s="91">
        <f t="shared" si="35"/>
        <v>299.89999999999998</v>
      </c>
      <c r="E483" s="91">
        <f t="shared" si="36"/>
        <v>407.86399999999998</v>
      </c>
      <c r="F483" s="198">
        <v>550.1</v>
      </c>
      <c r="G483" s="114" t="s">
        <v>459</v>
      </c>
    </row>
    <row r="484" spans="1:7" ht="27.75" thickBot="1" x14ac:dyDescent="0.3">
      <c r="A484" s="113">
        <v>512229</v>
      </c>
      <c r="B484" s="58" t="s">
        <v>1</v>
      </c>
      <c r="C484" s="17">
        <v>221</v>
      </c>
      <c r="D484" s="91">
        <f t="shared" si="35"/>
        <v>299.89999999999998</v>
      </c>
      <c r="E484" s="91">
        <f t="shared" si="36"/>
        <v>407.86399999999998</v>
      </c>
      <c r="F484" s="198">
        <v>550.1</v>
      </c>
      <c r="G484" s="114" t="s">
        <v>460</v>
      </c>
    </row>
    <row r="485" spans="1:7" ht="27.75" thickBot="1" x14ac:dyDescent="0.3">
      <c r="A485" s="113">
        <v>512230</v>
      </c>
      <c r="B485" s="58" t="s">
        <v>1</v>
      </c>
      <c r="C485" s="17">
        <v>221</v>
      </c>
      <c r="D485" s="91">
        <f t="shared" si="35"/>
        <v>299.89999999999998</v>
      </c>
      <c r="E485" s="91">
        <f t="shared" si="36"/>
        <v>407.86399999999998</v>
      </c>
      <c r="F485" s="198">
        <v>550.1</v>
      </c>
      <c r="G485" s="114" t="s">
        <v>461</v>
      </c>
    </row>
    <row r="486" spans="1:7" ht="27.75" thickBot="1" x14ac:dyDescent="0.3">
      <c r="A486" s="113">
        <v>512240</v>
      </c>
      <c r="B486" s="58" t="s">
        <v>1</v>
      </c>
      <c r="C486" s="17">
        <v>221</v>
      </c>
      <c r="D486" s="91">
        <f t="shared" si="35"/>
        <v>299.89999999999998</v>
      </c>
      <c r="E486" s="91">
        <f t="shared" si="36"/>
        <v>407.86399999999998</v>
      </c>
      <c r="F486" s="198">
        <v>550.1</v>
      </c>
      <c r="G486" s="114" t="s">
        <v>462</v>
      </c>
    </row>
    <row r="487" spans="1:7" ht="41.25" thickBot="1" x14ac:dyDescent="0.3">
      <c r="A487" s="113">
        <v>512250</v>
      </c>
      <c r="B487" s="58" t="s">
        <v>1</v>
      </c>
      <c r="C487" s="17">
        <v>221</v>
      </c>
      <c r="D487" s="91">
        <f t="shared" si="35"/>
        <v>299.89999999999998</v>
      </c>
      <c r="E487" s="91">
        <f t="shared" si="36"/>
        <v>407.86399999999998</v>
      </c>
      <c r="F487" s="198">
        <v>550.1</v>
      </c>
      <c r="G487" s="114" t="s">
        <v>463</v>
      </c>
    </row>
    <row r="488" spans="1:7" ht="54.75" thickBot="1" x14ac:dyDescent="0.3">
      <c r="A488" s="113">
        <v>512260</v>
      </c>
      <c r="B488" s="58" t="s">
        <v>1</v>
      </c>
      <c r="C488" s="17">
        <v>221</v>
      </c>
      <c r="D488" s="91">
        <f t="shared" si="35"/>
        <v>299.89999999999998</v>
      </c>
      <c r="E488" s="91">
        <f t="shared" si="36"/>
        <v>407.86399999999998</v>
      </c>
      <c r="F488" s="198">
        <v>550.1</v>
      </c>
      <c r="G488" s="114" t="s">
        <v>464</v>
      </c>
    </row>
    <row r="489" spans="1:7" ht="27.75" thickBot="1" x14ac:dyDescent="0.3">
      <c r="A489" s="113">
        <v>512271</v>
      </c>
      <c r="B489" s="58" t="s">
        <v>1</v>
      </c>
      <c r="C489" s="17">
        <v>221</v>
      </c>
      <c r="D489" s="91">
        <f t="shared" si="35"/>
        <v>299.89999999999998</v>
      </c>
      <c r="E489" s="91">
        <f t="shared" si="36"/>
        <v>407.86399999999998</v>
      </c>
      <c r="F489" s="198">
        <v>550.1</v>
      </c>
      <c r="G489" s="114" t="s">
        <v>465</v>
      </c>
    </row>
    <row r="490" spans="1:7" ht="41.25" thickBot="1" x14ac:dyDescent="0.3">
      <c r="A490" s="113">
        <v>512272</v>
      </c>
      <c r="B490" s="58" t="s">
        <v>1</v>
      </c>
      <c r="C490" s="17">
        <v>221</v>
      </c>
      <c r="D490" s="91">
        <f t="shared" si="35"/>
        <v>299.89999999999998</v>
      </c>
      <c r="E490" s="91">
        <f t="shared" si="36"/>
        <v>407.86399999999998</v>
      </c>
      <c r="F490" s="198">
        <v>550.1</v>
      </c>
      <c r="G490" s="114" t="s">
        <v>466</v>
      </c>
    </row>
    <row r="491" spans="1:7" ht="81.75" thickBot="1" x14ac:dyDescent="0.3">
      <c r="A491" s="113">
        <v>512273</v>
      </c>
      <c r="B491" s="58" t="s">
        <v>1</v>
      </c>
      <c r="C491" s="17">
        <v>221</v>
      </c>
      <c r="D491" s="91">
        <f t="shared" si="35"/>
        <v>299.89999999999998</v>
      </c>
      <c r="E491" s="91">
        <f t="shared" si="36"/>
        <v>407.86399999999998</v>
      </c>
      <c r="F491" s="198">
        <v>550.1</v>
      </c>
      <c r="G491" s="114" t="s">
        <v>467</v>
      </c>
    </row>
    <row r="492" spans="1:7" ht="41.25" thickBot="1" x14ac:dyDescent="0.3">
      <c r="A492" s="113">
        <v>512279</v>
      </c>
      <c r="B492" s="58" t="s">
        <v>1</v>
      </c>
      <c r="C492" s="17">
        <v>221</v>
      </c>
      <c r="D492" s="91">
        <f t="shared" si="35"/>
        <v>299.89999999999998</v>
      </c>
      <c r="E492" s="91">
        <f t="shared" si="36"/>
        <v>407.86399999999998</v>
      </c>
      <c r="F492" s="198">
        <v>550.1</v>
      </c>
      <c r="G492" s="114" t="s">
        <v>468</v>
      </c>
    </row>
    <row r="493" spans="1:7" ht="41.25" thickBot="1" x14ac:dyDescent="0.3">
      <c r="A493" s="113">
        <v>512292</v>
      </c>
      <c r="B493" s="58" t="s">
        <v>1</v>
      </c>
      <c r="C493" s="17">
        <v>221</v>
      </c>
      <c r="D493" s="91">
        <f t="shared" si="35"/>
        <v>299.89999999999998</v>
      </c>
      <c r="E493" s="91">
        <f t="shared" si="36"/>
        <v>407.86399999999998</v>
      </c>
      <c r="F493" s="198">
        <v>550.1</v>
      </c>
      <c r="G493" s="114" t="s">
        <v>469</v>
      </c>
    </row>
    <row r="494" spans="1:7" ht="41.25" thickBot="1" x14ac:dyDescent="0.3">
      <c r="A494" s="113">
        <v>512299.1</v>
      </c>
      <c r="B494" s="58" t="s">
        <v>1</v>
      </c>
      <c r="C494" s="17">
        <v>221</v>
      </c>
      <c r="D494" s="91">
        <f t="shared" si="35"/>
        <v>299.89999999999998</v>
      </c>
      <c r="E494" s="91">
        <f t="shared" si="36"/>
        <v>407.86399999999998</v>
      </c>
      <c r="F494" s="198">
        <v>550.1</v>
      </c>
      <c r="G494" s="114" t="s">
        <v>470</v>
      </c>
    </row>
    <row r="495" spans="1:7" ht="41.25" thickBot="1" x14ac:dyDescent="0.3">
      <c r="A495" s="113">
        <v>512299.2</v>
      </c>
      <c r="B495" s="58" t="s">
        <v>1</v>
      </c>
      <c r="C495" s="17">
        <v>221</v>
      </c>
      <c r="D495" s="91">
        <f t="shared" si="35"/>
        <v>299.89999999999998</v>
      </c>
      <c r="E495" s="91">
        <f t="shared" si="36"/>
        <v>407.86399999999998</v>
      </c>
      <c r="F495" s="198">
        <v>550.1</v>
      </c>
      <c r="G495" s="114" t="s">
        <v>471</v>
      </c>
    </row>
    <row r="496" spans="1:7" ht="41.25" thickBot="1" x14ac:dyDescent="0.3">
      <c r="A496" s="113">
        <v>512299.3</v>
      </c>
      <c r="B496" s="58" t="s">
        <v>1</v>
      </c>
      <c r="C496" s="17">
        <v>221</v>
      </c>
      <c r="D496" s="91">
        <f t="shared" si="35"/>
        <v>299.89999999999998</v>
      </c>
      <c r="E496" s="91">
        <f t="shared" si="36"/>
        <v>407.86399999999998</v>
      </c>
      <c r="F496" s="198">
        <v>550.1</v>
      </c>
      <c r="G496" s="114" t="s">
        <v>472</v>
      </c>
    </row>
    <row r="497" spans="1:7" ht="54.75" thickBot="1" x14ac:dyDescent="0.3">
      <c r="A497" s="113">
        <v>512299.4</v>
      </c>
      <c r="B497" s="58" t="s">
        <v>1</v>
      </c>
      <c r="C497" s="17">
        <v>221</v>
      </c>
      <c r="D497" s="91">
        <f t="shared" si="35"/>
        <v>299.89999999999998</v>
      </c>
      <c r="E497" s="91">
        <f t="shared" si="36"/>
        <v>407.86399999999998</v>
      </c>
      <c r="F497" s="198">
        <v>550.1</v>
      </c>
      <c r="G497" s="114" t="s">
        <v>473</v>
      </c>
    </row>
    <row r="498" spans="1:7" ht="41.25" thickBot="1" x14ac:dyDescent="0.3">
      <c r="A498" s="113">
        <v>512299.5</v>
      </c>
      <c r="B498" s="58" t="s">
        <v>1</v>
      </c>
      <c r="C498" s="17">
        <v>221</v>
      </c>
      <c r="D498" s="91">
        <f t="shared" si="35"/>
        <v>299.89999999999998</v>
      </c>
      <c r="E498" s="91">
        <f t="shared" si="36"/>
        <v>407.86399999999998</v>
      </c>
      <c r="F498" s="198">
        <v>550.1</v>
      </c>
      <c r="G498" s="114" t="s">
        <v>474</v>
      </c>
    </row>
    <row r="499" spans="1:7" ht="33" customHeight="1" thickBot="1" x14ac:dyDescent="0.3">
      <c r="A499" s="76" t="s">
        <v>475</v>
      </c>
      <c r="B499" s="79"/>
      <c r="C499" s="4"/>
      <c r="D499" s="46"/>
      <c r="E499" s="46"/>
      <c r="F499" s="46"/>
      <c r="G499" s="75"/>
    </row>
    <row r="500" spans="1:7" ht="27.75" thickBot="1" x14ac:dyDescent="0.3">
      <c r="A500" s="113">
        <v>512311</v>
      </c>
      <c r="B500" s="58" t="s">
        <v>1</v>
      </c>
      <c r="C500" s="17">
        <v>358</v>
      </c>
      <c r="D500" s="56">
        <v>485</v>
      </c>
      <c r="E500" s="56">
        <v>659.8</v>
      </c>
      <c r="F500" s="198">
        <f t="shared" ref="F500:F537" si="37">+E500*$F$1</f>
        <v>890.73</v>
      </c>
      <c r="G500" s="114" t="s">
        <v>476</v>
      </c>
    </row>
    <row r="501" spans="1:7" ht="27.75" thickBot="1" x14ac:dyDescent="0.3">
      <c r="A501" s="113">
        <v>512312</v>
      </c>
      <c r="B501" s="58" t="s">
        <v>59</v>
      </c>
      <c r="C501" s="17">
        <v>358</v>
      </c>
      <c r="D501" s="91">
        <v>485</v>
      </c>
      <c r="E501" s="91">
        <v>659.8</v>
      </c>
      <c r="F501" s="198">
        <f t="shared" si="37"/>
        <v>890.73</v>
      </c>
      <c r="G501" s="114" t="s">
        <v>477</v>
      </c>
    </row>
    <row r="502" spans="1:7" ht="41.25" thickBot="1" x14ac:dyDescent="0.3">
      <c r="A502" s="113">
        <v>512319</v>
      </c>
      <c r="B502" s="58" t="s">
        <v>1</v>
      </c>
      <c r="C502" s="17">
        <v>358</v>
      </c>
      <c r="D502" s="91">
        <v>485</v>
      </c>
      <c r="E502" s="91">
        <v>659.8</v>
      </c>
      <c r="F502" s="198">
        <f t="shared" si="37"/>
        <v>890.73</v>
      </c>
      <c r="G502" s="114" t="s">
        <v>478</v>
      </c>
    </row>
    <row r="503" spans="1:7" ht="41.25" thickBot="1" x14ac:dyDescent="0.3">
      <c r="A503" s="113">
        <v>512320</v>
      </c>
      <c r="B503" s="58" t="s">
        <v>59</v>
      </c>
      <c r="C503" s="17">
        <v>221</v>
      </c>
      <c r="D503" s="91">
        <f>+C503*$D$1</f>
        <v>299.89999999999998</v>
      </c>
      <c r="E503" s="91">
        <f t="shared" si="36"/>
        <v>407.86399999999998</v>
      </c>
      <c r="F503" s="198">
        <v>550.1</v>
      </c>
      <c r="G503" s="114" t="s">
        <v>479</v>
      </c>
    </row>
    <row r="504" spans="1:7" ht="27.75" thickBot="1" x14ac:dyDescent="0.3">
      <c r="A504" s="219">
        <v>512400</v>
      </c>
      <c r="B504" s="69" t="s">
        <v>481</v>
      </c>
      <c r="C504" s="20">
        <v>436</v>
      </c>
      <c r="D504" s="178">
        <v>590</v>
      </c>
      <c r="E504" s="178">
        <f t="shared" si="36"/>
        <v>802.40000000000009</v>
      </c>
      <c r="F504" s="199">
        <f t="shared" si="37"/>
        <v>1083.2400000000002</v>
      </c>
      <c r="G504" s="116" t="s">
        <v>482</v>
      </c>
    </row>
    <row r="505" spans="1:7" ht="15.75" x14ac:dyDescent="0.25">
      <c r="A505" s="236" t="s">
        <v>1019</v>
      </c>
      <c r="B505" s="237"/>
      <c r="C505" s="237"/>
      <c r="D505" s="237"/>
      <c r="E505" s="237"/>
      <c r="F505" s="237"/>
      <c r="G505" s="238"/>
    </row>
    <row r="506" spans="1:7" ht="16.5" thickBot="1" x14ac:dyDescent="0.3">
      <c r="A506" s="233" t="s">
        <v>1020</v>
      </c>
      <c r="B506" s="234"/>
      <c r="C506" s="234"/>
      <c r="D506" s="234"/>
      <c r="E506" s="234"/>
      <c r="F506" s="234"/>
      <c r="G506" s="235"/>
    </row>
    <row r="507" spans="1:7" ht="27.75" thickBot="1" x14ac:dyDescent="0.3">
      <c r="A507" s="113">
        <v>513111</v>
      </c>
      <c r="B507" s="58" t="s">
        <v>1</v>
      </c>
      <c r="C507" s="29">
        <v>221</v>
      </c>
      <c r="D507" s="91">
        <f>+C507*$D$1</f>
        <v>299.89999999999998</v>
      </c>
      <c r="E507" s="91">
        <f t="shared" si="36"/>
        <v>407.86399999999998</v>
      </c>
      <c r="F507" s="198">
        <v>550.1</v>
      </c>
      <c r="G507" s="114" t="s">
        <v>483</v>
      </c>
    </row>
    <row r="508" spans="1:7" ht="16.5" thickBot="1" x14ac:dyDescent="0.3">
      <c r="A508" s="113">
        <v>513112</v>
      </c>
      <c r="B508" s="58" t="s">
        <v>1</v>
      </c>
      <c r="C508" s="17">
        <v>221</v>
      </c>
      <c r="D508" s="91">
        <f>+C508*$D$1</f>
        <v>299.89999999999998</v>
      </c>
      <c r="E508" s="91">
        <f t="shared" si="36"/>
        <v>407.86399999999998</v>
      </c>
      <c r="F508" s="198">
        <v>550.1</v>
      </c>
      <c r="G508" s="114" t="s">
        <v>484</v>
      </c>
    </row>
    <row r="509" spans="1:7" ht="27.75" thickBot="1" x14ac:dyDescent="0.3">
      <c r="A509" s="113">
        <v>513114</v>
      </c>
      <c r="B509" s="58" t="s">
        <v>1</v>
      </c>
      <c r="C509" s="17">
        <v>221</v>
      </c>
      <c r="D509" s="91">
        <f>+C509*$D$1</f>
        <v>299.89999999999998</v>
      </c>
      <c r="E509" s="91">
        <f t="shared" si="36"/>
        <v>407.86399999999998</v>
      </c>
      <c r="F509" s="198">
        <v>550.1</v>
      </c>
      <c r="G509" s="114" t="s">
        <v>485</v>
      </c>
    </row>
    <row r="510" spans="1:7" ht="41.25" thickBot="1" x14ac:dyDescent="0.3">
      <c r="A510" s="113">
        <v>513115</v>
      </c>
      <c r="B510" s="58" t="s">
        <v>1</v>
      </c>
      <c r="C510" s="17">
        <v>221</v>
      </c>
      <c r="D510" s="91">
        <f>+C510*$D$1</f>
        <v>299.89999999999998</v>
      </c>
      <c r="E510" s="91">
        <f t="shared" si="36"/>
        <v>407.86399999999998</v>
      </c>
      <c r="F510" s="198">
        <v>550.1</v>
      </c>
      <c r="G510" s="114" t="s">
        <v>486</v>
      </c>
    </row>
    <row r="511" spans="1:7" ht="41.25" thickBot="1" x14ac:dyDescent="0.3">
      <c r="A511" s="113">
        <v>513121</v>
      </c>
      <c r="B511" s="58" t="s">
        <v>124</v>
      </c>
      <c r="C511" s="17">
        <v>300</v>
      </c>
      <c r="D511" s="91">
        <v>407</v>
      </c>
      <c r="E511" s="91">
        <v>553.54999999999995</v>
      </c>
      <c r="F511" s="198">
        <f t="shared" si="37"/>
        <v>747.29250000000002</v>
      </c>
      <c r="G511" s="114" t="s">
        <v>487</v>
      </c>
    </row>
    <row r="512" spans="1:7" ht="41.25" thickBot="1" x14ac:dyDescent="0.3">
      <c r="A512" s="113">
        <v>513122</v>
      </c>
      <c r="B512" s="58" t="s">
        <v>1</v>
      </c>
      <c r="C512" s="17">
        <v>221</v>
      </c>
      <c r="D512" s="91">
        <f>+C512*$D$1</f>
        <v>299.89999999999998</v>
      </c>
      <c r="E512" s="91">
        <f t="shared" si="36"/>
        <v>407.86399999999998</v>
      </c>
      <c r="F512" s="198">
        <v>550.1</v>
      </c>
      <c r="G512" s="114" t="s">
        <v>488</v>
      </c>
    </row>
    <row r="513" spans="1:7" ht="16.5" thickBot="1" x14ac:dyDescent="0.3">
      <c r="A513" s="113">
        <v>513123</v>
      </c>
      <c r="B513" s="58" t="s">
        <v>1</v>
      </c>
      <c r="C513" s="17">
        <v>221</v>
      </c>
      <c r="D513" s="91">
        <f>+C513*$D$1</f>
        <v>299.89999999999998</v>
      </c>
      <c r="E513" s="91">
        <f t="shared" si="36"/>
        <v>407.86399999999998</v>
      </c>
      <c r="F513" s="198">
        <v>550.1</v>
      </c>
      <c r="G513" s="114" t="s">
        <v>489</v>
      </c>
    </row>
    <row r="514" spans="1:7" ht="41.25" thickBot="1" x14ac:dyDescent="0.3">
      <c r="A514" s="113">
        <v>513129</v>
      </c>
      <c r="B514" s="58" t="s">
        <v>1</v>
      </c>
      <c r="C514" s="17">
        <v>221</v>
      </c>
      <c r="D514" s="91">
        <f>+C514*$D$1</f>
        <v>299.89999999999998</v>
      </c>
      <c r="E514" s="91">
        <f t="shared" si="36"/>
        <v>407.86399999999998</v>
      </c>
      <c r="F514" s="198">
        <v>550.1</v>
      </c>
      <c r="G514" s="114" t="s">
        <v>490</v>
      </c>
    </row>
    <row r="515" spans="1:7" ht="41.25" thickBot="1" x14ac:dyDescent="0.3">
      <c r="A515" s="113">
        <v>513130</v>
      </c>
      <c r="B515" s="58" t="s">
        <v>1</v>
      </c>
      <c r="C515" s="17">
        <v>221</v>
      </c>
      <c r="D515" s="91">
        <f>+C515*$D$1</f>
        <v>299.89999999999998</v>
      </c>
      <c r="E515" s="91">
        <f t="shared" si="36"/>
        <v>407.86399999999998</v>
      </c>
      <c r="F515" s="198">
        <v>550.1</v>
      </c>
      <c r="G515" s="114" t="s">
        <v>491</v>
      </c>
    </row>
    <row r="516" spans="1:7" ht="27.75" thickBot="1" x14ac:dyDescent="0.3">
      <c r="A516" s="113">
        <v>513141</v>
      </c>
      <c r="B516" s="58" t="s">
        <v>59</v>
      </c>
      <c r="C516" s="17">
        <v>300</v>
      </c>
      <c r="D516" s="91">
        <v>407</v>
      </c>
      <c r="E516" s="91">
        <v>553.54999999999995</v>
      </c>
      <c r="F516" s="198">
        <f t="shared" si="37"/>
        <v>747.29250000000002</v>
      </c>
      <c r="G516" s="114" t="s">
        <v>492</v>
      </c>
    </row>
    <row r="517" spans="1:7" ht="27.75" thickBot="1" x14ac:dyDescent="0.3">
      <c r="A517" s="113">
        <v>513149</v>
      </c>
      <c r="B517" s="58" t="s">
        <v>1</v>
      </c>
      <c r="C517" s="17">
        <v>221</v>
      </c>
      <c r="D517" s="91">
        <f>+C517*$D$1</f>
        <v>299.89999999999998</v>
      </c>
      <c r="E517" s="91">
        <f t="shared" si="36"/>
        <v>407.86399999999998</v>
      </c>
      <c r="F517" s="198">
        <v>550.1</v>
      </c>
      <c r="G517" s="114" t="s">
        <v>493</v>
      </c>
    </row>
    <row r="518" spans="1:7" ht="33" customHeight="1" thickBot="1" x14ac:dyDescent="0.3">
      <c r="A518" s="76" t="s">
        <v>494</v>
      </c>
      <c r="B518" s="79"/>
      <c r="C518" s="4"/>
      <c r="D518" s="46"/>
      <c r="E518" s="46"/>
      <c r="F518" s="46"/>
      <c r="G518" s="75"/>
    </row>
    <row r="519" spans="1:7" ht="27.75" thickBot="1" x14ac:dyDescent="0.3">
      <c r="A519" s="113">
        <v>513211.1</v>
      </c>
      <c r="B519" s="58" t="s">
        <v>1</v>
      </c>
      <c r="C519" s="17">
        <v>160</v>
      </c>
      <c r="D519" s="56">
        <v>218</v>
      </c>
      <c r="E519" s="56">
        <f t="shared" si="36"/>
        <v>296.48</v>
      </c>
      <c r="F519" s="198">
        <f t="shared" si="37"/>
        <v>400.24800000000005</v>
      </c>
      <c r="G519" s="114" t="s">
        <v>495</v>
      </c>
    </row>
    <row r="520" spans="1:7" ht="27.75" thickBot="1" x14ac:dyDescent="0.3">
      <c r="A520" s="113">
        <v>513211.2</v>
      </c>
      <c r="B520" s="58" t="s">
        <v>1</v>
      </c>
      <c r="C520" s="17">
        <v>160</v>
      </c>
      <c r="D520" s="91">
        <v>218</v>
      </c>
      <c r="E520" s="91">
        <f t="shared" si="36"/>
        <v>296.48</v>
      </c>
      <c r="F520" s="198">
        <f t="shared" si="37"/>
        <v>400.24800000000005</v>
      </c>
      <c r="G520" s="114" t="s">
        <v>496</v>
      </c>
    </row>
    <row r="521" spans="1:7" ht="27.75" thickBot="1" x14ac:dyDescent="0.3">
      <c r="A521" s="113">
        <v>513212</v>
      </c>
      <c r="B521" s="58" t="s">
        <v>1</v>
      </c>
      <c r="C521" s="17">
        <v>160</v>
      </c>
      <c r="D521" s="91">
        <v>218</v>
      </c>
      <c r="E521" s="91">
        <f t="shared" si="36"/>
        <v>296.48</v>
      </c>
      <c r="F521" s="198">
        <f t="shared" si="37"/>
        <v>400.24800000000005</v>
      </c>
      <c r="G521" s="114" t="s">
        <v>497</v>
      </c>
    </row>
    <row r="522" spans="1:7" ht="27.75" thickBot="1" x14ac:dyDescent="0.3">
      <c r="A522" s="113">
        <v>513221</v>
      </c>
      <c r="B522" s="58" t="s">
        <v>1</v>
      </c>
      <c r="C522" s="17">
        <v>160</v>
      </c>
      <c r="D522" s="91">
        <v>218</v>
      </c>
      <c r="E522" s="91">
        <f t="shared" si="36"/>
        <v>296.48</v>
      </c>
      <c r="F522" s="198">
        <f t="shared" si="37"/>
        <v>400.24800000000005</v>
      </c>
      <c r="G522" s="114" t="s">
        <v>498</v>
      </c>
    </row>
    <row r="523" spans="1:7" ht="41.25" thickBot="1" x14ac:dyDescent="0.3">
      <c r="A523" s="115">
        <v>513223</v>
      </c>
      <c r="B523" s="69" t="s">
        <v>59</v>
      </c>
      <c r="C523" s="20">
        <v>160</v>
      </c>
      <c r="D523" s="178">
        <v>218</v>
      </c>
      <c r="E523" s="178">
        <f t="shared" si="36"/>
        <v>296.48</v>
      </c>
      <c r="F523" s="199">
        <f t="shared" si="37"/>
        <v>400.24800000000005</v>
      </c>
      <c r="G523" s="116" t="s">
        <v>499</v>
      </c>
    </row>
    <row r="524" spans="1:7" ht="16.5" x14ac:dyDescent="0.25">
      <c r="A524" s="231" t="s">
        <v>1021</v>
      </c>
      <c r="B524" s="44"/>
      <c r="C524" s="44"/>
      <c r="D524" s="44"/>
      <c r="E524" s="44"/>
      <c r="F524" s="44"/>
      <c r="G524" s="217"/>
    </row>
    <row r="525" spans="1:7" ht="17.25" thickBot="1" x14ac:dyDescent="0.3">
      <c r="A525" s="232" t="s">
        <v>1022</v>
      </c>
      <c r="B525" s="185"/>
      <c r="C525" s="186"/>
      <c r="D525" s="185"/>
      <c r="E525" s="185"/>
      <c r="F525" s="185"/>
      <c r="G525" s="187"/>
    </row>
    <row r="526" spans="1:7" ht="41.25" thickBot="1" x14ac:dyDescent="0.3">
      <c r="A526" s="184">
        <v>513310.1</v>
      </c>
      <c r="B526" s="58" t="s">
        <v>1</v>
      </c>
      <c r="C526" s="6">
        <v>394</v>
      </c>
      <c r="D526" s="94">
        <v>530</v>
      </c>
      <c r="E526" s="94">
        <v>721.5</v>
      </c>
      <c r="F526" s="202">
        <f t="shared" si="37"/>
        <v>974.02500000000009</v>
      </c>
      <c r="G526" s="114" t="s">
        <v>500</v>
      </c>
    </row>
    <row r="527" spans="1:7" ht="41.25" thickBot="1" x14ac:dyDescent="0.3">
      <c r="A527" s="113">
        <v>513381</v>
      </c>
      <c r="B527" s="58" t="s">
        <v>124</v>
      </c>
      <c r="C527" s="6">
        <v>394</v>
      </c>
      <c r="D527" s="94">
        <v>530</v>
      </c>
      <c r="E527" s="94">
        <v>721.5</v>
      </c>
      <c r="F527" s="202">
        <f t="shared" si="37"/>
        <v>974.02500000000009</v>
      </c>
      <c r="G527" s="97" t="s">
        <v>501</v>
      </c>
    </row>
    <row r="528" spans="1:7" ht="68.25" thickBot="1" x14ac:dyDescent="0.3">
      <c r="A528" s="113">
        <v>515160</v>
      </c>
      <c r="B528" s="58" t="s">
        <v>124</v>
      </c>
      <c r="C528" s="6">
        <v>394</v>
      </c>
      <c r="D528" s="94">
        <v>530</v>
      </c>
      <c r="E528" s="94">
        <v>721.5</v>
      </c>
      <c r="F528" s="202">
        <f t="shared" si="37"/>
        <v>974.02500000000009</v>
      </c>
      <c r="G528" s="97" t="s">
        <v>502</v>
      </c>
    </row>
    <row r="529" spans="1:7" ht="41.25" thickBot="1" x14ac:dyDescent="0.3">
      <c r="A529" s="113">
        <v>514110.1</v>
      </c>
      <c r="B529" s="58" t="s">
        <v>124</v>
      </c>
      <c r="C529" s="6">
        <v>394</v>
      </c>
      <c r="D529" s="94">
        <v>530</v>
      </c>
      <c r="E529" s="94">
        <v>721.5</v>
      </c>
      <c r="F529" s="202">
        <f t="shared" si="37"/>
        <v>974.02500000000009</v>
      </c>
      <c r="G529" s="97" t="s">
        <v>503</v>
      </c>
    </row>
    <row r="530" spans="1:7" ht="41.25" thickBot="1" x14ac:dyDescent="0.3">
      <c r="A530" s="113">
        <v>514110.2</v>
      </c>
      <c r="B530" s="58" t="s">
        <v>130</v>
      </c>
      <c r="C530" s="6">
        <v>394</v>
      </c>
      <c r="D530" s="94">
        <v>530</v>
      </c>
      <c r="E530" s="94">
        <v>721.5</v>
      </c>
      <c r="F530" s="202">
        <f t="shared" si="37"/>
        <v>974.02500000000009</v>
      </c>
      <c r="G530" s="97" t="s">
        <v>504</v>
      </c>
    </row>
    <row r="531" spans="1:7" ht="54.75" thickBot="1" x14ac:dyDescent="0.3">
      <c r="A531" s="113">
        <v>514191</v>
      </c>
      <c r="B531" s="58" t="s">
        <v>124</v>
      </c>
      <c r="C531" s="6">
        <v>221</v>
      </c>
      <c r="D531" s="94">
        <f>+C531*$D$1</f>
        <v>299.89999999999998</v>
      </c>
      <c r="E531" s="94">
        <f t="shared" si="36"/>
        <v>407.86399999999998</v>
      </c>
      <c r="F531" s="202">
        <v>550.1</v>
      </c>
      <c r="G531" s="97" t="s">
        <v>505</v>
      </c>
    </row>
    <row r="532" spans="1:7" ht="54.75" thickBot="1" x14ac:dyDescent="0.3">
      <c r="A532" s="113">
        <v>514199.1</v>
      </c>
      <c r="B532" s="58" t="s">
        <v>124</v>
      </c>
      <c r="C532" s="6">
        <v>394</v>
      </c>
      <c r="D532" s="94">
        <v>530</v>
      </c>
      <c r="E532" s="94">
        <v>721.5</v>
      </c>
      <c r="F532" s="202">
        <f t="shared" si="37"/>
        <v>974.02500000000009</v>
      </c>
      <c r="G532" s="97" t="s">
        <v>506</v>
      </c>
    </row>
    <row r="533" spans="1:7" ht="41.25" thickBot="1" x14ac:dyDescent="0.3">
      <c r="A533" s="113">
        <v>514199.2</v>
      </c>
      <c r="B533" s="58" t="s">
        <v>1</v>
      </c>
      <c r="C533" s="6">
        <v>221</v>
      </c>
      <c r="D533" s="94">
        <f>+C533*$D$1</f>
        <v>299.89999999999998</v>
      </c>
      <c r="E533" s="94">
        <f t="shared" si="36"/>
        <v>407.86399999999998</v>
      </c>
      <c r="F533" s="202">
        <v>550.1</v>
      </c>
      <c r="G533" s="97" t="s">
        <v>507</v>
      </c>
    </row>
    <row r="534" spans="1:7" ht="27.75" thickBot="1" x14ac:dyDescent="0.3">
      <c r="A534" s="113">
        <v>514931</v>
      </c>
      <c r="B534" s="58" t="s">
        <v>59</v>
      </c>
      <c r="C534" s="6">
        <v>221</v>
      </c>
      <c r="D534" s="94">
        <f>+C534*$D$1</f>
        <v>299.89999999999998</v>
      </c>
      <c r="E534" s="94">
        <f t="shared" si="36"/>
        <v>407.86399999999998</v>
      </c>
      <c r="F534" s="202">
        <v>550.1</v>
      </c>
      <c r="G534" s="97" t="s">
        <v>508</v>
      </c>
    </row>
    <row r="535" spans="1:7" ht="27.75" thickBot="1" x14ac:dyDescent="0.3">
      <c r="A535" s="113">
        <v>514932</v>
      </c>
      <c r="B535" s="58" t="s">
        <v>59</v>
      </c>
      <c r="C535" s="6">
        <v>160</v>
      </c>
      <c r="D535" s="94">
        <v>218</v>
      </c>
      <c r="E535" s="94">
        <f t="shared" si="36"/>
        <v>296.48</v>
      </c>
      <c r="F535" s="202">
        <f t="shared" si="37"/>
        <v>400.24800000000005</v>
      </c>
      <c r="G535" s="97" t="s">
        <v>509</v>
      </c>
    </row>
    <row r="536" spans="1:7" ht="27.75" thickBot="1" x14ac:dyDescent="0.3">
      <c r="A536" s="113">
        <v>514933</v>
      </c>
      <c r="B536" s="58" t="s">
        <v>59</v>
      </c>
      <c r="C536" s="6">
        <v>160</v>
      </c>
      <c r="D536" s="94">
        <v>218</v>
      </c>
      <c r="E536" s="94">
        <f t="shared" si="36"/>
        <v>296.48</v>
      </c>
      <c r="F536" s="202">
        <f t="shared" si="37"/>
        <v>400.24800000000005</v>
      </c>
      <c r="G536" s="97" t="s">
        <v>510</v>
      </c>
    </row>
    <row r="537" spans="1:7" ht="54.75" thickBot="1" x14ac:dyDescent="0.3">
      <c r="A537" s="113">
        <v>514990</v>
      </c>
      <c r="B537" s="58" t="s">
        <v>1</v>
      </c>
      <c r="C537" s="6">
        <v>394</v>
      </c>
      <c r="D537" s="94">
        <v>530</v>
      </c>
      <c r="E537" s="94">
        <v>721.5</v>
      </c>
      <c r="F537" s="202">
        <f t="shared" si="37"/>
        <v>974.02500000000009</v>
      </c>
      <c r="G537" s="97" t="s">
        <v>511</v>
      </c>
    </row>
    <row r="538" spans="1:7" ht="17.25" thickBot="1" x14ac:dyDescent="0.3">
      <c r="A538" s="119" t="s">
        <v>512</v>
      </c>
      <c r="B538" s="79"/>
      <c r="C538" s="4"/>
      <c r="D538" s="46"/>
      <c r="E538" s="46"/>
      <c r="F538" s="46"/>
      <c r="G538" s="75"/>
    </row>
    <row r="539" spans="1:7" ht="54.75" thickBot="1" x14ac:dyDescent="0.3">
      <c r="A539" s="113">
        <v>513916</v>
      </c>
      <c r="B539" s="58" t="s">
        <v>1</v>
      </c>
      <c r="C539" s="17">
        <v>221</v>
      </c>
      <c r="D539" s="56">
        <f>+C539*$D$1</f>
        <v>299.89999999999998</v>
      </c>
      <c r="E539" s="56">
        <f t="shared" si="36"/>
        <v>407.86399999999998</v>
      </c>
      <c r="F539" s="198">
        <v>550.1</v>
      </c>
      <c r="G539" s="114" t="s">
        <v>513</v>
      </c>
    </row>
    <row r="540" spans="1:7" ht="27.75" thickBot="1" x14ac:dyDescent="0.3">
      <c r="A540" s="113">
        <v>513917</v>
      </c>
      <c r="B540" s="58" t="s">
        <v>1</v>
      </c>
      <c r="C540" s="17">
        <v>221</v>
      </c>
      <c r="D540" s="91">
        <f>+C540*$D$1</f>
        <v>299.89999999999998</v>
      </c>
      <c r="E540" s="91">
        <f t="shared" si="36"/>
        <v>407.86399999999998</v>
      </c>
      <c r="F540" s="198">
        <v>550.1</v>
      </c>
      <c r="G540" s="114" t="s">
        <v>514</v>
      </c>
    </row>
    <row r="541" spans="1:7" ht="27.75" thickBot="1" x14ac:dyDescent="0.3">
      <c r="A541" s="113">
        <v>513918</v>
      </c>
      <c r="B541" s="58" t="s">
        <v>1</v>
      </c>
      <c r="C541" s="17">
        <v>221</v>
      </c>
      <c r="D541" s="91">
        <f>+C541*$D$1</f>
        <v>299.89999999999998</v>
      </c>
      <c r="E541" s="91">
        <f t="shared" si="36"/>
        <v>407.86399999999998</v>
      </c>
      <c r="F541" s="198">
        <v>550.1</v>
      </c>
      <c r="G541" s="114" t="s">
        <v>515</v>
      </c>
    </row>
    <row r="542" spans="1:7" ht="17.25" thickBot="1" x14ac:dyDescent="0.3">
      <c r="A542" s="120" t="s">
        <v>516</v>
      </c>
      <c r="B542" s="79"/>
      <c r="C542" s="4"/>
      <c r="D542" s="46"/>
      <c r="E542" s="46"/>
      <c r="F542" s="46"/>
      <c r="G542" s="75"/>
    </row>
    <row r="543" spans="1:7" ht="41.25" thickBot="1" x14ac:dyDescent="0.3">
      <c r="A543" s="113">
        <v>513320</v>
      </c>
      <c r="B543" s="58" t="s">
        <v>124</v>
      </c>
      <c r="C543" s="17">
        <v>221</v>
      </c>
      <c r="D543" s="56">
        <f>+C543*$D$1</f>
        <v>299.89999999999998</v>
      </c>
      <c r="E543" s="56">
        <f t="shared" ref="E543:E603" si="38">+D543*1.36</f>
        <v>407.86399999999998</v>
      </c>
      <c r="F543" s="198">
        <v>550.1</v>
      </c>
      <c r="G543" s="114" t="s">
        <v>517</v>
      </c>
    </row>
    <row r="544" spans="1:7" ht="41.25" thickBot="1" x14ac:dyDescent="0.3">
      <c r="A544" s="113">
        <v>513410</v>
      </c>
      <c r="B544" s="58" t="s">
        <v>1</v>
      </c>
      <c r="C544" s="17">
        <v>221</v>
      </c>
      <c r="D544" s="91">
        <f>+C544*$D$1</f>
        <v>299.89999999999998</v>
      </c>
      <c r="E544" s="91">
        <f t="shared" si="38"/>
        <v>407.86399999999998</v>
      </c>
      <c r="F544" s="198">
        <v>550.1</v>
      </c>
      <c r="G544" s="114" t="s">
        <v>518</v>
      </c>
    </row>
    <row r="545" spans="1:7" ht="27.75" thickBot="1" x14ac:dyDescent="0.3">
      <c r="A545" s="113">
        <v>513420</v>
      </c>
      <c r="B545" s="58" t="s">
        <v>427</v>
      </c>
      <c r="C545" s="17">
        <v>494</v>
      </c>
      <c r="D545" s="91">
        <v>670</v>
      </c>
      <c r="E545" s="91">
        <v>911.5</v>
      </c>
      <c r="F545" s="198">
        <f t="shared" ref="F545:F601" si="39">+E545*$F$1</f>
        <v>1230.5250000000001</v>
      </c>
      <c r="G545" s="114" t="s">
        <v>519</v>
      </c>
    </row>
    <row r="546" spans="1:7" ht="27.75" thickBot="1" x14ac:dyDescent="0.3">
      <c r="A546" s="113">
        <v>513532</v>
      </c>
      <c r="B546" s="58" t="s">
        <v>1</v>
      </c>
      <c r="C546" s="17">
        <v>221</v>
      </c>
      <c r="D546" s="91">
        <f>+C546*$D$1</f>
        <v>299.89999999999998</v>
      </c>
      <c r="E546" s="91">
        <f t="shared" si="38"/>
        <v>407.86399999999998</v>
      </c>
      <c r="F546" s="198">
        <v>550.1</v>
      </c>
      <c r="G546" s="114" t="s">
        <v>520</v>
      </c>
    </row>
    <row r="547" spans="1:7" ht="27.75" thickBot="1" x14ac:dyDescent="0.3">
      <c r="A547" s="113">
        <v>513551.1</v>
      </c>
      <c r="B547" s="58" t="s">
        <v>1</v>
      </c>
      <c r="C547" s="17">
        <v>221</v>
      </c>
      <c r="D547" s="91">
        <f>+C547*$D$1</f>
        <v>299.89999999999998</v>
      </c>
      <c r="E547" s="91">
        <f t="shared" si="38"/>
        <v>407.86399999999998</v>
      </c>
      <c r="F547" s="198">
        <v>550.1</v>
      </c>
      <c r="G547" s="114" t="s">
        <v>521</v>
      </c>
    </row>
    <row r="548" spans="1:7" ht="41.25" thickBot="1" x14ac:dyDescent="0.3">
      <c r="A548" s="113">
        <v>513551.2</v>
      </c>
      <c r="B548" s="58" t="s">
        <v>59</v>
      </c>
      <c r="C548" s="17">
        <v>290</v>
      </c>
      <c r="D548" s="91">
        <v>394</v>
      </c>
      <c r="E548" s="91">
        <v>536</v>
      </c>
      <c r="F548" s="198">
        <f t="shared" si="39"/>
        <v>723.6</v>
      </c>
      <c r="G548" s="114" t="s">
        <v>522</v>
      </c>
    </row>
    <row r="549" spans="1:7" ht="54.75" thickBot="1" x14ac:dyDescent="0.3">
      <c r="A549" s="113">
        <v>513552</v>
      </c>
      <c r="B549" s="58" t="s">
        <v>1</v>
      </c>
      <c r="C549" s="17">
        <v>221</v>
      </c>
      <c r="D549" s="91">
        <f t="shared" ref="D549:D560" si="40">+C549*$D$1</f>
        <v>299.89999999999998</v>
      </c>
      <c r="E549" s="91">
        <f t="shared" si="38"/>
        <v>407.86399999999998</v>
      </c>
      <c r="F549" s="198">
        <v>550.1</v>
      </c>
      <c r="G549" s="114" t="s">
        <v>523</v>
      </c>
    </row>
    <row r="550" spans="1:7" ht="41.25" thickBot="1" x14ac:dyDescent="0.3">
      <c r="A550" s="113">
        <v>513910</v>
      </c>
      <c r="B550" s="58" t="s">
        <v>1</v>
      </c>
      <c r="C550" s="17">
        <v>221</v>
      </c>
      <c r="D550" s="91">
        <f t="shared" si="40"/>
        <v>299.89999999999998</v>
      </c>
      <c r="E550" s="91">
        <f t="shared" si="38"/>
        <v>407.86399999999998</v>
      </c>
      <c r="F550" s="198">
        <v>550.1</v>
      </c>
      <c r="G550" s="114" t="s">
        <v>524</v>
      </c>
    </row>
    <row r="551" spans="1:7" ht="41.25" thickBot="1" x14ac:dyDescent="0.3">
      <c r="A551" s="113">
        <v>513920</v>
      </c>
      <c r="B551" s="58" t="s">
        <v>1</v>
      </c>
      <c r="C551" s="17">
        <v>221</v>
      </c>
      <c r="D551" s="91">
        <f t="shared" si="40"/>
        <v>299.89999999999998</v>
      </c>
      <c r="E551" s="91">
        <f t="shared" si="38"/>
        <v>407.86399999999998</v>
      </c>
      <c r="F551" s="198">
        <v>550.1</v>
      </c>
      <c r="G551" s="114" t="s">
        <v>525</v>
      </c>
    </row>
    <row r="552" spans="1:7" ht="41.25" thickBot="1" x14ac:dyDescent="0.3">
      <c r="A552" s="113">
        <v>513930</v>
      </c>
      <c r="B552" s="58" t="s">
        <v>124</v>
      </c>
      <c r="C552" s="17">
        <v>221</v>
      </c>
      <c r="D552" s="91">
        <f t="shared" si="40"/>
        <v>299.89999999999998</v>
      </c>
      <c r="E552" s="91">
        <f t="shared" si="38"/>
        <v>407.86399999999998</v>
      </c>
      <c r="F552" s="198">
        <v>550.1</v>
      </c>
      <c r="G552" s="114" t="s">
        <v>526</v>
      </c>
    </row>
    <row r="553" spans="1:7" ht="41.25" thickBot="1" x14ac:dyDescent="0.3">
      <c r="A553" s="113">
        <v>513940</v>
      </c>
      <c r="B553" s="58" t="s">
        <v>1</v>
      </c>
      <c r="C553" s="17">
        <v>221</v>
      </c>
      <c r="D553" s="91">
        <f t="shared" si="40"/>
        <v>299.89999999999998</v>
      </c>
      <c r="E553" s="91">
        <f t="shared" si="38"/>
        <v>407.86399999999998</v>
      </c>
      <c r="F553" s="198">
        <v>550.1</v>
      </c>
      <c r="G553" s="114" t="s">
        <v>527</v>
      </c>
    </row>
    <row r="554" spans="1:7" ht="68.25" thickBot="1" x14ac:dyDescent="0.3">
      <c r="A554" s="113">
        <v>513950</v>
      </c>
      <c r="B554" s="58" t="s">
        <v>1</v>
      </c>
      <c r="C554" s="17">
        <v>221</v>
      </c>
      <c r="D554" s="91">
        <f t="shared" si="40"/>
        <v>299.89999999999998</v>
      </c>
      <c r="E554" s="91">
        <f t="shared" si="38"/>
        <v>407.86399999999998</v>
      </c>
      <c r="F554" s="198">
        <v>550.1</v>
      </c>
      <c r="G554" s="114" t="s">
        <v>528</v>
      </c>
    </row>
    <row r="555" spans="1:7" ht="41.25" thickBot="1" x14ac:dyDescent="0.3">
      <c r="A555" s="113">
        <v>513992</v>
      </c>
      <c r="B555" s="58" t="s">
        <v>1</v>
      </c>
      <c r="C555" s="17">
        <v>221</v>
      </c>
      <c r="D555" s="91">
        <f t="shared" si="40"/>
        <v>299.89999999999998</v>
      </c>
      <c r="E555" s="91">
        <f t="shared" si="38"/>
        <v>407.86399999999998</v>
      </c>
      <c r="F555" s="198">
        <v>550.1</v>
      </c>
      <c r="G555" s="114" t="s">
        <v>529</v>
      </c>
    </row>
    <row r="556" spans="1:7" ht="41.25" thickBot="1" x14ac:dyDescent="0.3">
      <c r="A556" s="113">
        <v>513999.1</v>
      </c>
      <c r="B556" s="58" t="s">
        <v>1</v>
      </c>
      <c r="C556" s="17">
        <v>221</v>
      </c>
      <c r="D556" s="91">
        <f t="shared" si="40"/>
        <v>299.89999999999998</v>
      </c>
      <c r="E556" s="91">
        <f t="shared" si="38"/>
        <v>407.86399999999998</v>
      </c>
      <c r="F556" s="198">
        <v>550.1</v>
      </c>
      <c r="G556" s="114" t="s">
        <v>530</v>
      </c>
    </row>
    <row r="557" spans="1:7" ht="41.25" thickBot="1" x14ac:dyDescent="0.3">
      <c r="A557" s="113">
        <v>513999.2</v>
      </c>
      <c r="B557" s="58" t="s">
        <v>1</v>
      </c>
      <c r="C557" s="17">
        <v>221</v>
      </c>
      <c r="D557" s="91">
        <f t="shared" si="40"/>
        <v>299.89999999999998</v>
      </c>
      <c r="E557" s="91">
        <f t="shared" si="38"/>
        <v>407.86399999999998</v>
      </c>
      <c r="F557" s="198">
        <v>550.1</v>
      </c>
      <c r="G557" s="114" t="s">
        <v>531</v>
      </c>
    </row>
    <row r="558" spans="1:7" ht="54.75" thickBot="1" x14ac:dyDescent="0.3">
      <c r="A558" s="113">
        <v>513999.3</v>
      </c>
      <c r="B558" s="58" t="s">
        <v>59</v>
      </c>
      <c r="C558" s="17">
        <v>221</v>
      </c>
      <c r="D558" s="91">
        <f t="shared" si="40"/>
        <v>299.89999999999998</v>
      </c>
      <c r="E558" s="91">
        <f t="shared" si="38"/>
        <v>407.86399999999998</v>
      </c>
      <c r="F558" s="198">
        <v>550.1</v>
      </c>
      <c r="G558" s="114" t="s">
        <v>532</v>
      </c>
    </row>
    <row r="559" spans="1:7" ht="27.75" thickBot="1" x14ac:dyDescent="0.3">
      <c r="A559" s="113">
        <v>513999.4</v>
      </c>
      <c r="B559" s="58" t="s">
        <v>59</v>
      </c>
      <c r="C559" s="17">
        <v>221</v>
      </c>
      <c r="D559" s="91">
        <f t="shared" si="40"/>
        <v>299.89999999999998</v>
      </c>
      <c r="E559" s="91">
        <f t="shared" si="38"/>
        <v>407.86399999999998</v>
      </c>
      <c r="F559" s="198">
        <v>550.1</v>
      </c>
      <c r="G559" s="114" t="s">
        <v>533</v>
      </c>
    </row>
    <row r="560" spans="1:7" ht="27.75" thickBot="1" x14ac:dyDescent="0.3">
      <c r="A560" s="113">
        <v>513999.5</v>
      </c>
      <c r="B560" s="58" t="s">
        <v>1</v>
      </c>
      <c r="C560" s="17">
        <v>221</v>
      </c>
      <c r="D560" s="91">
        <f t="shared" si="40"/>
        <v>299.89999999999998</v>
      </c>
      <c r="E560" s="91">
        <f t="shared" si="38"/>
        <v>407.86399999999998</v>
      </c>
      <c r="F560" s="198">
        <v>550.1</v>
      </c>
      <c r="G560" s="114" t="s">
        <v>534</v>
      </c>
    </row>
    <row r="561" spans="1:7" ht="27.75" thickBot="1" x14ac:dyDescent="0.3">
      <c r="A561" s="113">
        <v>513999.6</v>
      </c>
      <c r="B561" s="58" t="s">
        <v>59</v>
      </c>
      <c r="C561" s="17">
        <v>358</v>
      </c>
      <c r="D561" s="91">
        <v>485</v>
      </c>
      <c r="E561" s="91">
        <v>659.8</v>
      </c>
      <c r="F561" s="198">
        <f t="shared" si="39"/>
        <v>890.73</v>
      </c>
      <c r="G561" s="114" t="s">
        <v>535</v>
      </c>
    </row>
    <row r="562" spans="1:7" ht="54.75" thickBot="1" x14ac:dyDescent="0.3">
      <c r="A562" s="113">
        <v>515150</v>
      </c>
      <c r="B562" s="58" t="s">
        <v>1</v>
      </c>
      <c r="C562" s="17">
        <v>221</v>
      </c>
      <c r="D562" s="91">
        <f>+C562*$D$1</f>
        <v>299.89999999999998</v>
      </c>
      <c r="E562" s="91">
        <f t="shared" si="38"/>
        <v>407.86399999999998</v>
      </c>
      <c r="F562" s="198">
        <v>550.1</v>
      </c>
      <c r="G562" s="114" t="s">
        <v>536</v>
      </c>
    </row>
    <row r="563" spans="1:7" ht="41.25" thickBot="1" x14ac:dyDescent="0.3">
      <c r="A563" s="113">
        <v>515420</v>
      </c>
      <c r="B563" s="58" t="s">
        <v>1</v>
      </c>
      <c r="C563" s="17">
        <v>221</v>
      </c>
      <c r="D563" s="91">
        <f>+C563*$D$1</f>
        <v>299.89999999999998</v>
      </c>
      <c r="E563" s="91">
        <f t="shared" si="38"/>
        <v>407.86399999999998</v>
      </c>
      <c r="F563" s="198">
        <v>550.1</v>
      </c>
      <c r="G563" s="114" t="s">
        <v>537</v>
      </c>
    </row>
    <row r="564" spans="1:7" ht="17.25" thickBot="1" x14ac:dyDescent="0.3">
      <c r="A564" s="76" t="s">
        <v>538</v>
      </c>
      <c r="B564" s="79"/>
      <c r="C564" s="4"/>
      <c r="D564" s="46"/>
      <c r="E564" s="46"/>
      <c r="F564" s="46"/>
      <c r="G564" s="75"/>
    </row>
    <row r="565" spans="1:7" ht="27.75" thickBot="1" x14ac:dyDescent="0.3">
      <c r="A565" s="113">
        <v>513531</v>
      </c>
      <c r="B565" s="58" t="s">
        <v>59</v>
      </c>
      <c r="C565" s="17">
        <v>221</v>
      </c>
      <c r="D565" s="56">
        <f t="shared" ref="D565:D574" si="41">+C565*$D$1</f>
        <v>299.89999999999998</v>
      </c>
      <c r="E565" s="56">
        <f t="shared" si="38"/>
        <v>407.86399999999998</v>
      </c>
      <c r="F565" s="198">
        <v>550.1</v>
      </c>
      <c r="G565" s="114" t="s">
        <v>539</v>
      </c>
    </row>
    <row r="566" spans="1:7" ht="41.25" thickBot="1" x14ac:dyDescent="0.3">
      <c r="A566" s="113">
        <v>514310</v>
      </c>
      <c r="B566" s="58" t="s">
        <v>59</v>
      </c>
      <c r="C566" s="17">
        <v>221</v>
      </c>
      <c r="D566" s="91">
        <f t="shared" si="41"/>
        <v>299.89999999999998</v>
      </c>
      <c r="E566" s="91">
        <f t="shared" si="38"/>
        <v>407.86399999999998</v>
      </c>
      <c r="F566" s="198">
        <v>550.1</v>
      </c>
      <c r="G566" s="114" t="s">
        <v>540</v>
      </c>
    </row>
    <row r="567" spans="1:7" ht="41.25" thickBot="1" x14ac:dyDescent="0.3">
      <c r="A567" s="113">
        <v>514320</v>
      </c>
      <c r="B567" s="58" t="s">
        <v>59</v>
      </c>
      <c r="C567" s="17">
        <v>221</v>
      </c>
      <c r="D567" s="91">
        <f t="shared" si="41"/>
        <v>299.89999999999998</v>
      </c>
      <c r="E567" s="91">
        <f t="shared" si="38"/>
        <v>407.86399999999998</v>
      </c>
      <c r="F567" s="198">
        <v>550.1</v>
      </c>
      <c r="G567" s="114" t="s">
        <v>541</v>
      </c>
    </row>
    <row r="568" spans="1:7" ht="27.75" thickBot="1" x14ac:dyDescent="0.3">
      <c r="A568" s="113">
        <v>514330</v>
      </c>
      <c r="B568" s="58" t="s">
        <v>59</v>
      </c>
      <c r="C568" s="17">
        <v>221</v>
      </c>
      <c r="D568" s="91">
        <f t="shared" si="41"/>
        <v>299.89999999999998</v>
      </c>
      <c r="E568" s="91">
        <f t="shared" si="38"/>
        <v>407.86399999999998</v>
      </c>
      <c r="F568" s="198">
        <v>550.1</v>
      </c>
      <c r="G568" s="114" t="s">
        <v>542</v>
      </c>
    </row>
    <row r="569" spans="1:7" ht="41.25" thickBot="1" x14ac:dyDescent="0.3">
      <c r="A569" s="113">
        <v>514340</v>
      </c>
      <c r="B569" s="58" t="s">
        <v>59</v>
      </c>
      <c r="C569" s="17">
        <v>221</v>
      </c>
      <c r="D569" s="91">
        <f t="shared" si="41"/>
        <v>299.89999999999998</v>
      </c>
      <c r="E569" s="91">
        <f t="shared" si="38"/>
        <v>407.86399999999998</v>
      </c>
      <c r="F569" s="198">
        <v>550.1</v>
      </c>
      <c r="G569" s="114" t="s">
        <v>543</v>
      </c>
    </row>
    <row r="570" spans="1:7" ht="27.75" thickBot="1" x14ac:dyDescent="0.3">
      <c r="A570" s="113">
        <v>514350</v>
      </c>
      <c r="B570" s="58" t="s">
        <v>59</v>
      </c>
      <c r="C570" s="17">
        <v>221</v>
      </c>
      <c r="D570" s="91">
        <f t="shared" si="41"/>
        <v>299.89999999999998</v>
      </c>
      <c r="E570" s="91">
        <f t="shared" si="38"/>
        <v>407.86399999999998</v>
      </c>
      <c r="F570" s="198">
        <v>550.1</v>
      </c>
      <c r="G570" s="114" t="s">
        <v>544</v>
      </c>
    </row>
    <row r="571" spans="1:7" ht="68.25" thickBot="1" x14ac:dyDescent="0.3">
      <c r="A571" s="113">
        <v>514391</v>
      </c>
      <c r="B571" s="58" t="s">
        <v>59</v>
      </c>
      <c r="C571" s="17">
        <v>221</v>
      </c>
      <c r="D571" s="91">
        <f t="shared" si="41"/>
        <v>299.89999999999998</v>
      </c>
      <c r="E571" s="91">
        <f t="shared" si="38"/>
        <v>407.86399999999998</v>
      </c>
      <c r="F571" s="198">
        <v>550.1</v>
      </c>
      <c r="G571" s="114" t="s">
        <v>545</v>
      </c>
    </row>
    <row r="572" spans="1:7" ht="41.25" thickBot="1" x14ac:dyDescent="0.3">
      <c r="A572" s="113">
        <v>514392</v>
      </c>
      <c r="B572" s="58" t="s">
        <v>59</v>
      </c>
      <c r="C572" s="17">
        <v>221</v>
      </c>
      <c r="D572" s="91">
        <f t="shared" si="41"/>
        <v>299.89999999999998</v>
      </c>
      <c r="E572" s="91">
        <f t="shared" si="38"/>
        <v>407.86399999999998</v>
      </c>
      <c r="F572" s="198">
        <v>550.1</v>
      </c>
      <c r="G572" s="114" t="s">
        <v>546</v>
      </c>
    </row>
    <row r="573" spans="1:7" ht="54.75" thickBot="1" x14ac:dyDescent="0.3">
      <c r="A573" s="113">
        <v>514399.1</v>
      </c>
      <c r="B573" s="58" t="s">
        <v>59</v>
      </c>
      <c r="C573" s="17">
        <v>221</v>
      </c>
      <c r="D573" s="91">
        <f t="shared" si="41"/>
        <v>299.89999999999998</v>
      </c>
      <c r="E573" s="91">
        <f t="shared" si="38"/>
        <v>407.86399999999998</v>
      </c>
      <c r="F573" s="198">
        <v>550.1</v>
      </c>
      <c r="G573" s="114" t="s">
        <v>547</v>
      </c>
    </row>
    <row r="574" spans="1:7" ht="41.25" thickBot="1" x14ac:dyDescent="0.3">
      <c r="A574" s="113">
        <v>514399.2</v>
      </c>
      <c r="B574" s="58" t="s">
        <v>59</v>
      </c>
      <c r="C574" s="17">
        <v>221</v>
      </c>
      <c r="D574" s="91">
        <f t="shared" si="41"/>
        <v>299.89999999999998</v>
      </c>
      <c r="E574" s="91">
        <f t="shared" si="38"/>
        <v>407.86399999999998</v>
      </c>
      <c r="F574" s="198">
        <v>550.1</v>
      </c>
      <c r="G574" s="114" t="s">
        <v>548</v>
      </c>
    </row>
    <row r="575" spans="1:7" ht="17.25" customHeight="1" thickBot="1" x14ac:dyDescent="0.3">
      <c r="A575" s="120" t="s">
        <v>549</v>
      </c>
      <c r="B575" s="79"/>
      <c r="C575" s="4"/>
      <c r="D575" s="46"/>
      <c r="E575" s="46"/>
      <c r="F575" s="46"/>
      <c r="G575" s="75"/>
    </row>
    <row r="576" spans="1:7" ht="68.25" thickBot="1" x14ac:dyDescent="0.3">
      <c r="A576" s="113">
        <v>515110</v>
      </c>
      <c r="B576" s="58" t="s">
        <v>59</v>
      </c>
      <c r="C576" s="17">
        <v>221</v>
      </c>
      <c r="D576" s="56">
        <f>+C576*$D$1</f>
        <v>299.89999999999998</v>
      </c>
      <c r="E576" s="56">
        <f t="shared" si="38"/>
        <v>407.86399999999998</v>
      </c>
      <c r="F576" s="198">
        <v>550.1</v>
      </c>
      <c r="G576" s="114" t="s">
        <v>550</v>
      </c>
    </row>
    <row r="577" spans="1:7" ht="54.75" thickBot="1" x14ac:dyDescent="0.3">
      <c r="A577" s="113">
        <v>515921</v>
      </c>
      <c r="B577" s="58" t="s">
        <v>59</v>
      </c>
      <c r="C577" s="17">
        <v>221</v>
      </c>
      <c r="D577" s="91">
        <f>+C577*$D$1</f>
        <v>299.89999999999998</v>
      </c>
      <c r="E577" s="91">
        <f t="shared" si="38"/>
        <v>407.86399999999998</v>
      </c>
      <c r="F577" s="198">
        <v>550.1</v>
      </c>
      <c r="G577" s="114" t="s">
        <v>551</v>
      </c>
    </row>
    <row r="578" spans="1:7" ht="17.25" thickBot="1" x14ac:dyDescent="0.3">
      <c r="A578" s="76" t="s">
        <v>552</v>
      </c>
      <c r="B578" s="79"/>
      <c r="C578" s="4"/>
      <c r="D578" s="46"/>
      <c r="E578" s="46"/>
      <c r="F578" s="46"/>
      <c r="G578" s="75"/>
    </row>
    <row r="579" spans="1:7" ht="27.75" thickBot="1" x14ac:dyDescent="0.3">
      <c r="A579" s="113">
        <v>501110.2</v>
      </c>
      <c r="B579" s="58" t="s">
        <v>393</v>
      </c>
      <c r="C579" s="17">
        <v>358</v>
      </c>
      <c r="D579" s="56">
        <v>485</v>
      </c>
      <c r="E579" s="56">
        <v>659.8</v>
      </c>
      <c r="F579" s="198">
        <f t="shared" si="39"/>
        <v>890.73</v>
      </c>
      <c r="G579" s="114" t="s">
        <v>553</v>
      </c>
    </row>
    <row r="580" spans="1:7" ht="27.75" thickBot="1" x14ac:dyDescent="0.3">
      <c r="A580" s="113">
        <v>501210.2</v>
      </c>
      <c r="B580" s="58" t="s">
        <v>124</v>
      </c>
      <c r="C580" s="17">
        <v>3633</v>
      </c>
      <c r="D580" s="91">
        <v>4930</v>
      </c>
      <c r="E580" s="91">
        <f t="shared" si="38"/>
        <v>6704.8</v>
      </c>
      <c r="F580" s="198">
        <f t="shared" si="39"/>
        <v>9051.4800000000014</v>
      </c>
      <c r="G580" s="114" t="s">
        <v>554</v>
      </c>
    </row>
    <row r="581" spans="1:7" ht="17.25" thickBot="1" x14ac:dyDescent="0.3">
      <c r="A581" s="121" t="s">
        <v>555</v>
      </c>
      <c r="B581" s="145"/>
      <c r="C581" s="28"/>
      <c r="D581" s="48"/>
      <c r="E581" s="48"/>
      <c r="F581" s="48"/>
      <c r="G581" s="122"/>
    </row>
    <row r="582" spans="1:7" ht="17.25" thickBot="1" x14ac:dyDescent="0.3">
      <c r="A582" s="76" t="s">
        <v>556</v>
      </c>
      <c r="B582" s="79"/>
      <c r="C582" s="4"/>
      <c r="D582" s="46"/>
      <c r="E582" s="46"/>
      <c r="F582" s="46"/>
      <c r="G582" s="75"/>
    </row>
    <row r="583" spans="1:7" ht="27.75" thickBot="1" x14ac:dyDescent="0.3">
      <c r="A583" s="113">
        <v>501110.1</v>
      </c>
      <c r="B583" s="58" t="s">
        <v>124</v>
      </c>
      <c r="C583" s="17">
        <v>2453</v>
      </c>
      <c r="D583" s="56">
        <v>3330</v>
      </c>
      <c r="E583" s="56">
        <f t="shared" si="38"/>
        <v>4528.8</v>
      </c>
      <c r="F583" s="198">
        <f t="shared" si="39"/>
        <v>6113.880000000001</v>
      </c>
      <c r="G583" s="114" t="s">
        <v>557</v>
      </c>
    </row>
    <row r="584" spans="1:7" ht="27.75" thickBot="1" x14ac:dyDescent="0.3">
      <c r="A584" s="113">
        <v>501210.1</v>
      </c>
      <c r="B584" s="58" t="s">
        <v>124</v>
      </c>
      <c r="C584" s="17">
        <v>708</v>
      </c>
      <c r="D584" s="91">
        <v>960</v>
      </c>
      <c r="E584" s="91">
        <v>1305.9000000000001</v>
      </c>
      <c r="F584" s="198">
        <f t="shared" si="39"/>
        <v>1762.9650000000001</v>
      </c>
      <c r="G584" s="114" t="s">
        <v>558</v>
      </c>
    </row>
    <row r="585" spans="1:7" ht="41.25" thickBot="1" x14ac:dyDescent="0.3">
      <c r="A585" s="113">
        <v>501210.3</v>
      </c>
      <c r="B585" s="58" t="s">
        <v>481</v>
      </c>
      <c r="C585" s="17">
        <v>358</v>
      </c>
      <c r="D585" s="91">
        <v>485</v>
      </c>
      <c r="E585" s="91">
        <v>659.8</v>
      </c>
      <c r="F585" s="198">
        <f t="shared" si="39"/>
        <v>890.73</v>
      </c>
      <c r="G585" s="114" t="s">
        <v>559</v>
      </c>
    </row>
    <row r="586" spans="1:7" ht="41.25" thickBot="1" x14ac:dyDescent="0.3">
      <c r="A586" s="113">
        <v>501210.4</v>
      </c>
      <c r="B586" s="58" t="s">
        <v>481</v>
      </c>
      <c r="C586" s="17">
        <v>358</v>
      </c>
      <c r="D586" s="91">
        <v>485</v>
      </c>
      <c r="E586" s="91">
        <v>659.8</v>
      </c>
      <c r="F586" s="198">
        <f t="shared" si="39"/>
        <v>890.73</v>
      </c>
      <c r="G586" s="114" t="s">
        <v>560</v>
      </c>
    </row>
    <row r="587" spans="1:7" ht="27.75" thickBot="1" x14ac:dyDescent="0.3">
      <c r="A587" s="113">
        <v>504010</v>
      </c>
      <c r="B587" s="58" t="s">
        <v>393</v>
      </c>
      <c r="C587" s="17">
        <v>358</v>
      </c>
      <c r="D587" s="91">
        <v>485</v>
      </c>
      <c r="E587" s="91">
        <v>659.8</v>
      </c>
      <c r="F587" s="198">
        <f t="shared" si="39"/>
        <v>890.73</v>
      </c>
      <c r="G587" s="114" t="s">
        <v>561</v>
      </c>
    </row>
    <row r="588" spans="1:7" ht="17.25" thickBot="1" x14ac:dyDescent="0.3">
      <c r="A588" s="76" t="s">
        <v>562</v>
      </c>
      <c r="B588" s="79"/>
      <c r="C588" s="4"/>
      <c r="D588" s="46"/>
      <c r="E588" s="46"/>
      <c r="F588" s="46"/>
      <c r="G588" s="75"/>
    </row>
    <row r="589" spans="1:7" ht="16.5" thickBot="1" x14ac:dyDescent="0.3">
      <c r="A589" s="243">
        <v>521110</v>
      </c>
      <c r="B589" s="58" t="s">
        <v>1007</v>
      </c>
      <c r="C589" s="56">
        <v>68025</v>
      </c>
      <c r="D589" s="56">
        <v>92300</v>
      </c>
      <c r="E589" s="56">
        <v>125600</v>
      </c>
      <c r="F589" s="198">
        <v>170000</v>
      </c>
      <c r="G589" s="114" t="s">
        <v>563</v>
      </c>
    </row>
    <row r="590" spans="1:7" ht="41.25" thickBot="1" x14ac:dyDescent="0.3">
      <c r="A590" s="243" t="s">
        <v>1044</v>
      </c>
      <c r="B590" s="58" t="s">
        <v>1</v>
      </c>
      <c r="C590" s="56">
        <v>2453</v>
      </c>
      <c r="D590" s="91">
        <v>3330</v>
      </c>
      <c r="E590" s="91">
        <v>4530</v>
      </c>
      <c r="F590" s="198">
        <f t="shared" si="39"/>
        <v>6115.5</v>
      </c>
      <c r="G590" s="114" t="s">
        <v>1042</v>
      </c>
    </row>
    <row r="591" spans="1:7" ht="41.25" thickBot="1" x14ac:dyDescent="0.3">
      <c r="A591" s="243" t="s">
        <v>1045</v>
      </c>
      <c r="B591" s="58" t="s">
        <v>59</v>
      </c>
      <c r="C591" s="56">
        <v>2822</v>
      </c>
      <c r="D591" s="91">
        <v>3830</v>
      </c>
      <c r="E591" s="91">
        <v>5210</v>
      </c>
      <c r="F591" s="198">
        <v>0</v>
      </c>
      <c r="G591" s="114" t="s">
        <v>1043</v>
      </c>
    </row>
    <row r="592" spans="1:7" ht="16.5" thickBot="1" x14ac:dyDescent="0.3">
      <c r="A592" s="244" t="s">
        <v>1052</v>
      </c>
      <c r="B592" s="58" t="s">
        <v>1</v>
      </c>
      <c r="C592" s="56" t="s">
        <v>1051</v>
      </c>
      <c r="D592" s="91" t="s">
        <v>564</v>
      </c>
      <c r="E592" s="91"/>
      <c r="F592" s="91">
        <f>856.9*1.35</f>
        <v>1156.8150000000001</v>
      </c>
      <c r="G592" s="114" t="s">
        <v>564</v>
      </c>
    </row>
    <row r="593" spans="1:8" ht="81.75" thickBot="1" x14ac:dyDescent="0.3">
      <c r="A593" s="113">
        <v>521190.2</v>
      </c>
      <c r="B593" s="58" t="s">
        <v>1</v>
      </c>
      <c r="C593" s="17">
        <v>140</v>
      </c>
      <c r="D593" s="91">
        <v>192</v>
      </c>
      <c r="E593" s="91">
        <v>261.35000000000002</v>
      </c>
      <c r="F593" s="198">
        <f t="shared" si="39"/>
        <v>352.82250000000005</v>
      </c>
      <c r="G593" s="114" t="s">
        <v>565</v>
      </c>
    </row>
    <row r="594" spans="1:8" ht="27.75" thickBot="1" x14ac:dyDescent="0.3">
      <c r="A594" s="113">
        <v>522111</v>
      </c>
      <c r="B594" s="58" t="s">
        <v>1</v>
      </c>
      <c r="C594" s="17">
        <v>140</v>
      </c>
      <c r="D594" s="91">
        <v>192</v>
      </c>
      <c r="E594" s="91">
        <v>261.35000000000002</v>
      </c>
      <c r="F594" s="198">
        <f t="shared" si="39"/>
        <v>352.82250000000005</v>
      </c>
      <c r="G594" s="114" t="s">
        <v>566</v>
      </c>
    </row>
    <row r="595" spans="1:8" ht="16.5" thickBot="1" x14ac:dyDescent="0.3">
      <c r="A595" s="113">
        <v>522112.1</v>
      </c>
      <c r="B595" s="58" t="s">
        <v>1</v>
      </c>
      <c r="C595" s="17">
        <v>140</v>
      </c>
      <c r="D595" s="91">
        <v>192</v>
      </c>
      <c r="E595" s="91">
        <v>261.35000000000002</v>
      </c>
      <c r="F595" s="198">
        <f t="shared" si="39"/>
        <v>352.82250000000005</v>
      </c>
      <c r="G595" s="114" t="s">
        <v>567</v>
      </c>
    </row>
    <row r="596" spans="1:8" ht="27.75" thickBot="1" x14ac:dyDescent="0.3">
      <c r="A596" s="113">
        <v>522112.2</v>
      </c>
      <c r="B596" s="58" t="s">
        <v>1</v>
      </c>
      <c r="C596" s="17">
        <v>140</v>
      </c>
      <c r="D596" s="91">
        <v>192</v>
      </c>
      <c r="E596" s="91">
        <v>261.35000000000002</v>
      </c>
      <c r="F596" s="198">
        <f t="shared" si="39"/>
        <v>352.82250000000005</v>
      </c>
      <c r="G596" s="114" t="s">
        <v>568</v>
      </c>
    </row>
    <row r="597" spans="1:8" ht="27.75" thickBot="1" x14ac:dyDescent="0.3">
      <c r="A597" s="113">
        <v>522120.1</v>
      </c>
      <c r="B597" s="58" t="s">
        <v>1</v>
      </c>
      <c r="C597" s="17">
        <v>140</v>
      </c>
      <c r="D597" s="91">
        <v>192</v>
      </c>
      <c r="E597" s="91">
        <v>261.35000000000002</v>
      </c>
      <c r="F597" s="198">
        <f t="shared" si="39"/>
        <v>352.82250000000005</v>
      </c>
      <c r="G597" s="114" t="s">
        <v>569</v>
      </c>
    </row>
    <row r="598" spans="1:8" ht="41.25" thickBot="1" x14ac:dyDescent="0.3">
      <c r="A598" s="113">
        <v>522120.2</v>
      </c>
      <c r="B598" s="58" t="s">
        <v>1</v>
      </c>
      <c r="C598" s="17">
        <v>140</v>
      </c>
      <c r="D598" s="91">
        <v>192</v>
      </c>
      <c r="E598" s="91">
        <v>261.35000000000002</v>
      </c>
      <c r="F598" s="198">
        <f t="shared" si="39"/>
        <v>352.82250000000005</v>
      </c>
      <c r="G598" s="114" t="s">
        <v>570</v>
      </c>
    </row>
    <row r="599" spans="1:8" ht="16.5" thickBot="1" x14ac:dyDescent="0.3">
      <c r="A599" s="113">
        <v>522120.3</v>
      </c>
      <c r="B599" s="58" t="s">
        <v>1</v>
      </c>
      <c r="C599" s="17">
        <v>160</v>
      </c>
      <c r="D599" s="91">
        <v>218</v>
      </c>
      <c r="E599" s="91">
        <f t="shared" si="38"/>
        <v>296.48</v>
      </c>
      <c r="F599" s="198">
        <f t="shared" si="39"/>
        <v>400.24800000000005</v>
      </c>
      <c r="G599" s="114" t="s">
        <v>571</v>
      </c>
    </row>
    <row r="600" spans="1:8" ht="16.5" thickBot="1" x14ac:dyDescent="0.3">
      <c r="A600" s="113">
        <v>522120.4</v>
      </c>
      <c r="B600" s="58" t="s">
        <v>373</v>
      </c>
      <c r="C600" s="17">
        <v>180</v>
      </c>
      <c r="D600" s="87">
        <v>244</v>
      </c>
      <c r="E600" s="87">
        <f t="shared" si="38"/>
        <v>331.84000000000003</v>
      </c>
      <c r="F600" s="192">
        <f t="shared" si="39"/>
        <v>447.98400000000009</v>
      </c>
      <c r="G600" s="114" t="s">
        <v>572</v>
      </c>
    </row>
    <row r="601" spans="1:8" ht="16.5" thickBot="1" x14ac:dyDescent="0.3">
      <c r="A601" s="113">
        <v>522191</v>
      </c>
      <c r="B601" s="58" t="s">
        <v>373</v>
      </c>
      <c r="C601" s="17">
        <v>140</v>
      </c>
      <c r="D601" s="91">
        <v>192</v>
      </c>
      <c r="E601" s="91">
        <v>261.35000000000002</v>
      </c>
      <c r="F601" s="198">
        <f t="shared" si="39"/>
        <v>352.82250000000005</v>
      </c>
      <c r="G601" s="114" t="s">
        <v>573</v>
      </c>
    </row>
    <row r="602" spans="1:8" ht="68.25" thickBot="1" x14ac:dyDescent="0.3">
      <c r="A602" s="113">
        <v>522210.1</v>
      </c>
      <c r="B602" s="58" t="s">
        <v>373</v>
      </c>
      <c r="C602" s="17">
        <v>221</v>
      </c>
      <c r="D602" s="91">
        <f>+C602*$D$1</f>
        <v>299.89999999999998</v>
      </c>
      <c r="E602" s="91">
        <f t="shared" si="38"/>
        <v>407.86399999999998</v>
      </c>
      <c r="F602" s="198">
        <v>550.1</v>
      </c>
      <c r="G602" s="114" t="s">
        <v>574</v>
      </c>
      <c r="H602" s="23"/>
    </row>
    <row r="603" spans="1:8" ht="27.75" thickBot="1" x14ac:dyDescent="0.3">
      <c r="A603" s="113">
        <v>522210.2</v>
      </c>
      <c r="B603" s="58" t="s">
        <v>373</v>
      </c>
      <c r="C603" s="17">
        <v>221</v>
      </c>
      <c r="D603" s="91">
        <f>+C603*$D$1</f>
        <v>299.89999999999998</v>
      </c>
      <c r="E603" s="91">
        <f t="shared" si="38"/>
        <v>407.86399999999998</v>
      </c>
      <c r="F603" s="198">
        <v>550.1</v>
      </c>
      <c r="G603" s="114" t="s">
        <v>575</v>
      </c>
    </row>
    <row r="604" spans="1:8" ht="27.75" thickBot="1" x14ac:dyDescent="0.3">
      <c r="A604" s="113">
        <v>522220</v>
      </c>
      <c r="B604" s="58" t="s">
        <v>373</v>
      </c>
      <c r="C604" s="17">
        <v>221</v>
      </c>
      <c r="D604" s="91">
        <f>+C604*$D$1</f>
        <v>299.89999999999998</v>
      </c>
      <c r="E604" s="91">
        <f t="shared" ref="E604:E615" si="42">+D604*1.36</f>
        <v>407.86399999999998</v>
      </c>
      <c r="F604" s="198">
        <v>550.1</v>
      </c>
      <c r="G604" s="114" t="s">
        <v>576</v>
      </c>
    </row>
    <row r="605" spans="1:8" ht="41.25" thickBot="1" x14ac:dyDescent="0.3">
      <c r="A605" s="113">
        <v>522300</v>
      </c>
      <c r="B605" s="58" t="s">
        <v>373</v>
      </c>
      <c r="C605" s="17">
        <v>140</v>
      </c>
      <c r="D605" s="91">
        <v>192</v>
      </c>
      <c r="E605" s="91">
        <v>261.35000000000002</v>
      </c>
      <c r="F605" s="198">
        <f t="shared" ref="F605:F615" si="43">+E605*$F$1</f>
        <v>352.82250000000005</v>
      </c>
      <c r="G605" s="114" t="s">
        <v>577</v>
      </c>
    </row>
    <row r="606" spans="1:8" ht="27.75" thickBot="1" x14ac:dyDescent="0.3">
      <c r="A606" s="113">
        <v>522410</v>
      </c>
      <c r="B606" s="58" t="s">
        <v>373</v>
      </c>
      <c r="C606" s="17">
        <v>140</v>
      </c>
      <c r="D606" s="91">
        <v>192</v>
      </c>
      <c r="E606" s="91">
        <v>261.35000000000002</v>
      </c>
      <c r="F606" s="198">
        <f t="shared" si="43"/>
        <v>352.82250000000005</v>
      </c>
      <c r="G606" s="114" t="s">
        <v>578</v>
      </c>
    </row>
    <row r="607" spans="1:8" ht="41.25" thickBot="1" x14ac:dyDescent="0.3">
      <c r="A607" s="113">
        <v>522420</v>
      </c>
      <c r="B607" s="58" t="s">
        <v>124</v>
      </c>
      <c r="C607" s="17">
        <v>160</v>
      </c>
      <c r="D607" s="91">
        <v>218</v>
      </c>
      <c r="E607" s="91">
        <f t="shared" si="42"/>
        <v>296.48</v>
      </c>
      <c r="F607" s="198">
        <f t="shared" si="43"/>
        <v>400.24800000000005</v>
      </c>
      <c r="G607" s="114" t="s">
        <v>579</v>
      </c>
    </row>
    <row r="608" spans="1:8" ht="41.25" thickBot="1" x14ac:dyDescent="0.3">
      <c r="A608" s="113">
        <v>522500.1</v>
      </c>
      <c r="B608" s="58" t="s">
        <v>373</v>
      </c>
      <c r="C608" s="17">
        <v>160</v>
      </c>
      <c r="D608" s="91">
        <v>218</v>
      </c>
      <c r="E608" s="91">
        <f t="shared" si="42"/>
        <v>296.48</v>
      </c>
      <c r="F608" s="198">
        <f t="shared" si="43"/>
        <v>400.24800000000005</v>
      </c>
      <c r="G608" s="114" t="s">
        <v>580</v>
      </c>
    </row>
    <row r="609" spans="1:7" ht="54.75" thickBot="1" x14ac:dyDescent="0.3">
      <c r="A609" s="113">
        <v>522500.2</v>
      </c>
      <c r="B609" s="58" t="s">
        <v>59</v>
      </c>
      <c r="C609" s="17">
        <v>221</v>
      </c>
      <c r="D609" s="91">
        <f>+C609*$D$1</f>
        <v>299.89999999999998</v>
      </c>
      <c r="E609" s="91">
        <f t="shared" si="42"/>
        <v>407.86399999999998</v>
      </c>
      <c r="F609" s="198">
        <v>550.1</v>
      </c>
      <c r="G609" s="114" t="s">
        <v>581</v>
      </c>
    </row>
    <row r="610" spans="1:7" ht="16.5" thickBot="1" x14ac:dyDescent="0.3">
      <c r="A610" s="113">
        <v>522910</v>
      </c>
      <c r="B610" s="58" t="s">
        <v>1</v>
      </c>
      <c r="C610" s="17">
        <v>221</v>
      </c>
      <c r="D610" s="91">
        <f>+C610*$D$1</f>
        <v>299.89999999999998</v>
      </c>
      <c r="E610" s="91">
        <f t="shared" si="42"/>
        <v>407.86399999999998</v>
      </c>
      <c r="F610" s="198">
        <v>550.1</v>
      </c>
      <c r="G610" s="114" t="s">
        <v>582</v>
      </c>
    </row>
    <row r="611" spans="1:7" ht="27.75" thickBot="1" x14ac:dyDescent="0.3">
      <c r="A611" s="113">
        <v>522999.1</v>
      </c>
      <c r="B611" s="58" t="s">
        <v>1</v>
      </c>
      <c r="C611" s="17">
        <v>160</v>
      </c>
      <c r="D611" s="91">
        <v>218</v>
      </c>
      <c r="E611" s="91">
        <f t="shared" si="42"/>
        <v>296.48</v>
      </c>
      <c r="F611" s="198">
        <f t="shared" si="43"/>
        <v>400.24800000000005</v>
      </c>
      <c r="G611" s="114" t="s">
        <v>583</v>
      </c>
    </row>
    <row r="612" spans="1:7" ht="41.25" thickBot="1" x14ac:dyDescent="0.3">
      <c r="A612" s="113">
        <v>522999.2</v>
      </c>
      <c r="B612" s="58" t="s">
        <v>59</v>
      </c>
      <c r="C612" s="17">
        <v>160</v>
      </c>
      <c r="D612" s="91">
        <v>218</v>
      </c>
      <c r="E612" s="91">
        <f t="shared" si="42"/>
        <v>296.48</v>
      </c>
      <c r="F612" s="198">
        <f t="shared" si="43"/>
        <v>400.24800000000005</v>
      </c>
      <c r="G612" s="114" t="s">
        <v>584</v>
      </c>
    </row>
    <row r="613" spans="1:7" ht="27.75" thickBot="1" x14ac:dyDescent="0.3">
      <c r="A613" s="113">
        <v>522999.3</v>
      </c>
      <c r="B613" s="58" t="s">
        <v>1</v>
      </c>
      <c r="C613" s="17">
        <v>160</v>
      </c>
      <c r="D613" s="91">
        <v>218</v>
      </c>
      <c r="E613" s="91">
        <f t="shared" si="42"/>
        <v>296.48</v>
      </c>
      <c r="F613" s="198">
        <f t="shared" si="43"/>
        <v>400.24800000000005</v>
      </c>
      <c r="G613" s="114" t="s">
        <v>585</v>
      </c>
    </row>
    <row r="614" spans="1:7" ht="27.75" thickBot="1" x14ac:dyDescent="0.3">
      <c r="A614" s="113">
        <v>522999.4</v>
      </c>
      <c r="B614" s="58" t="s">
        <v>1</v>
      </c>
      <c r="C614" s="17">
        <v>160</v>
      </c>
      <c r="D614" s="91">
        <v>218</v>
      </c>
      <c r="E614" s="91">
        <f t="shared" si="42"/>
        <v>296.48</v>
      </c>
      <c r="F614" s="198">
        <f t="shared" si="43"/>
        <v>400.24800000000005</v>
      </c>
      <c r="G614" s="114" t="s">
        <v>586</v>
      </c>
    </row>
    <row r="615" spans="1:7" ht="27.75" thickBot="1" x14ac:dyDescent="0.3">
      <c r="A615" s="219">
        <v>522999.5</v>
      </c>
      <c r="B615" s="69" t="s">
        <v>1</v>
      </c>
      <c r="C615" s="20">
        <v>160</v>
      </c>
      <c r="D615" s="178">
        <v>218</v>
      </c>
      <c r="E615" s="178">
        <f t="shared" si="42"/>
        <v>296.48</v>
      </c>
      <c r="F615" s="199">
        <f t="shared" si="43"/>
        <v>400.24800000000005</v>
      </c>
      <c r="G615" s="116" t="s">
        <v>587</v>
      </c>
    </row>
    <row r="616" spans="1:7" ht="16.5" x14ac:dyDescent="0.25">
      <c r="A616" s="216" t="s">
        <v>1023</v>
      </c>
      <c r="B616" s="44"/>
      <c r="C616" s="44"/>
      <c r="D616" s="44"/>
      <c r="E616" s="44"/>
      <c r="F616" s="44"/>
      <c r="G616" s="217"/>
    </row>
    <row r="617" spans="1:7" ht="17.25" thickBot="1" x14ac:dyDescent="0.3">
      <c r="A617" s="209" t="s">
        <v>592</v>
      </c>
      <c r="B617" s="45"/>
      <c r="C617" s="45"/>
      <c r="D617" s="45"/>
      <c r="E617" s="45"/>
      <c r="F617" s="45"/>
      <c r="G617" s="230"/>
    </row>
    <row r="618" spans="1:7" ht="16.5" thickBot="1" x14ac:dyDescent="0.3">
      <c r="A618" s="113">
        <v>924910.1</v>
      </c>
      <c r="B618" s="58" t="s">
        <v>393</v>
      </c>
      <c r="C618" s="29">
        <v>160</v>
      </c>
      <c r="D618" s="91">
        <v>218</v>
      </c>
      <c r="E618" s="91">
        <f t="shared" ref="E618:E624" si="44">+D618*1.36</f>
        <v>296.48</v>
      </c>
      <c r="F618" s="198">
        <f t="shared" ref="F618:F681" si="45">+E618*$F$1</f>
        <v>400.24800000000005</v>
      </c>
      <c r="G618" s="114" t="s">
        <v>588</v>
      </c>
    </row>
    <row r="619" spans="1:7" ht="16.5" thickBot="1" x14ac:dyDescent="0.3">
      <c r="A619" s="113">
        <v>924910.2</v>
      </c>
      <c r="B619" s="58" t="s">
        <v>59</v>
      </c>
      <c r="C619" s="17">
        <v>160</v>
      </c>
      <c r="D619" s="91">
        <v>218</v>
      </c>
      <c r="E619" s="91">
        <f t="shared" si="44"/>
        <v>296.48</v>
      </c>
      <c r="F619" s="198">
        <f t="shared" si="45"/>
        <v>400.24800000000005</v>
      </c>
      <c r="G619" s="114" t="s">
        <v>589</v>
      </c>
    </row>
    <row r="620" spans="1:7" ht="16.5" thickBot="1" x14ac:dyDescent="0.3">
      <c r="A620" s="113">
        <v>924910.3</v>
      </c>
      <c r="B620" s="58" t="s">
        <v>393</v>
      </c>
      <c r="C620" s="17">
        <v>160</v>
      </c>
      <c r="D620" s="91">
        <v>218</v>
      </c>
      <c r="E620" s="91">
        <f t="shared" si="44"/>
        <v>296.48</v>
      </c>
      <c r="F620" s="198">
        <f t="shared" si="45"/>
        <v>400.24800000000005</v>
      </c>
      <c r="G620" s="114" t="s">
        <v>590</v>
      </c>
    </row>
    <row r="621" spans="1:7" ht="27.75" thickBot="1" x14ac:dyDescent="0.3">
      <c r="A621" s="113">
        <v>924910.4</v>
      </c>
      <c r="B621" s="58" t="s">
        <v>393</v>
      </c>
      <c r="C621" s="17">
        <v>160</v>
      </c>
      <c r="D621" s="91">
        <v>218</v>
      </c>
      <c r="E621" s="91">
        <f t="shared" si="44"/>
        <v>296.48</v>
      </c>
      <c r="F621" s="198">
        <f t="shared" si="45"/>
        <v>400.24800000000005</v>
      </c>
      <c r="G621" s="114" t="s">
        <v>591</v>
      </c>
    </row>
    <row r="622" spans="1:7" ht="16.5" thickBot="1" x14ac:dyDescent="0.3">
      <c r="A622" s="113">
        <v>924910.5</v>
      </c>
      <c r="B622" s="58" t="s">
        <v>393</v>
      </c>
      <c r="C622" s="17">
        <v>160</v>
      </c>
      <c r="D622" s="91">
        <v>218</v>
      </c>
      <c r="E622" s="91">
        <f t="shared" si="44"/>
        <v>296.48</v>
      </c>
      <c r="F622" s="198">
        <f t="shared" si="45"/>
        <v>400.24800000000005</v>
      </c>
      <c r="G622" s="114" t="s">
        <v>592</v>
      </c>
    </row>
    <row r="623" spans="1:7" ht="16.5" thickBot="1" x14ac:dyDescent="0.3">
      <c r="A623" s="113">
        <v>924910.6</v>
      </c>
      <c r="B623" s="58" t="s">
        <v>393</v>
      </c>
      <c r="C623" s="17">
        <v>160</v>
      </c>
      <c r="D623" s="91">
        <v>218</v>
      </c>
      <c r="E623" s="91">
        <f t="shared" si="44"/>
        <v>296.48</v>
      </c>
      <c r="F623" s="198">
        <f t="shared" si="45"/>
        <v>400.24800000000005</v>
      </c>
      <c r="G623" s="114" t="s">
        <v>593</v>
      </c>
    </row>
    <row r="624" spans="1:7" ht="27.75" thickBot="1" x14ac:dyDescent="0.3">
      <c r="A624" s="113">
        <v>522991</v>
      </c>
      <c r="B624" s="58" t="s">
        <v>427</v>
      </c>
      <c r="C624" s="17">
        <v>221</v>
      </c>
      <c r="D624" s="91">
        <f>+C624*$D$1</f>
        <v>299.89999999999998</v>
      </c>
      <c r="E624" s="91">
        <f t="shared" si="44"/>
        <v>407.86399999999998</v>
      </c>
      <c r="F624" s="198">
        <v>550.1</v>
      </c>
      <c r="G624" s="114" t="s">
        <v>594</v>
      </c>
    </row>
    <row r="625" spans="1:7" ht="35.25" customHeight="1" thickBot="1" x14ac:dyDescent="0.3">
      <c r="A625" s="239" t="s">
        <v>1024</v>
      </c>
      <c r="B625" s="46"/>
      <c r="C625" s="46"/>
      <c r="D625" s="46"/>
      <c r="E625" s="46"/>
      <c r="F625" s="46"/>
      <c r="G625" s="210"/>
    </row>
    <row r="626" spans="1:7" ht="27.75" thickBot="1" x14ac:dyDescent="0.3">
      <c r="A626" s="113">
        <v>523210.1</v>
      </c>
      <c r="B626" s="58" t="s">
        <v>1</v>
      </c>
      <c r="C626" s="17">
        <v>160</v>
      </c>
      <c r="D626" s="56">
        <v>218</v>
      </c>
      <c r="E626" s="56">
        <f t="shared" ref="E626:E640" si="46">+D626*1.36</f>
        <v>296.48</v>
      </c>
      <c r="F626" s="198">
        <f t="shared" si="45"/>
        <v>400.24800000000005</v>
      </c>
      <c r="G626" s="114" t="s">
        <v>595</v>
      </c>
    </row>
    <row r="627" spans="1:7" ht="27.75" thickBot="1" x14ac:dyDescent="0.3">
      <c r="A627" s="113">
        <v>523210.2</v>
      </c>
      <c r="B627" s="58" t="s">
        <v>1</v>
      </c>
      <c r="C627" s="17">
        <v>160</v>
      </c>
      <c r="D627" s="91">
        <v>218</v>
      </c>
      <c r="E627" s="91">
        <f t="shared" si="46"/>
        <v>296.48</v>
      </c>
      <c r="F627" s="198">
        <f t="shared" si="45"/>
        <v>400.24800000000005</v>
      </c>
      <c r="G627" s="114" t="s">
        <v>596</v>
      </c>
    </row>
    <row r="628" spans="1:7" ht="27.75" thickBot="1" x14ac:dyDescent="0.3">
      <c r="A628" s="113">
        <v>523210.3</v>
      </c>
      <c r="B628" s="58" t="s">
        <v>1</v>
      </c>
      <c r="C628" s="17">
        <v>160</v>
      </c>
      <c r="D628" s="91">
        <v>218</v>
      </c>
      <c r="E628" s="91">
        <f t="shared" si="46"/>
        <v>296.48</v>
      </c>
      <c r="F628" s="198">
        <f t="shared" si="45"/>
        <v>400.24800000000005</v>
      </c>
      <c r="G628" s="114" t="s">
        <v>597</v>
      </c>
    </row>
    <row r="629" spans="1:7" ht="27.75" thickBot="1" x14ac:dyDescent="0.3">
      <c r="A629" s="113">
        <v>523290</v>
      </c>
      <c r="B629" s="58" t="s">
        <v>1</v>
      </c>
      <c r="C629" s="17">
        <v>180</v>
      </c>
      <c r="D629" s="87">
        <v>244</v>
      </c>
      <c r="E629" s="87">
        <f t="shared" si="46"/>
        <v>331.84000000000003</v>
      </c>
      <c r="F629" s="192">
        <f t="shared" si="45"/>
        <v>447.98400000000009</v>
      </c>
      <c r="G629" s="114" t="s">
        <v>598</v>
      </c>
    </row>
    <row r="630" spans="1:7" ht="27.75" thickBot="1" x14ac:dyDescent="0.3">
      <c r="A630" s="113">
        <v>523310</v>
      </c>
      <c r="B630" s="58" t="s">
        <v>1</v>
      </c>
      <c r="C630" s="17">
        <v>180</v>
      </c>
      <c r="D630" s="87">
        <v>244</v>
      </c>
      <c r="E630" s="87">
        <f t="shared" si="46"/>
        <v>331.84000000000003</v>
      </c>
      <c r="F630" s="192">
        <f t="shared" si="45"/>
        <v>447.98400000000009</v>
      </c>
      <c r="G630" s="114" t="s">
        <v>599</v>
      </c>
    </row>
    <row r="631" spans="1:7" ht="27.75" thickBot="1" x14ac:dyDescent="0.3">
      <c r="A631" s="113">
        <v>523330</v>
      </c>
      <c r="B631" s="58" t="s">
        <v>1</v>
      </c>
      <c r="C631" s="17">
        <v>180</v>
      </c>
      <c r="D631" s="87">
        <v>244</v>
      </c>
      <c r="E631" s="87">
        <f t="shared" si="46"/>
        <v>331.84000000000003</v>
      </c>
      <c r="F631" s="192">
        <f t="shared" si="45"/>
        <v>447.98400000000009</v>
      </c>
      <c r="G631" s="114" t="s">
        <v>600</v>
      </c>
    </row>
    <row r="632" spans="1:7" ht="27.75" thickBot="1" x14ac:dyDescent="0.3">
      <c r="A632" s="113">
        <v>523360</v>
      </c>
      <c r="B632" s="58" t="s">
        <v>1</v>
      </c>
      <c r="C632" s="17">
        <v>160</v>
      </c>
      <c r="D632" s="91">
        <v>218</v>
      </c>
      <c r="E632" s="91">
        <f t="shared" si="46"/>
        <v>296.48</v>
      </c>
      <c r="F632" s="198">
        <f t="shared" si="45"/>
        <v>400.24800000000005</v>
      </c>
      <c r="G632" s="114" t="s">
        <v>601</v>
      </c>
    </row>
    <row r="633" spans="1:7" ht="41.25" thickBot="1" x14ac:dyDescent="0.3">
      <c r="A633" s="113">
        <v>523380</v>
      </c>
      <c r="B633" s="58" t="s">
        <v>124</v>
      </c>
      <c r="C633" s="17">
        <v>180</v>
      </c>
      <c r="D633" s="87">
        <v>244</v>
      </c>
      <c r="E633" s="87">
        <f t="shared" si="46"/>
        <v>331.84000000000003</v>
      </c>
      <c r="F633" s="192">
        <f t="shared" si="45"/>
        <v>447.98400000000009</v>
      </c>
      <c r="G633" s="114" t="s">
        <v>602</v>
      </c>
    </row>
    <row r="634" spans="1:7" ht="41.25" thickBot="1" x14ac:dyDescent="0.3">
      <c r="A634" s="113">
        <v>523391</v>
      </c>
      <c r="B634" s="58" t="s">
        <v>124</v>
      </c>
      <c r="C634" s="17">
        <v>221</v>
      </c>
      <c r="D634" s="91">
        <f>+C634*$D$1</f>
        <v>299.89999999999998</v>
      </c>
      <c r="E634" s="91">
        <f t="shared" si="46"/>
        <v>407.86399999999998</v>
      </c>
      <c r="F634" s="198">
        <v>550.1</v>
      </c>
      <c r="G634" s="114" t="s">
        <v>603</v>
      </c>
    </row>
    <row r="635" spans="1:7" ht="54.75" thickBot="1" x14ac:dyDescent="0.3">
      <c r="A635" s="113">
        <v>523399.1</v>
      </c>
      <c r="B635" s="58" t="s">
        <v>1</v>
      </c>
      <c r="C635" s="17">
        <v>160</v>
      </c>
      <c r="D635" s="91">
        <v>218</v>
      </c>
      <c r="E635" s="91">
        <f t="shared" si="46"/>
        <v>296.48</v>
      </c>
      <c r="F635" s="198">
        <f t="shared" si="45"/>
        <v>400.24800000000005</v>
      </c>
      <c r="G635" s="114" t="s">
        <v>604</v>
      </c>
    </row>
    <row r="636" spans="1:7" ht="41.25" thickBot="1" x14ac:dyDescent="0.3">
      <c r="A636" s="113">
        <v>523399.2</v>
      </c>
      <c r="B636" s="58" t="s">
        <v>1</v>
      </c>
      <c r="C636" s="17">
        <v>221</v>
      </c>
      <c r="D636" s="91">
        <f>+C636*$D$1</f>
        <v>299.89999999999998</v>
      </c>
      <c r="E636" s="91">
        <f t="shared" si="46"/>
        <v>407.86399999999998</v>
      </c>
      <c r="F636" s="198">
        <v>550.1</v>
      </c>
      <c r="G636" s="114" t="s">
        <v>605</v>
      </c>
    </row>
    <row r="637" spans="1:7" ht="41.25" thickBot="1" x14ac:dyDescent="0.3">
      <c r="A637" s="113">
        <v>523399.3</v>
      </c>
      <c r="B637" s="58" t="s">
        <v>1</v>
      </c>
      <c r="C637" s="17">
        <v>221</v>
      </c>
      <c r="D637" s="91">
        <f>+C637*$D$1</f>
        <v>299.89999999999998</v>
      </c>
      <c r="E637" s="91">
        <f t="shared" si="46"/>
        <v>407.86399999999998</v>
      </c>
      <c r="F637" s="198">
        <v>550.1</v>
      </c>
      <c r="G637" s="114" t="s">
        <v>606</v>
      </c>
    </row>
    <row r="638" spans="1:7" ht="41.25" thickBot="1" x14ac:dyDescent="0.3">
      <c r="A638" s="113">
        <v>523420</v>
      </c>
      <c r="B638" s="58" t="s">
        <v>1</v>
      </c>
      <c r="C638" s="17">
        <v>221</v>
      </c>
      <c r="D638" s="91">
        <f>+C638*$D$1</f>
        <v>299.89999999999998</v>
      </c>
      <c r="E638" s="91">
        <f t="shared" si="46"/>
        <v>407.86399999999998</v>
      </c>
      <c r="F638" s="198">
        <v>550.1</v>
      </c>
      <c r="G638" s="114" t="s">
        <v>607</v>
      </c>
    </row>
    <row r="639" spans="1:7" ht="41.25" thickBot="1" x14ac:dyDescent="0.3">
      <c r="A639" s="113">
        <v>523490</v>
      </c>
      <c r="B639" s="58" t="s">
        <v>1</v>
      </c>
      <c r="C639" s="17">
        <v>221</v>
      </c>
      <c r="D639" s="91">
        <f>+C639*$D$1</f>
        <v>299.89999999999998</v>
      </c>
      <c r="E639" s="91">
        <f t="shared" si="46"/>
        <v>407.86399999999998</v>
      </c>
      <c r="F639" s="198">
        <v>550.1</v>
      </c>
      <c r="G639" s="114" t="s">
        <v>608</v>
      </c>
    </row>
    <row r="640" spans="1:7" ht="41.25" thickBot="1" x14ac:dyDescent="0.3">
      <c r="A640" s="113">
        <v>523941</v>
      </c>
      <c r="B640" s="58" t="s">
        <v>1</v>
      </c>
      <c r="C640" s="17">
        <v>221</v>
      </c>
      <c r="D640" s="91">
        <f>+C640*$D$1</f>
        <v>299.89999999999998</v>
      </c>
      <c r="E640" s="91">
        <f t="shared" si="46"/>
        <v>407.86399999999998</v>
      </c>
      <c r="F640" s="198">
        <v>550.1</v>
      </c>
      <c r="G640" s="114" t="s">
        <v>609</v>
      </c>
    </row>
    <row r="641" spans="1:7" ht="36.75" customHeight="1" thickBot="1" x14ac:dyDescent="0.3">
      <c r="A641" s="239" t="s">
        <v>610</v>
      </c>
      <c r="B641" s="46"/>
      <c r="C641" s="46"/>
      <c r="D641" s="46"/>
      <c r="E641" s="46"/>
      <c r="F641" s="46"/>
      <c r="G641" s="210"/>
    </row>
    <row r="642" spans="1:7" ht="41.25" thickBot="1" x14ac:dyDescent="0.3">
      <c r="A642" s="113">
        <v>523610</v>
      </c>
      <c r="B642" s="58" t="s">
        <v>124</v>
      </c>
      <c r="C642" s="17">
        <v>358</v>
      </c>
      <c r="D642" s="56">
        <v>485</v>
      </c>
      <c r="E642" s="56">
        <v>659.8</v>
      </c>
      <c r="F642" s="198">
        <f t="shared" si="45"/>
        <v>890.73</v>
      </c>
      <c r="G642" s="114" t="s">
        <v>611</v>
      </c>
    </row>
    <row r="643" spans="1:7" ht="41.25" thickBot="1" x14ac:dyDescent="0.3">
      <c r="A643" s="113">
        <v>523630</v>
      </c>
      <c r="B643" s="58" t="s">
        <v>124</v>
      </c>
      <c r="C643" s="17">
        <v>358</v>
      </c>
      <c r="D643" s="91">
        <v>485</v>
      </c>
      <c r="E643" s="91">
        <v>659.8</v>
      </c>
      <c r="F643" s="198">
        <f t="shared" si="45"/>
        <v>890.73</v>
      </c>
      <c r="G643" s="114" t="s">
        <v>612</v>
      </c>
    </row>
    <row r="644" spans="1:7" ht="54.75" thickBot="1" x14ac:dyDescent="0.3">
      <c r="A644" s="113">
        <v>523640</v>
      </c>
      <c r="B644" s="58" t="s">
        <v>124</v>
      </c>
      <c r="C644" s="17">
        <v>358</v>
      </c>
      <c r="D644" s="91">
        <v>485</v>
      </c>
      <c r="E644" s="91">
        <v>659.8</v>
      </c>
      <c r="F644" s="198">
        <f t="shared" si="45"/>
        <v>890.73</v>
      </c>
      <c r="G644" s="114" t="s">
        <v>613</v>
      </c>
    </row>
    <row r="645" spans="1:7" ht="68.25" thickBot="1" x14ac:dyDescent="0.3">
      <c r="A645" s="113">
        <v>523660</v>
      </c>
      <c r="B645" s="58" t="s">
        <v>124</v>
      </c>
      <c r="C645" s="17">
        <v>221</v>
      </c>
      <c r="D645" s="91">
        <f>+C645*$D$1</f>
        <v>299.89999999999998</v>
      </c>
      <c r="E645" s="91">
        <f t="shared" ref="E645:E705" si="47">+D645*1.36</f>
        <v>407.86399999999998</v>
      </c>
      <c r="F645" s="198">
        <v>550.1</v>
      </c>
      <c r="G645" s="114" t="s">
        <v>614</v>
      </c>
    </row>
    <row r="646" spans="1:7" ht="41.25" thickBot="1" x14ac:dyDescent="0.3">
      <c r="A646" s="113">
        <v>523670</v>
      </c>
      <c r="B646" s="58" t="s">
        <v>124</v>
      </c>
      <c r="C646" s="17">
        <v>221</v>
      </c>
      <c r="D646" s="91">
        <f>+C646*$D$1</f>
        <v>299.89999999999998</v>
      </c>
      <c r="E646" s="91">
        <f t="shared" si="47"/>
        <v>407.86399999999998</v>
      </c>
      <c r="F646" s="198">
        <v>550.1</v>
      </c>
      <c r="G646" s="114" t="s">
        <v>615</v>
      </c>
    </row>
    <row r="647" spans="1:7" ht="27.75" thickBot="1" x14ac:dyDescent="0.3">
      <c r="A647" s="113">
        <v>523690.1</v>
      </c>
      <c r="B647" s="58" t="s">
        <v>124</v>
      </c>
      <c r="C647" s="17">
        <v>358</v>
      </c>
      <c r="D647" s="91">
        <v>485</v>
      </c>
      <c r="E647" s="91">
        <v>659.8</v>
      </c>
      <c r="F647" s="198">
        <f t="shared" si="45"/>
        <v>890.73</v>
      </c>
      <c r="G647" s="114" t="s">
        <v>616</v>
      </c>
    </row>
    <row r="648" spans="1:7" ht="27.75" thickBot="1" x14ac:dyDescent="0.3">
      <c r="A648" s="113">
        <v>523690.2</v>
      </c>
      <c r="B648" s="58" t="s">
        <v>124</v>
      </c>
      <c r="C648" s="17">
        <v>358</v>
      </c>
      <c r="D648" s="91">
        <v>485</v>
      </c>
      <c r="E648" s="91">
        <v>659.8</v>
      </c>
      <c r="F648" s="198">
        <f t="shared" si="45"/>
        <v>890.73</v>
      </c>
      <c r="G648" s="114" t="s">
        <v>617</v>
      </c>
    </row>
    <row r="649" spans="1:7" ht="17.25" thickBot="1" x14ac:dyDescent="0.3">
      <c r="A649" s="120" t="s">
        <v>618</v>
      </c>
      <c r="B649" s="79"/>
      <c r="C649" s="4"/>
      <c r="D649" s="46"/>
      <c r="E649" s="46"/>
      <c r="F649" s="46"/>
      <c r="G649" s="75"/>
    </row>
    <row r="650" spans="1:7" ht="54.75" thickBot="1" x14ac:dyDescent="0.3">
      <c r="A650" s="113">
        <v>503100.1</v>
      </c>
      <c r="B650" s="58" t="s">
        <v>1</v>
      </c>
      <c r="C650" s="17">
        <v>221</v>
      </c>
      <c r="D650" s="56">
        <f>+C650*$D$1</f>
        <v>299.89999999999998</v>
      </c>
      <c r="E650" s="56">
        <f t="shared" si="47"/>
        <v>407.86399999999998</v>
      </c>
      <c r="F650" s="198">
        <v>550.1</v>
      </c>
      <c r="G650" s="114" t="s">
        <v>619</v>
      </c>
    </row>
    <row r="651" spans="1:7" ht="41.25" thickBot="1" x14ac:dyDescent="0.3">
      <c r="A651" s="113">
        <v>503100.2</v>
      </c>
      <c r="B651" s="58" t="s">
        <v>1</v>
      </c>
      <c r="C651" s="17">
        <v>221</v>
      </c>
      <c r="D651" s="91">
        <f>+C651*$D$1</f>
        <v>299.89999999999998</v>
      </c>
      <c r="E651" s="91">
        <f t="shared" si="47"/>
        <v>407.86399999999998</v>
      </c>
      <c r="F651" s="198">
        <v>550.1</v>
      </c>
      <c r="G651" s="114" t="s">
        <v>620</v>
      </c>
    </row>
    <row r="652" spans="1:7" ht="41.25" thickBot="1" x14ac:dyDescent="0.3">
      <c r="A652" s="184">
        <v>523110.1</v>
      </c>
      <c r="B652" s="58" t="s">
        <v>124</v>
      </c>
      <c r="C652" s="56">
        <v>180</v>
      </c>
      <c r="D652" s="87">
        <v>244</v>
      </c>
      <c r="E652" s="87">
        <f t="shared" si="47"/>
        <v>331.84000000000003</v>
      </c>
      <c r="F652" s="192">
        <f t="shared" si="45"/>
        <v>447.98400000000009</v>
      </c>
      <c r="G652" s="114" t="s">
        <v>621</v>
      </c>
    </row>
    <row r="653" spans="1:7" ht="27.75" thickBot="1" x14ac:dyDescent="0.3">
      <c r="A653" s="184">
        <v>523110.2</v>
      </c>
      <c r="B653" s="58" t="s">
        <v>124</v>
      </c>
      <c r="C653" s="56">
        <v>180</v>
      </c>
      <c r="D653" s="87">
        <v>244</v>
      </c>
      <c r="E653" s="87">
        <f t="shared" si="47"/>
        <v>331.84000000000003</v>
      </c>
      <c r="F653" s="192">
        <f t="shared" si="45"/>
        <v>447.98400000000009</v>
      </c>
      <c r="G653" s="114" t="s">
        <v>622</v>
      </c>
    </row>
    <row r="654" spans="1:7" ht="27.75" thickBot="1" x14ac:dyDescent="0.3">
      <c r="A654" s="113">
        <v>503210</v>
      </c>
      <c r="B654" s="58" t="s">
        <v>1</v>
      </c>
      <c r="C654" s="17">
        <v>221</v>
      </c>
      <c r="D654" s="91">
        <f>+C654*$D$1</f>
        <v>299.89999999999998</v>
      </c>
      <c r="E654" s="91">
        <f t="shared" si="47"/>
        <v>407.86399999999998</v>
      </c>
      <c r="F654" s="198">
        <v>550.1</v>
      </c>
      <c r="G654" s="114" t="s">
        <v>623</v>
      </c>
    </row>
    <row r="655" spans="1:7" ht="41.25" thickBot="1" x14ac:dyDescent="0.3">
      <c r="A655" s="113">
        <v>505000</v>
      </c>
      <c r="B655" s="58" t="s">
        <v>1</v>
      </c>
      <c r="C655" s="17">
        <v>221</v>
      </c>
      <c r="D655" s="91">
        <f>+C655*$D$1</f>
        <v>299.89999999999998</v>
      </c>
      <c r="E655" s="91">
        <f t="shared" si="47"/>
        <v>407.86399999999998</v>
      </c>
      <c r="F655" s="198">
        <v>550.1</v>
      </c>
      <c r="G655" s="114" t="s">
        <v>624</v>
      </c>
    </row>
    <row r="656" spans="1:7" ht="41.25" thickBot="1" x14ac:dyDescent="0.3">
      <c r="A656" s="113">
        <v>523120</v>
      </c>
      <c r="B656" s="58" t="s">
        <v>1</v>
      </c>
      <c r="C656" s="17">
        <v>180</v>
      </c>
      <c r="D656" s="87">
        <v>244</v>
      </c>
      <c r="E656" s="87">
        <f t="shared" si="47"/>
        <v>331.84000000000003</v>
      </c>
      <c r="F656" s="192">
        <f t="shared" si="45"/>
        <v>447.98400000000009</v>
      </c>
      <c r="G656" s="114" t="s">
        <v>625</v>
      </c>
    </row>
    <row r="657" spans="1:7" ht="16.5" thickBot="1" x14ac:dyDescent="0.3">
      <c r="A657" s="113">
        <v>523330.1</v>
      </c>
      <c r="B657" s="58" t="s">
        <v>1</v>
      </c>
      <c r="C657" s="17">
        <v>180</v>
      </c>
      <c r="D657" s="87">
        <v>244</v>
      </c>
      <c r="E657" s="87">
        <f t="shared" si="47"/>
        <v>331.84000000000003</v>
      </c>
      <c r="F657" s="192">
        <f t="shared" si="45"/>
        <v>447.98400000000009</v>
      </c>
      <c r="G657" s="114" t="s">
        <v>626</v>
      </c>
    </row>
    <row r="658" spans="1:7" ht="41.25" thickBot="1" x14ac:dyDescent="0.3">
      <c r="A658" s="113">
        <v>523510</v>
      </c>
      <c r="B658" s="58" t="s">
        <v>1</v>
      </c>
      <c r="C658" s="17">
        <v>358</v>
      </c>
      <c r="D658" s="91">
        <v>485</v>
      </c>
      <c r="E658" s="91">
        <v>659.8</v>
      </c>
      <c r="F658" s="198">
        <f t="shared" si="45"/>
        <v>890.73</v>
      </c>
      <c r="G658" s="114" t="s">
        <v>627</v>
      </c>
    </row>
    <row r="659" spans="1:7" ht="41.25" thickBot="1" x14ac:dyDescent="0.3">
      <c r="A659" s="113">
        <v>523520</v>
      </c>
      <c r="B659" s="58" t="s">
        <v>1</v>
      </c>
      <c r="C659" s="17">
        <v>358</v>
      </c>
      <c r="D659" s="91">
        <v>485</v>
      </c>
      <c r="E659" s="91">
        <v>659.8</v>
      </c>
      <c r="F659" s="198">
        <f t="shared" si="45"/>
        <v>890.73</v>
      </c>
      <c r="G659" s="114" t="s">
        <v>628</v>
      </c>
    </row>
    <row r="660" spans="1:7" ht="54.75" thickBot="1" x14ac:dyDescent="0.3">
      <c r="A660" s="113">
        <v>523530</v>
      </c>
      <c r="B660" s="58" t="s">
        <v>124</v>
      </c>
      <c r="C660" s="17">
        <v>221</v>
      </c>
      <c r="D660" s="91">
        <f>+C660*$D$1</f>
        <v>299.89999999999998</v>
      </c>
      <c r="E660" s="91">
        <f t="shared" si="47"/>
        <v>407.86399999999998</v>
      </c>
      <c r="F660" s="198">
        <v>550.1</v>
      </c>
      <c r="G660" s="114" t="s">
        <v>629</v>
      </c>
    </row>
    <row r="661" spans="1:7" ht="27.75" thickBot="1" x14ac:dyDescent="0.3">
      <c r="A661" s="113">
        <v>523540</v>
      </c>
      <c r="B661" s="58" t="s">
        <v>1</v>
      </c>
      <c r="C661" s="17">
        <v>180</v>
      </c>
      <c r="D661" s="87">
        <v>244</v>
      </c>
      <c r="E661" s="87">
        <f t="shared" si="47"/>
        <v>331.84000000000003</v>
      </c>
      <c r="F661" s="192">
        <f t="shared" si="45"/>
        <v>447.98400000000009</v>
      </c>
      <c r="G661" s="114" t="s">
        <v>630</v>
      </c>
    </row>
    <row r="662" spans="1:7" ht="27.75" thickBot="1" x14ac:dyDescent="0.3">
      <c r="A662" s="113">
        <v>523550</v>
      </c>
      <c r="B662" s="58" t="s">
        <v>59</v>
      </c>
      <c r="C662" s="17">
        <v>221</v>
      </c>
      <c r="D662" s="91">
        <f t="shared" ref="D662:D667" si="48">+C662*$D$1</f>
        <v>299.89999999999998</v>
      </c>
      <c r="E662" s="91">
        <f t="shared" si="47"/>
        <v>407.86399999999998</v>
      </c>
      <c r="F662" s="198">
        <v>550.1</v>
      </c>
      <c r="G662" s="114" t="s">
        <v>631</v>
      </c>
    </row>
    <row r="663" spans="1:7" ht="27.75" thickBot="1" x14ac:dyDescent="0.3">
      <c r="A663" s="113">
        <v>523560.1</v>
      </c>
      <c r="B663" s="58" t="s">
        <v>1</v>
      </c>
      <c r="C663" s="17">
        <v>221</v>
      </c>
      <c r="D663" s="91">
        <f t="shared" si="48"/>
        <v>299.89999999999998</v>
      </c>
      <c r="E663" s="91">
        <f t="shared" si="47"/>
        <v>407.86399999999998</v>
      </c>
      <c r="F663" s="198">
        <v>550.1</v>
      </c>
      <c r="G663" s="114" t="s">
        <v>632</v>
      </c>
    </row>
    <row r="664" spans="1:7" ht="54.75" thickBot="1" x14ac:dyDescent="0.3">
      <c r="A664" s="113">
        <v>523560.2</v>
      </c>
      <c r="B664" s="58" t="s">
        <v>1</v>
      </c>
      <c r="C664" s="17">
        <v>221</v>
      </c>
      <c r="D664" s="91">
        <f t="shared" si="48"/>
        <v>299.89999999999998</v>
      </c>
      <c r="E664" s="91">
        <f t="shared" si="47"/>
        <v>407.86399999999998</v>
      </c>
      <c r="F664" s="198">
        <v>550.1</v>
      </c>
      <c r="G664" s="114" t="s">
        <v>633</v>
      </c>
    </row>
    <row r="665" spans="1:7" ht="68.25" thickBot="1" x14ac:dyDescent="0.3">
      <c r="A665" s="113">
        <v>523560.3</v>
      </c>
      <c r="B665" s="58" t="s">
        <v>1</v>
      </c>
      <c r="C665" s="17">
        <v>221</v>
      </c>
      <c r="D665" s="91">
        <f t="shared" si="48"/>
        <v>299.89999999999998</v>
      </c>
      <c r="E665" s="91">
        <f t="shared" si="47"/>
        <v>407.86399999999998</v>
      </c>
      <c r="F665" s="198">
        <v>550.1</v>
      </c>
      <c r="G665" s="114" t="s">
        <v>634</v>
      </c>
    </row>
    <row r="666" spans="1:7" ht="81.75" thickBot="1" x14ac:dyDescent="0.3">
      <c r="A666" s="113">
        <v>523560.4</v>
      </c>
      <c r="B666" s="58" t="s">
        <v>1</v>
      </c>
      <c r="C666" s="17">
        <v>221</v>
      </c>
      <c r="D666" s="91">
        <f t="shared" si="48"/>
        <v>299.89999999999998</v>
      </c>
      <c r="E666" s="91">
        <f t="shared" si="47"/>
        <v>407.86399999999998</v>
      </c>
      <c r="F666" s="198">
        <v>550.1</v>
      </c>
      <c r="G666" s="114" t="s">
        <v>635</v>
      </c>
    </row>
    <row r="667" spans="1:7" ht="27.75" thickBot="1" x14ac:dyDescent="0.3">
      <c r="A667" s="113">
        <v>523590</v>
      </c>
      <c r="B667" s="58" t="s">
        <v>1</v>
      </c>
      <c r="C667" s="17">
        <v>221</v>
      </c>
      <c r="D667" s="91">
        <f t="shared" si="48"/>
        <v>299.89999999999998</v>
      </c>
      <c r="E667" s="91">
        <f t="shared" si="47"/>
        <v>407.86399999999998</v>
      </c>
      <c r="F667" s="198">
        <v>550.1</v>
      </c>
      <c r="G667" s="114" t="s">
        <v>636</v>
      </c>
    </row>
    <row r="668" spans="1:7" ht="27.75" thickBot="1" x14ac:dyDescent="0.3">
      <c r="A668" s="113">
        <v>523620</v>
      </c>
      <c r="B668" s="58" t="s">
        <v>1</v>
      </c>
      <c r="C668" s="17">
        <v>180</v>
      </c>
      <c r="D668" s="87">
        <v>244</v>
      </c>
      <c r="E668" s="87">
        <f t="shared" si="47"/>
        <v>331.84000000000003</v>
      </c>
      <c r="F668" s="192">
        <f t="shared" si="45"/>
        <v>447.98400000000009</v>
      </c>
      <c r="G668" s="114" t="s">
        <v>637</v>
      </c>
    </row>
    <row r="669" spans="1:7" ht="41.25" thickBot="1" x14ac:dyDescent="0.3">
      <c r="A669" s="113">
        <v>523710.1</v>
      </c>
      <c r="B669" s="58" t="s">
        <v>124</v>
      </c>
      <c r="C669" s="17">
        <v>221</v>
      </c>
      <c r="D669" s="91">
        <f>+C669*$D$1</f>
        <v>299.89999999999998</v>
      </c>
      <c r="E669" s="91">
        <f t="shared" si="47"/>
        <v>407.86399999999998</v>
      </c>
      <c r="F669" s="198">
        <v>550.1</v>
      </c>
      <c r="G669" s="114" t="s">
        <v>638</v>
      </c>
    </row>
    <row r="670" spans="1:7" ht="41.25" thickBot="1" x14ac:dyDescent="0.3">
      <c r="A670" s="113">
        <v>523710.2</v>
      </c>
      <c r="B670" s="58" t="s">
        <v>1</v>
      </c>
      <c r="C670" s="17">
        <v>221</v>
      </c>
      <c r="D670" s="91">
        <f>+C670*$D$1</f>
        <v>299.89999999999998</v>
      </c>
      <c r="E670" s="91">
        <f t="shared" si="47"/>
        <v>407.86399999999998</v>
      </c>
      <c r="F670" s="198">
        <v>550.1</v>
      </c>
      <c r="G670" s="114" t="s">
        <v>639</v>
      </c>
    </row>
    <row r="671" spans="1:7" ht="54.75" thickBot="1" x14ac:dyDescent="0.3">
      <c r="A671" s="113">
        <v>523720</v>
      </c>
      <c r="B671" s="58" t="s">
        <v>393</v>
      </c>
      <c r="C671" s="17">
        <v>221</v>
      </c>
      <c r="D671" s="91">
        <f>+C671*$D$1</f>
        <v>299.89999999999998</v>
      </c>
      <c r="E671" s="91">
        <f t="shared" si="47"/>
        <v>407.86399999999998</v>
      </c>
      <c r="F671" s="198">
        <v>550.1</v>
      </c>
      <c r="G671" s="114" t="s">
        <v>640</v>
      </c>
    </row>
    <row r="672" spans="1:7" ht="27.75" thickBot="1" x14ac:dyDescent="0.3">
      <c r="A672" s="113">
        <v>523720.1</v>
      </c>
      <c r="B672" s="58" t="s">
        <v>393</v>
      </c>
      <c r="C672" s="17">
        <v>358</v>
      </c>
      <c r="D672" s="91">
        <v>485</v>
      </c>
      <c r="E672" s="91">
        <v>659.8</v>
      </c>
      <c r="F672" s="198">
        <f t="shared" si="45"/>
        <v>890.73</v>
      </c>
      <c r="G672" s="114" t="s">
        <v>641</v>
      </c>
    </row>
    <row r="673" spans="1:7" ht="16.5" thickBot="1" x14ac:dyDescent="0.3">
      <c r="A673" s="113">
        <v>523720.2</v>
      </c>
      <c r="B673" s="58" t="s">
        <v>393</v>
      </c>
      <c r="C673" s="17">
        <v>708</v>
      </c>
      <c r="D673" s="91">
        <v>960</v>
      </c>
      <c r="E673" s="91">
        <v>1310</v>
      </c>
      <c r="F673" s="198">
        <f t="shared" si="45"/>
        <v>1768.5000000000002</v>
      </c>
      <c r="G673" s="114" t="s">
        <v>642</v>
      </c>
    </row>
    <row r="674" spans="1:7" ht="41.25" thickBot="1" x14ac:dyDescent="0.3">
      <c r="A674" s="113">
        <v>523810</v>
      </c>
      <c r="B674" s="58" t="s">
        <v>1</v>
      </c>
      <c r="C674" s="17">
        <v>180</v>
      </c>
      <c r="D674" s="87">
        <v>244</v>
      </c>
      <c r="E674" s="87">
        <f t="shared" si="47"/>
        <v>331.84000000000003</v>
      </c>
      <c r="F674" s="192">
        <f t="shared" si="45"/>
        <v>447.98400000000009</v>
      </c>
      <c r="G674" s="114" t="s">
        <v>643</v>
      </c>
    </row>
    <row r="675" spans="1:7" ht="27.75" thickBot="1" x14ac:dyDescent="0.3">
      <c r="A675" s="113">
        <v>523820</v>
      </c>
      <c r="B675" s="58" t="s">
        <v>1</v>
      </c>
      <c r="C675" s="17">
        <v>180</v>
      </c>
      <c r="D675" s="87">
        <v>244</v>
      </c>
      <c r="E675" s="87">
        <f t="shared" si="47"/>
        <v>331.84000000000003</v>
      </c>
      <c r="F675" s="192">
        <f t="shared" si="45"/>
        <v>447.98400000000009</v>
      </c>
      <c r="G675" s="114" t="s">
        <v>644</v>
      </c>
    </row>
    <row r="676" spans="1:7" ht="41.25" thickBot="1" x14ac:dyDescent="0.3">
      <c r="A676" s="113">
        <v>523830</v>
      </c>
      <c r="B676" s="58" t="s">
        <v>1</v>
      </c>
      <c r="C676" s="17">
        <v>180</v>
      </c>
      <c r="D676" s="87">
        <v>244</v>
      </c>
      <c r="E676" s="87">
        <f t="shared" si="47"/>
        <v>331.84000000000003</v>
      </c>
      <c r="F676" s="192">
        <f t="shared" si="45"/>
        <v>447.98400000000009</v>
      </c>
      <c r="G676" s="114" t="s">
        <v>645</v>
      </c>
    </row>
    <row r="677" spans="1:7" ht="41.25" thickBot="1" x14ac:dyDescent="0.3">
      <c r="A677" s="113">
        <v>523911</v>
      </c>
      <c r="B677" s="58" t="s">
        <v>1</v>
      </c>
      <c r="C677" s="17">
        <v>180</v>
      </c>
      <c r="D677" s="87">
        <v>244</v>
      </c>
      <c r="E677" s="87">
        <f t="shared" si="47"/>
        <v>331.84000000000003</v>
      </c>
      <c r="F677" s="192">
        <f t="shared" si="45"/>
        <v>447.98400000000009</v>
      </c>
      <c r="G677" s="114" t="s">
        <v>646</v>
      </c>
    </row>
    <row r="678" spans="1:7" ht="54.75" thickBot="1" x14ac:dyDescent="0.3">
      <c r="A678" s="113">
        <v>523912</v>
      </c>
      <c r="B678" s="58" t="s">
        <v>59</v>
      </c>
      <c r="C678" s="17">
        <v>180</v>
      </c>
      <c r="D678" s="87">
        <v>244</v>
      </c>
      <c r="E678" s="87">
        <f t="shared" si="47"/>
        <v>331.84000000000003</v>
      </c>
      <c r="F678" s="192">
        <f t="shared" si="45"/>
        <v>447.98400000000009</v>
      </c>
      <c r="G678" s="114" t="s">
        <v>647</v>
      </c>
    </row>
    <row r="679" spans="1:7" ht="27.75" thickBot="1" x14ac:dyDescent="0.3">
      <c r="A679" s="113">
        <v>523913</v>
      </c>
      <c r="B679" s="58" t="s">
        <v>1</v>
      </c>
      <c r="C679" s="17">
        <v>180</v>
      </c>
      <c r="D679" s="87">
        <v>244</v>
      </c>
      <c r="E679" s="87">
        <f t="shared" si="47"/>
        <v>331.84000000000003</v>
      </c>
      <c r="F679" s="192">
        <f t="shared" si="45"/>
        <v>447.98400000000009</v>
      </c>
      <c r="G679" s="114" t="s">
        <v>648</v>
      </c>
    </row>
    <row r="680" spans="1:7" ht="27.75" thickBot="1" x14ac:dyDescent="0.3">
      <c r="A680" s="113">
        <v>523914</v>
      </c>
      <c r="B680" s="58" t="s">
        <v>59</v>
      </c>
      <c r="C680" s="17">
        <v>180</v>
      </c>
      <c r="D680" s="87">
        <v>244</v>
      </c>
      <c r="E680" s="87">
        <f t="shared" si="47"/>
        <v>331.84000000000003</v>
      </c>
      <c r="F680" s="192">
        <f t="shared" si="45"/>
        <v>447.98400000000009</v>
      </c>
      <c r="G680" s="114" t="s">
        <v>649</v>
      </c>
    </row>
    <row r="681" spans="1:7" ht="41.25" thickBot="1" x14ac:dyDescent="0.3">
      <c r="A681" s="113">
        <v>523920</v>
      </c>
      <c r="B681" s="58" t="s">
        <v>1</v>
      </c>
      <c r="C681" s="17">
        <v>180</v>
      </c>
      <c r="D681" s="87">
        <v>244</v>
      </c>
      <c r="E681" s="87">
        <f t="shared" si="47"/>
        <v>331.84000000000003</v>
      </c>
      <c r="F681" s="192">
        <f t="shared" si="45"/>
        <v>447.98400000000009</v>
      </c>
      <c r="G681" s="114" t="s">
        <v>650</v>
      </c>
    </row>
    <row r="682" spans="1:7" ht="27.75" thickBot="1" x14ac:dyDescent="0.3">
      <c r="A682" s="113">
        <v>523930.1</v>
      </c>
      <c r="B682" s="58" t="s">
        <v>1</v>
      </c>
      <c r="C682" s="17">
        <v>180</v>
      </c>
      <c r="D682" s="91">
        <v>244</v>
      </c>
      <c r="E682" s="91">
        <f t="shared" si="47"/>
        <v>331.84000000000003</v>
      </c>
      <c r="F682" s="198">
        <f t="shared" ref="F682:F742" si="49">+E682*$F$1</f>
        <v>447.98400000000009</v>
      </c>
      <c r="G682" s="114" t="s">
        <v>651</v>
      </c>
    </row>
    <row r="683" spans="1:7" ht="27.75" thickBot="1" x14ac:dyDescent="0.3">
      <c r="A683" s="113">
        <v>523930.2</v>
      </c>
      <c r="B683" s="58" t="s">
        <v>1</v>
      </c>
      <c r="C683" s="17">
        <v>180</v>
      </c>
      <c r="D683" s="91">
        <v>244</v>
      </c>
      <c r="E683" s="91">
        <f t="shared" si="47"/>
        <v>331.84000000000003</v>
      </c>
      <c r="F683" s="198">
        <f t="shared" si="49"/>
        <v>447.98400000000009</v>
      </c>
      <c r="G683" s="114" t="s">
        <v>652</v>
      </c>
    </row>
    <row r="684" spans="1:7" ht="68.25" thickBot="1" x14ac:dyDescent="0.3">
      <c r="A684" s="113">
        <v>523942</v>
      </c>
      <c r="B684" s="58" t="s">
        <v>124</v>
      </c>
      <c r="C684" s="17">
        <v>221</v>
      </c>
      <c r="D684" s="91">
        <f>+C684*$D$1</f>
        <v>299.89999999999998</v>
      </c>
      <c r="E684" s="91">
        <f t="shared" si="47"/>
        <v>407.86399999999998</v>
      </c>
      <c r="F684" s="198">
        <v>550.1</v>
      </c>
      <c r="G684" s="114" t="s">
        <v>653</v>
      </c>
    </row>
    <row r="685" spans="1:7" ht="54.75" thickBot="1" x14ac:dyDescent="0.3">
      <c r="A685" s="113">
        <v>523950</v>
      </c>
      <c r="B685" s="58" t="s">
        <v>1</v>
      </c>
      <c r="C685" s="17">
        <v>221</v>
      </c>
      <c r="D685" s="91">
        <f>+C685*$D$1</f>
        <v>299.89999999999998</v>
      </c>
      <c r="E685" s="91">
        <f t="shared" si="47"/>
        <v>407.86399999999998</v>
      </c>
      <c r="F685" s="198">
        <v>550.1</v>
      </c>
      <c r="G685" s="114" t="s">
        <v>654</v>
      </c>
    </row>
    <row r="686" spans="1:7" ht="27.75" thickBot="1" x14ac:dyDescent="0.3">
      <c r="A686" s="113">
        <v>523950.1</v>
      </c>
      <c r="B686" s="58" t="s">
        <v>1</v>
      </c>
      <c r="C686" s="17">
        <v>221</v>
      </c>
      <c r="D686" s="91">
        <f>+C686*$D$1</f>
        <v>299.89999999999998</v>
      </c>
      <c r="E686" s="91">
        <f t="shared" si="47"/>
        <v>407.86399999999998</v>
      </c>
      <c r="F686" s="198">
        <v>550.1</v>
      </c>
      <c r="G686" s="114" t="s">
        <v>655</v>
      </c>
    </row>
    <row r="687" spans="1:7" ht="41.25" thickBot="1" x14ac:dyDescent="0.3">
      <c r="A687" s="113">
        <v>523952</v>
      </c>
      <c r="B687" s="58" t="s">
        <v>1</v>
      </c>
      <c r="C687" s="17">
        <v>221</v>
      </c>
      <c r="D687" s="91">
        <f>+C687*$D$1</f>
        <v>299.89999999999998</v>
      </c>
      <c r="E687" s="91">
        <f t="shared" si="47"/>
        <v>407.86399999999998</v>
      </c>
      <c r="F687" s="198">
        <v>550.1</v>
      </c>
      <c r="G687" s="114" t="s">
        <v>656</v>
      </c>
    </row>
    <row r="688" spans="1:7" ht="41.25" thickBot="1" x14ac:dyDescent="0.3">
      <c r="A688" s="113">
        <v>523960</v>
      </c>
      <c r="B688" s="58" t="s">
        <v>130</v>
      </c>
      <c r="C688" s="17">
        <v>465</v>
      </c>
      <c r="D688" s="91">
        <v>630</v>
      </c>
      <c r="E688" s="91">
        <v>856.9</v>
      </c>
      <c r="F688" s="198">
        <f t="shared" si="49"/>
        <v>1156.8150000000001</v>
      </c>
      <c r="G688" s="114" t="s">
        <v>657</v>
      </c>
    </row>
    <row r="689" spans="1:7" ht="16.5" thickBot="1" x14ac:dyDescent="0.3">
      <c r="A689" s="113">
        <v>523960.1</v>
      </c>
      <c r="B689" s="58" t="s">
        <v>1</v>
      </c>
      <c r="C689" s="17">
        <v>180</v>
      </c>
      <c r="D689" s="91">
        <v>244</v>
      </c>
      <c r="E689" s="91">
        <f t="shared" si="47"/>
        <v>331.84000000000003</v>
      </c>
      <c r="F689" s="198">
        <f t="shared" si="49"/>
        <v>447.98400000000009</v>
      </c>
      <c r="G689" s="114" t="s">
        <v>658</v>
      </c>
    </row>
    <row r="690" spans="1:7" ht="16.5" thickBot="1" x14ac:dyDescent="0.3">
      <c r="A690" s="113">
        <v>523961</v>
      </c>
      <c r="B690" s="58" t="s">
        <v>393</v>
      </c>
      <c r="C690" s="17">
        <v>465</v>
      </c>
      <c r="D690" s="91">
        <v>630</v>
      </c>
      <c r="E690" s="91">
        <v>856.9</v>
      </c>
      <c r="F690" s="198">
        <f t="shared" si="49"/>
        <v>1156.8150000000001</v>
      </c>
      <c r="G690" s="114" t="s">
        <v>659</v>
      </c>
    </row>
    <row r="691" spans="1:7" ht="41.25" thickBot="1" x14ac:dyDescent="0.3">
      <c r="A691" s="113">
        <v>523965</v>
      </c>
      <c r="B691" s="58" t="s">
        <v>59</v>
      </c>
      <c r="C691" s="17">
        <v>180</v>
      </c>
      <c r="D691" s="91">
        <v>244</v>
      </c>
      <c r="E691" s="91">
        <f t="shared" si="47"/>
        <v>331.84000000000003</v>
      </c>
      <c r="F691" s="198">
        <f t="shared" si="49"/>
        <v>447.98400000000009</v>
      </c>
      <c r="G691" s="114" t="s">
        <v>660</v>
      </c>
    </row>
    <row r="692" spans="1:7" ht="41.25" thickBot="1" x14ac:dyDescent="0.3">
      <c r="A692" s="113">
        <v>523966</v>
      </c>
      <c r="B692" s="58" t="s">
        <v>1</v>
      </c>
      <c r="C692" s="17">
        <v>180</v>
      </c>
      <c r="D692" s="91">
        <v>244</v>
      </c>
      <c r="E692" s="91">
        <f t="shared" si="47"/>
        <v>331.84000000000003</v>
      </c>
      <c r="F692" s="198">
        <f t="shared" si="49"/>
        <v>447.98400000000009</v>
      </c>
      <c r="G692" s="114" t="s">
        <v>661</v>
      </c>
    </row>
    <row r="693" spans="1:7" ht="41.25" thickBot="1" x14ac:dyDescent="0.3">
      <c r="A693" s="113">
        <v>523970</v>
      </c>
      <c r="B693" s="58" t="s">
        <v>1</v>
      </c>
      <c r="C693" s="17">
        <v>180</v>
      </c>
      <c r="D693" s="91">
        <v>244</v>
      </c>
      <c r="E693" s="91">
        <f t="shared" si="47"/>
        <v>331.84000000000003</v>
      </c>
      <c r="F693" s="198">
        <f t="shared" si="49"/>
        <v>447.98400000000009</v>
      </c>
      <c r="G693" s="114" t="s">
        <v>662</v>
      </c>
    </row>
    <row r="694" spans="1:7" ht="27.75" thickBot="1" x14ac:dyDescent="0.3">
      <c r="A694" s="113">
        <v>523991</v>
      </c>
      <c r="B694" s="58" t="s">
        <v>1</v>
      </c>
      <c r="C694" s="17">
        <v>180</v>
      </c>
      <c r="D694" s="91">
        <v>244</v>
      </c>
      <c r="E694" s="91">
        <f t="shared" si="47"/>
        <v>331.84000000000003</v>
      </c>
      <c r="F694" s="198">
        <f t="shared" si="49"/>
        <v>447.98400000000009</v>
      </c>
      <c r="G694" s="114" t="s">
        <v>663</v>
      </c>
    </row>
    <row r="695" spans="1:7" ht="54.75" thickBot="1" x14ac:dyDescent="0.3">
      <c r="A695" s="113">
        <v>523992.1</v>
      </c>
      <c r="B695" s="58" t="s">
        <v>1</v>
      </c>
      <c r="C695" s="17">
        <v>358</v>
      </c>
      <c r="D695" s="91">
        <v>485</v>
      </c>
      <c r="E695" s="91">
        <v>659.8</v>
      </c>
      <c r="F695" s="198">
        <f t="shared" si="49"/>
        <v>890.73</v>
      </c>
      <c r="G695" s="114" t="s">
        <v>664</v>
      </c>
    </row>
    <row r="696" spans="1:7" ht="41.25" thickBot="1" x14ac:dyDescent="0.3">
      <c r="A696" s="113">
        <v>523992.2</v>
      </c>
      <c r="B696" s="58" t="s">
        <v>1</v>
      </c>
      <c r="C696" s="17">
        <v>358</v>
      </c>
      <c r="D696" s="91">
        <v>485</v>
      </c>
      <c r="E696" s="91">
        <v>659.8</v>
      </c>
      <c r="F696" s="198">
        <f t="shared" si="49"/>
        <v>890.73</v>
      </c>
      <c r="G696" s="114" t="s">
        <v>665</v>
      </c>
    </row>
    <row r="697" spans="1:7" ht="54.75" thickBot="1" x14ac:dyDescent="0.3">
      <c r="A697" s="113">
        <v>523993</v>
      </c>
      <c r="B697" s="58" t="s">
        <v>1</v>
      </c>
      <c r="C697" s="17">
        <v>221</v>
      </c>
      <c r="D697" s="91">
        <f>+C697*$D$1</f>
        <v>299.89999999999998</v>
      </c>
      <c r="E697" s="91">
        <f t="shared" si="47"/>
        <v>407.86399999999998</v>
      </c>
      <c r="F697" s="198">
        <v>550.1</v>
      </c>
      <c r="G697" s="114" t="s">
        <v>666</v>
      </c>
    </row>
    <row r="698" spans="1:7" ht="27.75" thickBot="1" x14ac:dyDescent="0.3">
      <c r="A698" s="113">
        <v>523999.1</v>
      </c>
      <c r="B698" s="58" t="s">
        <v>1</v>
      </c>
      <c r="C698" s="17">
        <v>221</v>
      </c>
      <c r="D698" s="91">
        <f>+C698*$D$1</f>
        <v>299.89999999999998</v>
      </c>
      <c r="E698" s="91">
        <f t="shared" si="47"/>
        <v>407.86399999999998</v>
      </c>
      <c r="F698" s="198">
        <v>550.1</v>
      </c>
      <c r="G698" s="114" t="s">
        <v>667</v>
      </c>
    </row>
    <row r="699" spans="1:7" ht="27.75" thickBot="1" x14ac:dyDescent="0.3">
      <c r="A699" s="113">
        <v>523999.2</v>
      </c>
      <c r="B699" s="58" t="s">
        <v>480</v>
      </c>
      <c r="C699" s="17" t="s">
        <v>480</v>
      </c>
      <c r="D699" s="91">
        <v>0</v>
      </c>
      <c r="E699" s="91">
        <f t="shared" si="47"/>
        <v>0</v>
      </c>
      <c r="F699" s="198">
        <f t="shared" si="49"/>
        <v>0</v>
      </c>
      <c r="G699" s="114" t="s">
        <v>668</v>
      </c>
    </row>
    <row r="700" spans="1:7" ht="41.25" thickBot="1" x14ac:dyDescent="0.3">
      <c r="A700" s="113">
        <v>523999.3</v>
      </c>
      <c r="B700" s="58" t="s">
        <v>1</v>
      </c>
      <c r="C700" s="17">
        <v>180</v>
      </c>
      <c r="D700" s="91">
        <v>244</v>
      </c>
      <c r="E700" s="91">
        <f t="shared" si="47"/>
        <v>331.84000000000003</v>
      </c>
      <c r="F700" s="198">
        <f t="shared" si="49"/>
        <v>447.98400000000009</v>
      </c>
      <c r="G700" s="114" t="s">
        <v>669</v>
      </c>
    </row>
    <row r="701" spans="1:7" ht="27.75" thickBot="1" x14ac:dyDescent="0.3">
      <c r="A701" s="113">
        <v>523999.4</v>
      </c>
      <c r="B701" s="58" t="s">
        <v>1</v>
      </c>
      <c r="C701" s="17">
        <v>180</v>
      </c>
      <c r="D701" s="91">
        <v>244</v>
      </c>
      <c r="E701" s="91">
        <f t="shared" si="47"/>
        <v>331.84000000000003</v>
      </c>
      <c r="F701" s="198">
        <f t="shared" si="49"/>
        <v>447.98400000000009</v>
      </c>
      <c r="G701" s="114" t="s">
        <v>670</v>
      </c>
    </row>
    <row r="702" spans="1:7" ht="54.75" thickBot="1" x14ac:dyDescent="0.3">
      <c r="A702" s="113">
        <v>523999.5</v>
      </c>
      <c r="B702" s="58" t="s">
        <v>1</v>
      </c>
      <c r="C702" s="17">
        <v>180</v>
      </c>
      <c r="D702" s="91">
        <v>244</v>
      </c>
      <c r="E702" s="91">
        <f t="shared" si="47"/>
        <v>331.84000000000003</v>
      </c>
      <c r="F702" s="198">
        <f t="shared" si="49"/>
        <v>447.98400000000009</v>
      </c>
      <c r="G702" s="114" t="s">
        <v>671</v>
      </c>
    </row>
    <row r="703" spans="1:7" ht="41.25" thickBot="1" x14ac:dyDescent="0.3">
      <c r="A703" s="113">
        <v>523999.6</v>
      </c>
      <c r="B703" s="58" t="s">
        <v>1</v>
      </c>
      <c r="C703" s="17">
        <v>180</v>
      </c>
      <c r="D703" s="91">
        <v>244</v>
      </c>
      <c r="E703" s="91">
        <f t="shared" si="47"/>
        <v>331.84000000000003</v>
      </c>
      <c r="F703" s="198">
        <f t="shared" si="49"/>
        <v>447.98400000000009</v>
      </c>
      <c r="G703" s="114" t="s">
        <v>672</v>
      </c>
    </row>
    <row r="704" spans="1:7" ht="27.75" thickBot="1" x14ac:dyDescent="0.3">
      <c r="A704" s="113">
        <v>523999.7</v>
      </c>
      <c r="B704" s="58" t="s">
        <v>1</v>
      </c>
      <c r="C704" s="17">
        <v>180</v>
      </c>
      <c r="D704" s="87">
        <v>244</v>
      </c>
      <c r="E704" s="87">
        <f t="shared" si="47"/>
        <v>331.84000000000003</v>
      </c>
      <c r="F704" s="192">
        <f t="shared" si="49"/>
        <v>447.98400000000009</v>
      </c>
      <c r="G704" s="114" t="s">
        <v>673</v>
      </c>
    </row>
    <row r="705" spans="1:7" ht="54.75" thickBot="1" x14ac:dyDescent="0.3">
      <c r="A705" s="113">
        <v>523999.8</v>
      </c>
      <c r="B705" s="58" t="s">
        <v>1</v>
      </c>
      <c r="C705" s="17">
        <v>221</v>
      </c>
      <c r="D705" s="91">
        <f>+C705*$D$1</f>
        <v>299.89999999999998</v>
      </c>
      <c r="E705" s="91">
        <f t="shared" si="47"/>
        <v>407.86399999999998</v>
      </c>
      <c r="F705" s="198">
        <v>550.1</v>
      </c>
      <c r="G705" s="114" t="s">
        <v>674</v>
      </c>
    </row>
    <row r="706" spans="1:7" ht="41.25" thickBot="1" x14ac:dyDescent="0.3">
      <c r="A706" s="113" t="s">
        <v>978</v>
      </c>
      <c r="B706" s="58" t="s">
        <v>1</v>
      </c>
      <c r="C706" s="17">
        <v>221</v>
      </c>
      <c r="D706" s="91">
        <f>+C706*$D$1</f>
        <v>299.89999999999998</v>
      </c>
      <c r="E706" s="91">
        <f t="shared" ref="E706:E769" si="50">+D706*1.36</f>
        <v>407.86399999999998</v>
      </c>
      <c r="F706" s="198">
        <v>550.1</v>
      </c>
      <c r="G706" s="114" t="s">
        <v>675</v>
      </c>
    </row>
    <row r="707" spans="1:7" ht="27.75" thickBot="1" x14ac:dyDescent="0.3">
      <c r="A707" s="113" t="s">
        <v>979</v>
      </c>
      <c r="B707" s="58" t="s">
        <v>1</v>
      </c>
      <c r="C707" s="17">
        <v>180</v>
      </c>
      <c r="D707" s="87">
        <v>244</v>
      </c>
      <c r="E707" s="87">
        <f t="shared" si="50"/>
        <v>331.84000000000003</v>
      </c>
      <c r="F707" s="192">
        <f t="shared" si="49"/>
        <v>447.98400000000009</v>
      </c>
      <c r="G707" s="114" t="s">
        <v>676</v>
      </c>
    </row>
    <row r="708" spans="1:7" ht="54.75" thickBot="1" x14ac:dyDescent="0.3">
      <c r="A708" s="113">
        <v>523999.11</v>
      </c>
      <c r="B708" s="58" t="s">
        <v>1</v>
      </c>
      <c r="C708" s="17">
        <v>221</v>
      </c>
      <c r="D708" s="91">
        <f>+C708*$D$1</f>
        <v>299.89999999999998</v>
      </c>
      <c r="E708" s="91">
        <f t="shared" si="50"/>
        <v>407.86399999999998</v>
      </c>
      <c r="F708" s="198">
        <v>550.1</v>
      </c>
      <c r="G708" s="114" t="s">
        <v>677</v>
      </c>
    </row>
    <row r="709" spans="1:7" ht="27.75" thickBot="1" x14ac:dyDescent="0.3">
      <c r="A709" s="113">
        <v>523999.12</v>
      </c>
      <c r="B709" s="58" t="s">
        <v>1</v>
      </c>
      <c r="C709" s="17">
        <v>358</v>
      </c>
      <c r="D709" s="91">
        <v>485</v>
      </c>
      <c r="E709" s="91">
        <v>659.8</v>
      </c>
      <c r="F709" s="198">
        <f t="shared" si="49"/>
        <v>890.73</v>
      </c>
      <c r="G709" s="114" t="s">
        <v>678</v>
      </c>
    </row>
    <row r="710" spans="1:7" ht="27.75" thickBot="1" x14ac:dyDescent="0.3">
      <c r="A710" s="113">
        <v>523999.13</v>
      </c>
      <c r="B710" s="58" t="s">
        <v>1</v>
      </c>
      <c r="C710" s="17">
        <v>180</v>
      </c>
      <c r="D710" s="87">
        <v>244</v>
      </c>
      <c r="E710" s="87">
        <f t="shared" si="50"/>
        <v>331.84000000000003</v>
      </c>
      <c r="F710" s="192">
        <f t="shared" si="49"/>
        <v>447.98400000000009</v>
      </c>
      <c r="G710" s="114" t="s">
        <v>679</v>
      </c>
    </row>
    <row r="711" spans="1:7" ht="27.75" thickBot="1" x14ac:dyDescent="0.3">
      <c r="A711" s="113">
        <v>524000</v>
      </c>
      <c r="B711" s="58" t="s">
        <v>1</v>
      </c>
      <c r="C711" s="17">
        <v>180</v>
      </c>
      <c r="D711" s="87">
        <v>244</v>
      </c>
      <c r="E711" s="87">
        <f t="shared" si="50"/>
        <v>331.84000000000003</v>
      </c>
      <c r="F711" s="192">
        <f t="shared" si="49"/>
        <v>447.98400000000009</v>
      </c>
      <c r="G711" s="114" t="s">
        <v>680</v>
      </c>
    </row>
    <row r="712" spans="1:7" ht="27.75" thickBot="1" x14ac:dyDescent="0.3">
      <c r="A712" s="113">
        <v>524200</v>
      </c>
      <c r="B712" s="58" t="s">
        <v>124</v>
      </c>
      <c r="C712" s="17">
        <v>180</v>
      </c>
      <c r="D712" s="87">
        <v>244</v>
      </c>
      <c r="E712" s="87">
        <f t="shared" si="50"/>
        <v>331.84000000000003</v>
      </c>
      <c r="F712" s="192">
        <f t="shared" si="49"/>
        <v>447.98400000000009</v>
      </c>
      <c r="G712" s="114" t="s">
        <v>681</v>
      </c>
    </row>
    <row r="713" spans="1:7" ht="54.75" thickBot="1" x14ac:dyDescent="0.3">
      <c r="A713" s="113">
        <v>524910</v>
      </c>
      <c r="B713" s="58" t="s">
        <v>59</v>
      </c>
      <c r="C713" s="17">
        <v>180</v>
      </c>
      <c r="D713" s="87">
        <v>244</v>
      </c>
      <c r="E713" s="87">
        <f t="shared" si="50"/>
        <v>331.84000000000003</v>
      </c>
      <c r="F713" s="192">
        <f t="shared" si="49"/>
        <v>447.98400000000009</v>
      </c>
      <c r="G713" s="114" t="s">
        <v>682</v>
      </c>
    </row>
    <row r="714" spans="1:7" ht="27.75" thickBot="1" x14ac:dyDescent="0.3">
      <c r="A714" s="113">
        <v>524990</v>
      </c>
      <c r="B714" s="58" t="s">
        <v>124</v>
      </c>
      <c r="C714" s="17">
        <v>180</v>
      </c>
      <c r="D714" s="87">
        <v>244</v>
      </c>
      <c r="E714" s="87">
        <f t="shared" si="50"/>
        <v>331.84000000000003</v>
      </c>
      <c r="F714" s="192">
        <f t="shared" si="49"/>
        <v>447.98400000000009</v>
      </c>
      <c r="G714" s="114" t="s">
        <v>683</v>
      </c>
    </row>
    <row r="715" spans="1:7" ht="41.25" thickBot="1" x14ac:dyDescent="0.3">
      <c r="A715" s="113">
        <v>525000</v>
      </c>
      <c r="B715" s="58" t="s">
        <v>684</v>
      </c>
      <c r="C715" s="17">
        <v>180</v>
      </c>
      <c r="D715" s="87">
        <v>244</v>
      </c>
      <c r="E715" s="87">
        <f t="shared" si="50"/>
        <v>331.84000000000003</v>
      </c>
      <c r="F715" s="192">
        <f t="shared" si="49"/>
        <v>447.98400000000009</v>
      </c>
      <c r="G715" s="114" t="s">
        <v>685</v>
      </c>
    </row>
    <row r="716" spans="1:7" ht="41.25" thickBot="1" x14ac:dyDescent="0.3">
      <c r="A716" s="113">
        <v>525040</v>
      </c>
      <c r="B716" s="58" t="s">
        <v>1</v>
      </c>
      <c r="C716" s="17">
        <v>180</v>
      </c>
      <c r="D716" s="87">
        <v>244</v>
      </c>
      <c r="E716" s="87">
        <f t="shared" si="50"/>
        <v>331.84000000000003</v>
      </c>
      <c r="F716" s="192">
        <f t="shared" si="49"/>
        <v>447.98400000000009</v>
      </c>
      <c r="G716" s="114" t="s">
        <v>686</v>
      </c>
    </row>
    <row r="717" spans="1:7" ht="27.75" thickBot="1" x14ac:dyDescent="0.3">
      <c r="A717" s="113">
        <v>525900</v>
      </c>
      <c r="B717" s="58" t="s">
        <v>1</v>
      </c>
      <c r="C717" s="17">
        <v>180</v>
      </c>
      <c r="D717" s="87">
        <v>244</v>
      </c>
      <c r="E717" s="87">
        <f t="shared" si="50"/>
        <v>331.84000000000003</v>
      </c>
      <c r="F717" s="192">
        <f t="shared" si="49"/>
        <v>447.98400000000009</v>
      </c>
      <c r="G717" s="114" t="s">
        <v>687</v>
      </c>
    </row>
    <row r="718" spans="1:7" ht="16.5" thickBot="1" x14ac:dyDescent="0.3">
      <c r="A718" s="113">
        <v>525900.1</v>
      </c>
      <c r="B718" s="58" t="s">
        <v>393</v>
      </c>
      <c r="C718" s="17">
        <v>300</v>
      </c>
      <c r="D718" s="91">
        <v>407</v>
      </c>
      <c r="E718" s="91">
        <v>553.54999999999995</v>
      </c>
      <c r="F718" s="198">
        <f t="shared" si="49"/>
        <v>747.29250000000002</v>
      </c>
      <c r="G718" s="114" t="s">
        <v>688</v>
      </c>
    </row>
    <row r="719" spans="1:7" ht="27.75" thickBot="1" x14ac:dyDescent="0.3">
      <c r="A719" s="113">
        <v>525900.19999999995</v>
      </c>
      <c r="B719" s="58" t="s">
        <v>1</v>
      </c>
      <c r="C719" s="17">
        <v>221</v>
      </c>
      <c r="D719" s="91">
        <f>+C719*$D$1</f>
        <v>299.89999999999998</v>
      </c>
      <c r="E719" s="91">
        <f t="shared" si="50"/>
        <v>407.86399999999998</v>
      </c>
      <c r="F719" s="198">
        <v>550.1</v>
      </c>
      <c r="G719" s="114" t="s">
        <v>689</v>
      </c>
    </row>
    <row r="720" spans="1:7" ht="27.75" thickBot="1" x14ac:dyDescent="0.3">
      <c r="A720" s="113">
        <v>525900.30000000005</v>
      </c>
      <c r="B720" s="58" t="s">
        <v>1</v>
      </c>
      <c r="C720" s="17">
        <v>180</v>
      </c>
      <c r="D720" s="87">
        <v>244</v>
      </c>
      <c r="E720" s="87">
        <f t="shared" si="50"/>
        <v>331.84000000000003</v>
      </c>
      <c r="F720" s="192">
        <f t="shared" si="49"/>
        <v>447.98400000000009</v>
      </c>
      <c r="G720" s="114" t="s">
        <v>690</v>
      </c>
    </row>
    <row r="721" spans="1:7" ht="16.5" thickBot="1" x14ac:dyDescent="0.3">
      <c r="A721" s="113">
        <v>525901</v>
      </c>
      <c r="B721" s="58" t="s">
        <v>427</v>
      </c>
      <c r="C721" s="17">
        <v>300</v>
      </c>
      <c r="D721" s="91">
        <v>407</v>
      </c>
      <c r="E721" s="91">
        <v>553.54999999999995</v>
      </c>
      <c r="F721" s="198">
        <f t="shared" si="49"/>
        <v>747.29250000000002</v>
      </c>
      <c r="G721" s="114" t="s">
        <v>691</v>
      </c>
    </row>
    <row r="722" spans="1:7" ht="27.75" thickBot="1" x14ac:dyDescent="0.3">
      <c r="A722" s="113">
        <v>525902</v>
      </c>
      <c r="B722" s="58" t="s">
        <v>59</v>
      </c>
      <c r="C722" s="17">
        <v>180</v>
      </c>
      <c r="D722" s="87">
        <v>244</v>
      </c>
      <c r="E722" s="87">
        <f t="shared" si="50"/>
        <v>331.84000000000003</v>
      </c>
      <c r="F722" s="192">
        <f t="shared" si="49"/>
        <v>447.98400000000009</v>
      </c>
      <c r="G722" s="114" t="s">
        <v>692</v>
      </c>
    </row>
    <row r="723" spans="1:7" ht="17.25" thickBot="1" x14ac:dyDescent="0.3">
      <c r="A723" s="120" t="s">
        <v>693</v>
      </c>
      <c r="B723" s="79"/>
      <c r="C723" s="4"/>
      <c r="D723" s="46"/>
      <c r="E723" s="46"/>
      <c r="F723" s="46"/>
      <c r="G723" s="75"/>
    </row>
    <row r="724" spans="1:7" ht="17.25" customHeight="1" thickBot="1" x14ac:dyDescent="0.3">
      <c r="A724" s="76" t="s">
        <v>694</v>
      </c>
      <c r="B724" s="79"/>
      <c r="C724" s="4"/>
      <c r="D724" s="46"/>
      <c r="E724" s="46"/>
      <c r="F724" s="46"/>
      <c r="G724" s="75"/>
    </row>
    <row r="725" spans="1:7" ht="16.5" thickBot="1" x14ac:dyDescent="0.3">
      <c r="A725" s="113">
        <v>601100</v>
      </c>
      <c r="B725" s="58" t="s">
        <v>1</v>
      </c>
      <c r="C725" s="17">
        <v>3536</v>
      </c>
      <c r="D725" s="56">
        <v>4800</v>
      </c>
      <c r="E725" s="56">
        <f t="shared" si="50"/>
        <v>6528.0000000000009</v>
      </c>
      <c r="F725" s="198">
        <f t="shared" si="49"/>
        <v>8812.8000000000011</v>
      </c>
      <c r="G725" s="114" t="s">
        <v>695</v>
      </c>
    </row>
    <row r="726" spans="1:7" ht="16.5" thickBot="1" x14ac:dyDescent="0.3">
      <c r="A726" s="113">
        <v>602110</v>
      </c>
      <c r="B726" s="58" t="s">
        <v>1</v>
      </c>
      <c r="C726" s="17">
        <v>221</v>
      </c>
      <c r="D726" s="91">
        <f>+C726*$D$1</f>
        <v>299.89999999999998</v>
      </c>
      <c r="E726" s="91">
        <f t="shared" si="50"/>
        <v>407.86399999999998</v>
      </c>
      <c r="F726" s="198">
        <v>550.1</v>
      </c>
      <c r="G726" s="114" t="s">
        <v>696</v>
      </c>
    </row>
    <row r="727" spans="1:7" ht="27.75" thickBot="1" x14ac:dyDescent="0.3">
      <c r="A727" s="113">
        <v>602180</v>
      </c>
      <c r="B727" s="58" t="s">
        <v>59</v>
      </c>
      <c r="C727" s="17">
        <v>221</v>
      </c>
      <c r="D727" s="91">
        <f>+C727*$D$1</f>
        <v>299.89999999999998</v>
      </c>
      <c r="E727" s="91">
        <f t="shared" si="50"/>
        <v>407.86399999999998</v>
      </c>
      <c r="F727" s="198">
        <v>550.1</v>
      </c>
      <c r="G727" s="114" t="s">
        <v>697</v>
      </c>
    </row>
    <row r="728" spans="1:7" ht="41.25" thickBot="1" x14ac:dyDescent="0.3">
      <c r="A728" s="113">
        <v>602190</v>
      </c>
      <c r="B728" s="58" t="s">
        <v>1</v>
      </c>
      <c r="C728" s="17">
        <v>358</v>
      </c>
      <c r="D728" s="91">
        <v>485</v>
      </c>
      <c r="E728" s="91">
        <v>659.8</v>
      </c>
      <c r="F728" s="198">
        <f t="shared" si="49"/>
        <v>890.73</v>
      </c>
      <c r="G728" s="114" t="s">
        <v>698</v>
      </c>
    </row>
    <row r="729" spans="1:7" ht="27.75" thickBot="1" x14ac:dyDescent="0.3">
      <c r="A729" s="113">
        <v>602210.1</v>
      </c>
      <c r="B729" s="58" t="s">
        <v>1</v>
      </c>
      <c r="C729" s="17">
        <v>1651</v>
      </c>
      <c r="D729" s="91">
        <v>2240</v>
      </c>
      <c r="E729" s="91">
        <v>3046.7</v>
      </c>
      <c r="F729" s="198">
        <f t="shared" si="49"/>
        <v>4113.0450000000001</v>
      </c>
      <c r="G729" s="114" t="s">
        <v>699</v>
      </c>
    </row>
    <row r="730" spans="1:7" ht="27.75" thickBot="1" x14ac:dyDescent="0.3">
      <c r="A730" s="113">
        <v>602210.19999999995</v>
      </c>
      <c r="B730" s="58" t="s">
        <v>59</v>
      </c>
      <c r="C730" s="17">
        <v>1651</v>
      </c>
      <c r="D730" s="91">
        <v>2240</v>
      </c>
      <c r="E730" s="91">
        <v>3046.7</v>
      </c>
      <c r="F730" s="198">
        <f t="shared" si="49"/>
        <v>4113.0450000000001</v>
      </c>
      <c r="G730" s="114" t="s">
        <v>700</v>
      </c>
    </row>
    <row r="731" spans="1:7" ht="32.25" thickBot="1" x14ac:dyDescent="0.3">
      <c r="A731" s="113">
        <v>602220</v>
      </c>
      <c r="B731" s="58" t="s">
        <v>59</v>
      </c>
      <c r="C731" s="17">
        <v>180</v>
      </c>
      <c r="D731" s="87">
        <v>244</v>
      </c>
      <c r="E731" s="87">
        <f t="shared" si="50"/>
        <v>331.84000000000003</v>
      </c>
      <c r="F731" s="245" t="s">
        <v>1053</v>
      </c>
      <c r="G731" s="114" t="s">
        <v>701</v>
      </c>
    </row>
    <row r="732" spans="1:7" ht="27.75" thickBot="1" x14ac:dyDescent="0.3">
      <c r="A732" s="113">
        <v>602220.1</v>
      </c>
      <c r="B732" s="58" t="s">
        <v>59</v>
      </c>
      <c r="C732" s="17">
        <v>572</v>
      </c>
      <c r="D732" s="91">
        <v>776</v>
      </c>
      <c r="E732" s="91">
        <v>1055.7</v>
      </c>
      <c r="F732" s="198">
        <f t="shared" si="49"/>
        <v>1425.1950000000002</v>
      </c>
      <c r="G732" s="114" t="s">
        <v>702</v>
      </c>
    </row>
    <row r="733" spans="1:7" ht="16.5" thickBot="1" x14ac:dyDescent="0.3">
      <c r="A733" s="113">
        <v>602230</v>
      </c>
      <c r="B733" s="58" t="s">
        <v>1</v>
      </c>
      <c r="C733" s="17">
        <v>180</v>
      </c>
      <c r="D733" s="87">
        <v>244</v>
      </c>
      <c r="E733" s="87">
        <f t="shared" si="50"/>
        <v>331.84000000000003</v>
      </c>
      <c r="F733" s="192">
        <f t="shared" si="49"/>
        <v>447.98400000000009</v>
      </c>
      <c r="G733" s="114" t="s">
        <v>703</v>
      </c>
    </row>
    <row r="734" spans="1:7" ht="54.75" thickBot="1" x14ac:dyDescent="0.3">
      <c r="A734" s="113">
        <v>602240</v>
      </c>
      <c r="B734" s="58" t="s">
        <v>139</v>
      </c>
      <c r="C734" s="17">
        <v>180</v>
      </c>
      <c r="D734" s="87">
        <v>244</v>
      </c>
      <c r="E734" s="87">
        <f t="shared" si="50"/>
        <v>331.84000000000003</v>
      </c>
      <c r="F734" s="192">
        <f t="shared" si="49"/>
        <v>447.98400000000009</v>
      </c>
      <c r="G734" s="114" t="s">
        <v>704</v>
      </c>
    </row>
    <row r="735" spans="1:7" ht="27.75" thickBot="1" x14ac:dyDescent="0.3">
      <c r="A735" s="113">
        <v>602250</v>
      </c>
      <c r="B735" s="58" t="s">
        <v>59</v>
      </c>
      <c r="C735" s="17">
        <v>1651</v>
      </c>
      <c r="D735" s="91">
        <v>2240</v>
      </c>
      <c r="E735" s="91">
        <v>3046.7</v>
      </c>
      <c r="F735" s="198">
        <f t="shared" si="49"/>
        <v>4113.0450000000001</v>
      </c>
      <c r="G735" s="114" t="s">
        <v>705</v>
      </c>
    </row>
    <row r="736" spans="1:7" ht="27.75" thickBot="1" x14ac:dyDescent="0.3">
      <c r="A736" s="113">
        <v>603100</v>
      </c>
      <c r="B736" s="58" t="s">
        <v>1</v>
      </c>
      <c r="C736" s="17">
        <v>221</v>
      </c>
      <c r="D736" s="91">
        <f>+C736*$D$1</f>
        <v>299.89999999999998</v>
      </c>
      <c r="E736" s="91">
        <f t="shared" si="50"/>
        <v>407.86399999999998</v>
      </c>
      <c r="F736" s="198">
        <v>550.1</v>
      </c>
      <c r="G736" s="114" t="s">
        <v>706</v>
      </c>
    </row>
    <row r="737" spans="1:7" ht="17.25" customHeight="1" thickBot="1" x14ac:dyDescent="0.3">
      <c r="A737" s="76" t="s">
        <v>707</v>
      </c>
      <c r="B737" s="79"/>
      <c r="C737" s="4"/>
      <c r="D737" s="46"/>
      <c r="E737" s="46"/>
      <c r="F737" s="46"/>
      <c r="G737" s="75"/>
    </row>
    <row r="738" spans="1:7" ht="27.75" thickBot="1" x14ac:dyDescent="0.3">
      <c r="A738" s="113">
        <v>622000</v>
      </c>
      <c r="B738" s="58" t="s">
        <v>1</v>
      </c>
      <c r="C738" s="17">
        <v>3536</v>
      </c>
      <c r="D738" s="56">
        <v>4800</v>
      </c>
      <c r="E738" s="56">
        <f t="shared" si="50"/>
        <v>6528.0000000000009</v>
      </c>
      <c r="F738" s="198">
        <f t="shared" si="49"/>
        <v>8812.8000000000011</v>
      </c>
      <c r="G738" s="114" t="s">
        <v>708</v>
      </c>
    </row>
    <row r="739" spans="1:7" ht="17.25" customHeight="1" thickBot="1" x14ac:dyDescent="0.3">
      <c r="A739" s="76" t="s">
        <v>709</v>
      </c>
      <c r="B739" s="79"/>
      <c r="C739" s="4"/>
      <c r="D739" s="46"/>
      <c r="E739" s="46"/>
      <c r="F739" s="46"/>
      <c r="G739" s="75"/>
    </row>
    <row r="740" spans="1:7" ht="27.75" thickBot="1" x14ac:dyDescent="0.3">
      <c r="A740" s="113">
        <v>632003</v>
      </c>
      <c r="B740" s="58" t="s">
        <v>1</v>
      </c>
      <c r="C740" s="17">
        <v>221</v>
      </c>
      <c r="D740" s="56">
        <f>+C740*$D$1</f>
        <v>299.89999999999998</v>
      </c>
      <c r="E740" s="56">
        <f t="shared" si="50"/>
        <v>407.86399999999998</v>
      </c>
      <c r="F740" s="198">
        <v>550.1</v>
      </c>
      <c r="G740" s="114" t="s">
        <v>710</v>
      </c>
    </row>
    <row r="741" spans="1:7" ht="27.75" thickBot="1" x14ac:dyDescent="0.3">
      <c r="A741" s="113">
        <v>632004</v>
      </c>
      <c r="B741" s="58" t="s">
        <v>393</v>
      </c>
      <c r="C741" s="17">
        <v>221</v>
      </c>
      <c r="D741" s="91">
        <f>+C741*$D$1</f>
        <v>299.89999999999998</v>
      </c>
      <c r="E741" s="91">
        <f t="shared" si="50"/>
        <v>407.86399999999998</v>
      </c>
      <c r="F741" s="198">
        <v>550.1</v>
      </c>
      <c r="G741" s="114" t="s">
        <v>711</v>
      </c>
    </row>
    <row r="742" spans="1:7" ht="16.5" thickBot="1" x14ac:dyDescent="0.3">
      <c r="A742" s="113">
        <v>633110</v>
      </c>
      <c r="B742" s="58" t="s">
        <v>1</v>
      </c>
      <c r="C742" s="17">
        <v>3536</v>
      </c>
      <c r="D742" s="91">
        <v>4800</v>
      </c>
      <c r="E742" s="91">
        <f t="shared" si="50"/>
        <v>6528.0000000000009</v>
      </c>
      <c r="F742" s="198">
        <f t="shared" si="49"/>
        <v>8812.8000000000011</v>
      </c>
      <c r="G742" s="114" t="s">
        <v>712</v>
      </c>
    </row>
    <row r="743" spans="1:7" ht="41.25" thickBot="1" x14ac:dyDescent="0.3">
      <c r="A743" s="113">
        <v>633190</v>
      </c>
      <c r="B743" s="58" t="s">
        <v>1</v>
      </c>
      <c r="C743" s="17">
        <v>221</v>
      </c>
      <c r="D743" s="91">
        <f>+C743*$D$1</f>
        <v>299.89999999999998</v>
      </c>
      <c r="E743" s="91">
        <f t="shared" si="50"/>
        <v>407.86399999999998</v>
      </c>
      <c r="F743" s="198">
        <v>550.1</v>
      </c>
      <c r="G743" s="114" t="s">
        <v>713</v>
      </c>
    </row>
    <row r="744" spans="1:7" ht="27.75" thickBot="1" x14ac:dyDescent="0.3">
      <c r="A744" s="113">
        <v>633390</v>
      </c>
      <c r="B744" s="58" t="s">
        <v>1</v>
      </c>
      <c r="C744" s="17">
        <v>221</v>
      </c>
      <c r="D744" s="91">
        <f>+C744*$D$1</f>
        <v>299.89999999999998</v>
      </c>
      <c r="E744" s="91">
        <f t="shared" si="50"/>
        <v>407.86399999999998</v>
      </c>
      <c r="F744" s="198">
        <v>550.1</v>
      </c>
      <c r="G744" s="114" t="s">
        <v>714</v>
      </c>
    </row>
    <row r="745" spans="1:7" ht="27.75" thickBot="1" x14ac:dyDescent="0.3">
      <c r="A745" s="113">
        <v>634100</v>
      </c>
      <c r="B745" s="58" t="s">
        <v>393</v>
      </c>
      <c r="C745" s="17">
        <v>221</v>
      </c>
      <c r="D745" s="91">
        <f>+C745*$D$1</f>
        <v>299.89999999999998</v>
      </c>
      <c r="E745" s="91">
        <f t="shared" si="50"/>
        <v>407.86399999999998</v>
      </c>
      <c r="F745" s="198">
        <v>550.1</v>
      </c>
      <c r="G745" s="114" t="s">
        <v>715</v>
      </c>
    </row>
    <row r="746" spans="1:7" ht="41.25" thickBot="1" x14ac:dyDescent="0.3">
      <c r="A746" s="113">
        <v>634110</v>
      </c>
      <c r="B746" s="58" t="s">
        <v>393</v>
      </c>
      <c r="C746" s="17">
        <v>221</v>
      </c>
      <c r="D746" s="91">
        <f>+C746*$D$1</f>
        <v>299.89999999999998</v>
      </c>
      <c r="E746" s="91">
        <f t="shared" si="50"/>
        <v>407.86399999999998</v>
      </c>
      <c r="F746" s="198">
        <v>550.1</v>
      </c>
      <c r="G746" s="114" t="s">
        <v>716</v>
      </c>
    </row>
    <row r="747" spans="1:7" ht="41.25" thickBot="1" x14ac:dyDescent="0.3">
      <c r="A747" s="113">
        <v>635000</v>
      </c>
      <c r="B747" s="58" t="s">
        <v>59</v>
      </c>
      <c r="C747" s="17">
        <v>221</v>
      </c>
      <c r="D747" s="91">
        <f>+C747*$D$1</f>
        <v>299.89999999999998</v>
      </c>
      <c r="E747" s="91">
        <f t="shared" si="50"/>
        <v>407.86399999999998</v>
      </c>
      <c r="F747" s="198">
        <v>550.1</v>
      </c>
      <c r="G747" s="114" t="s">
        <v>717</v>
      </c>
    </row>
    <row r="748" spans="1:7" ht="17.25" customHeight="1" thickBot="1" x14ac:dyDescent="0.3">
      <c r="A748" s="74" t="s">
        <v>718</v>
      </c>
      <c r="B748" s="79"/>
      <c r="C748" s="5"/>
      <c r="D748" s="43"/>
      <c r="E748" s="43"/>
      <c r="F748" s="43"/>
      <c r="G748" s="75"/>
    </row>
    <row r="749" spans="1:7" ht="27.75" thickBot="1" x14ac:dyDescent="0.3">
      <c r="A749" s="113">
        <v>632000.1</v>
      </c>
      <c r="B749" s="58" t="s">
        <v>1</v>
      </c>
      <c r="C749" s="17">
        <v>358</v>
      </c>
      <c r="D749" s="56">
        <v>485</v>
      </c>
      <c r="E749" s="56">
        <v>659.8</v>
      </c>
      <c r="F749" s="198">
        <f t="shared" ref="F749:F809" si="51">+E749*$F$1</f>
        <v>890.73</v>
      </c>
      <c r="G749" s="114" t="s">
        <v>719</v>
      </c>
    </row>
    <row r="750" spans="1:7" ht="27.75" thickBot="1" x14ac:dyDescent="0.3">
      <c r="A750" s="113">
        <v>632000.19999999995</v>
      </c>
      <c r="B750" s="58" t="s">
        <v>1</v>
      </c>
      <c r="C750" s="17">
        <v>358</v>
      </c>
      <c r="D750" s="91">
        <v>485</v>
      </c>
      <c r="E750" s="91">
        <v>659.8</v>
      </c>
      <c r="F750" s="198">
        <f t="shared" si="51"/>
        <v>890.73</v>
      </c>
      <c r="G750" s="114" t="s">
        <v>720</v>
      </c>
    </row>
    <row r="751" spans="1:7" ht="27.75" thickBot="1" x14ac:dyDescent="0.3">
      <c r="A751" s="113">
        <v>632000.30000000005</v>
      </c>
      <c r="B751" s="58" t="s">
        <v>1</v>
      </c>
      <c r="C751" s="17">
        <v>358</v>
      </c>
      <c r="D751" s="91">
        <v>485</v>
      </c>
      <c r="E751" s="91">
        <v>659.8</v>
      </c>
      <c r="F751" s="198">
        <f t="shared" si="51"/>
        <v>890.73</v>
      </c>
      <c r="G751" s="114" t="s">
        <v>721</v>
      </c>
    </row>
    <row r="752" spans="1:7" ht="41.25" thickBot="1" x14ac:dyDescent="0.3">
      <c r="A752" s="115">
        <v>632000.4</v>
      </c>
      <c r="B752" s="69" t="s">
        <v>427</v>
      </c>
      <c r="C752" s="20">
        <v>435</v>
      </c>
      <c r="D752" s="91">
        <v>590</v>
      </c>
      <c r="E752" s="91">
        <f t="shared" si="50"/>
        <v>802.40000000000009</v>
      </c>
      <c r="F752" s="199">
        <f t="shared" si="51"/>
        <v>1083.2400000000002</v>
      </c>
      <c r="G752" s="116" t="s">
        <v>722</v>
      </c>
    </row>
    <row r="753" spans="1:7" ht="17.25" customHeight="1" thickBot="1" x14ac:dyDescent="0.3">
      <c r="A753" s="74" t="s">
        <v>723</v>
      </c>
      <c r="B753" s="79"/>
      <c r="C753" s="5"/>
      <c r="D753" s="43"/>
      <c r="E753" s="43"/>
      <c r="F753" s="43"/>
      <c r="G753" s="75"/>
    </row>
    <row r="754" spans="1:7" ht="27.75" thickBot="1" x14ac:dyDescent="0.3">
      <c r="A754" s="123">
        <v>642010.1</v>
      </c>
      <c r="B754" s="146" t="s">
        <v>480</v>
      </c>
      <c r="C754" s="32" t="s">
        <v>480</v>
      </c>
      <c r="D754" s="55">
        <v>0</v>
      </c>
      <c r="E754" s="55">
        <f t="shared" si="50"/>
        <v>0</v>
      </c>
      <c r="F754" s="203">
        <f t="shared" si="51"/>
        <v>0</v>
      </c>
      <c r="G754" s="124" t="s">
        <v>724</v>
      </c>
    </row>
    <row r="755" spans="1:7" ht="27.75" thickBot="1" x14ac:dyDescent="0.3">
      <c r="A755" s="123">
        <v>642020.1</v>
      </c>
      <c r="B755" s="146" t="s">
        <v>480</v>
      </c>
      <c r="C755" s="19" t="s">
        <v>480</v>
      </c>
      <c r="D755" s="95">
        <v>0</v>
      </c>
      <c r="E755" s="95">
        <f t="shared" si="50"/>
        <v>0</v>
      </c>
      <c r="F755" s="203">
        <f t="shared" si="51"/>
        <v>0</v>
      </c>
      <c r="G755" s="124" t="s">
        <v>725</v>
      </c>
    </row>
    <row r="756" spans="1:7" ht="41.25" thickBot="1" x14ac:dyDescent="0.3">
      <c r="A756" s="123">
        <v>642020.19999999995</v>
      </c>
      <c r="B756" s="146" t="s">
        <v>427</v>
      </c>
      <c r="C756" s="19">
        <v>6500</v>
      </c>
      <c r="D756" s="95">
        <v>8775</v>
      </c>
      <c r="E756" s="95">
        <f t="shared" si="50"/>
        <v>11934</v>
      </c>
      <c r="F756" s="203">
        <f t="shared" si="51"/>
        <v>16110.900000000001</v>
      </c>
      <c r="G756" s="124" t="s">
        <v>726</v>
      </c>
    </row>
    <row r="757" spans="1:7" ht="27.75" thickBot="1" x14ac:dyDescent="0.3">
      <c r="A757" s="123">
        <v>642020.5</v>
      </c>
      <c r="B757" s="146" t="s">
        <v>59</v>
      </c>
      <c r="C757" s="19">
        <v>221</v>
      </c>
      <c r="D757" s="95">
        <f>+C757*$D$1</f>
        <v>299.89999999999998</v>
      </c>
      <c r="E757" s="95">
        <f t="shared" si="50"/>
        <v>407.86399999999998</v>
      </c>
      <c r="F757" s="203">
        <v>550.1</v>
      </c>
      <c r="G757" s="124" t="s">
        <v>727</v>
      </c>
    </row>
    <row r="758" spans="1:7" ht="17.25" thickBot="1" x14ac:dyDescent="0.3">
      <c r="A758" s="123">
        <v>642021</v>
      </c>
      <c r="B758" s="146" t="s">
        <v>1</v>
      </c>
      <c r="C758" s="19">
        <v>221</v>
      </c>
      <c r="D758" s="95">
        <f>+C758*$D$1</f>
        <v>299.89999999999998</v>
      </c>
      <c r="E758" s="95">
        <f t="shared" si="50"/>
        <v>407.86399999999998</v>
      </c>
      <c r="F758" s="203">
        <v>550.1</v>
      </c>
      <c r="G758" s="124" t="s">
        <v>728</v>
      </c>
    </row>
    <row r="759" spans="1:7" ht="68.25" thickBot="1" x14ac:dyDescent="0.3">
      <c r="A759" s="123">
        <v>642070</v>
      </c>
      <c r="B759" s="146" t="s">
        <v>393</v>
      </c>
      <c r="C759" s="19">
        <v>1092</v>
      </c>
      <c r="D759" s="95">
        <v>1480</v>
      </c>
      <c r="E759" s="95">
        <v>2013.7</v>
      </c>
      <c r="F759" s="203">
        <f t="shared" si="51"/>
        <v>2718.4950000000003</v>
      </c>
      <c r="G759" s="124" t="s">
        <v>729</v>
      </c>
    </row>
    <row r="760" spans="1:7" ht="41.25" thickBot="1" x14ac:dyDescent="0.3">
      <c r="A760" s="123">
        <v>642099</v>
      </c>
      <c r="B760" s="146" t="s">
        <v>1004</v>
      </c>
      <c r="C760" s="55">
        <v>429</v>
      </c>
      <c r="D760" s="95">
        <v>575</v>
      </c>
      <c r="E760" s="95">
        <f t="shared" si="50"/>
        <v>782</v>
      </c>
      <c r="F760" s="203">
        <f t="shared" si="51"/>
        <v>1055.7</v>
      </c>
      <c r="G760" s="124" t="s">
        <v>730</v>
      </c>
    </row>
    <row r="761" spans="1:7" ht="54.75" thickBot="1" x14ac:dyDescent="0.3">
      <c r="A761" s="123">
        <v>642010.1</v>
      </c>
      <c r="B761" s="146" t="s">
        <v>1</v>
      </c>
      <c r="C761" s="19">
        <v>429</v>
      </c>
      <c r="D761" s="95">
        <v>575</v>
      </c>
      <c r="E761" s="95">
        <f t="shared" si="50"/>
        <v>782</v>
      </c>
      <c r="F761" s="203">
        <f t="shared" si="51"/>
        <v>1055.7</v>
      </c>
      <c r="G761" s="124" t="s">
        <v>731</v>
      </c>
    </row>
    <row r="762" spans="1:7" ht="17.25" customHeight="1" thickBot="1" x14ac:dyDescent="0.3">
      <c r="A762" s="76" t="s">
        <v>732</v>
      </c>
      <c r="B762" s="79"/>
      <c r="C762" s="4"/>
      <c r="D762" s="46"/>
      <c r="E762" s="46"/>
      <c r="F762" s="46"/>
      <c r="G762" s="75"/>
    </row>
    <row r="763" spans="1:7" ht="17.25" thickBot="1" x14ac:dyDescent="0.3">
      <c r="A763" s="76" t="s">
        <v>733</v>
      </c>
      <c r="B763" s="79"/>
      <c r="C763" s="4"/>
      <c r="D763" s="46"/>
      <c r="E763" s="46"/>
      <c r="F763" s="46"/>
      <c r="G763" s="75"/>
    </row>
    <row r="764" spans="1:7" ht="41.25" thickBot="1" x14ac:dyDescent="0.3">
      <c r="A764" s="123">
        <v>652130</v>
      </c>
      <c r="B764" s="211" t="s">
        <v>1002</v>
      </c>
      <c r="C764" s="55">
        <v>3900</v>
      </c>
      <c r="D764" s="212">
        <v>8820</v>
      </c>
      <c r="E764" s="212">
        <v>12000</v>
      </c>
      <c r="F764" s="213">
        <f t="shared" si="51"/>
        <v>16200.000000000002</v>
      </c>
      <c r="G764" s="214" t="s">
        <v>735</v>
      </c>
    </row>
    <row r="765" spans="1:7" ht="41.25" thickBot="1" x14ac:dyDescent="0.3">
      <c r="A765" s="123">
        <v>652201</v>
      </c>
      <c r="B765" s="147" t="s">
        <v>736</v>
      </c>
      <c r="C765" s="55">
        <v>360</v>
      </c>
      <c r="D765" s="55">
        <v>485</v>
      </c>
      <c r="E765" s="55">
        <v>659.8</v>
      </c>
      <c r="F765" s="204">
        <f t="shared" si="51"/>
        <v>890.73</v>
      </c>
      <c r="G765" s="125" t="s">
        <v>737</v>
      </c>
    </row>
    <row r="766" spans="1:7" ht="95.25" thickBot="1" x14ac:dyDescent="0.3">
      <c r="A766" s="123">
        <v>652202.1</v>
      </c>
      <c r="B766" s="147" t="s">
        <v>1003</v>
      </c>
      <c r="C766" s="55">
        <v>429</v>
      </c>
      <c r="D766" s="55">
        <v>700</v>
      </c>
      <c r="E766" s="55">
        <f>+D766*1.4</f>
        <v>979.99999999999989</v>
      </c>
      <c r="F766" s="55">
        <f t="shared" si="51"/>
        <v>1323</v>
      </c>
      <c r="G766" s="215" t="s">
        <v>738</v>
      </c>
    </row>
    <row r="767" spans="1:7" ht="41.25" thickBot="1" x14ac:dyDescent="0.3">
      <c r="A767" s="123">
        <v>659890</v>
      </c>
      <c r="B767" s="147" t="str">
        <f>+B766</f>
        <v>46,00‰</v>
      </c>
      <c r="C767" s="55">
        <v>360</v>
      </c>
      <c r="D767" s="55">
        <f>+D766</f>
        <v>700</v>
      </c>
      <c r="E767" s="55">
        <f>+D767*1.4</f>
        <v>979.99999999999989</v>
      </c>
      <c r="F767" s="55">
        <f t="shared" si="51"/>
        <v>1323</v>
      </c>
      <c r="G767" s="215" t="s">
        <v>739</v>
      </c>
    </row>
    <row r="768" spans="1:7" ht="81.75" thickBot="1" x14ac:dyDescent="0.3">
      <c r="A768" s="123">
        <v>659900</v>
      </c>
      <c r="B768" s="146" t="s">
        <v>481</v>
      </c>
      <c r="C768" s="19">
        <v>284</v>
      </c>
      <c r="D768" s="95">
        <v>386</v>
      </c>
      <c r="E768" s="95">
        <v>525.29999999999995</v>
      </c>
      <c r="F768" s="203">
        <f t="shared" si="51"/>
        <v>709.15499999999997</v>
      </c>
      <c r="G768" s="124" t="s">
        <v>740</v>
      </c>
    </row>
    <row r="769" spans="1:7" ht="81.75" thickBot="1" x14ac:dyDescent="0.3">
      <c r="A769" s="123">
        <v>659908</v>
      </c>
      <c r="B769" s="146" t="s">
        <v>481</v>
      </c>
      <c r="C769" s="19">
        <v>429</v>
      </c>
      <c r="D769" s="95">
        <v>575</v>
      </c>
      <c r="E769" s="95">
        <f t="shared" si="50"/>
        <v>782</v>
      </c>
      <c r="F769" s="203">
        <f t="shared" si="51"/>
        <v>1055.7</v>
      </c>
      <c r="G769" s="124" t="s">
        <v>741</v>
      </c>
    </row>
    <row r="770" spans="1:7" ht="17.25" thickBot="1" x14ac:dyDescent="0.3">
      <c r="A770" s="76" t="s">
        <v>742</v>
      </c>
      <c r="B770" s="148"/>
      <c r="C770" s="7"/>
      <c r="D770" s="49"/>
      <c r="E770" s="49"/>
      <c r="F770" s="49"/>
      <c r="G770" s="126"/>
    </row>
    <row r="771" spans="1:7" ht="41.25" thickBot="1" x14ac:dyDescent="0.3">
      <c r="A771" s="123">
        <v>662020</v>
      </c>
      <c r="B771" s="146" t="s">
        <v>481</v>
      </c>
      <c r="C771" s="19">
        <v>284</v>
      </c>
      <c r="D771" s="55">
        <v>386</v>
      </c>
      <c r="E771" s="55">
        <v>525.29999999999995</v>
      </c>
      <c r="F771" s="203">
        <f t="shared" si="51"/>
        <v>709.15499999999997</v>
      </c>
      <c r="G771" s="124" t="s">
        <v>743</v>
      </c>
    </row>
    <row r="772" spans="1:7" ht="27.75" thickBot="1" x14ac:dyDescent="0.3">
      <c r="A772" s="123" t="s">
        <v>990</v>
      </c>
      <c r="B772" s="146" t="s">
        <v>481</v>
      </c>
      <c r="C772" s="19">
        <v>284</v>
      </c>
      <c r="D772" s="55">
        <v>386</v>
      </c>
      <c r="E772" s="95">
        <v>525.29999999999995</v>
      </c>
      <c r="F772" s="203">
        <f t="shared" si="51"/>
        <v>709.15499999999997</v>
      </c>
      <c r="G772" s="124" t="s">
        <v>991</v>
      </c>
    </row>
    <row r="773" spans="1:7" ht="17.25" customHeight="1" thickBot="1" x14ac:dyDescent="0.3">
      <c r="A773" s="76" t="s">
        <v>744</v>
      </c>
      <c r="B773" s="79"/>
      <c r="C773" s="4"/>
      <c r="D773" s="46"/>
      <c r="E773" s="46"/>
      <c r="F773" s="46"/>
      <c r="G773" s="75"/>
    </row>
    <row r="774" spans="1:7" ht="16.5" customHeight="1" thickBot="1" x14ac:dyDescent="0.3">
      <c r="A774" s="76" t="s">
        <v>745</v>
      </c>
      <c r="B774" s="79"/>
      <c r="C774" s="8"/>
      <c r="D774" s="46"/>
      <c r="E774" s="46"/>
      <c r="F774" s="46"/>
      <c r="G774" s="75"/>
    </row>
    <row r="775" spans="1:7" ht="16.5" thickBot="1" x14ac:dyDescent="0.3">
      <c r="A775" s="113">
        <v>701090.1</v>
      </c>
      <c r="B775" s="69" t="s">
        <v>59</v>
      </c>
      <c r="C775" s="50">
        <v>215</v>
      </c>
      <c r="D775" s="92">
        <v>1150</v>
      </c>
      <c r="E775" s="92">
        <f t="shared" ref="E775:E795" si="52">+D775*1.36</f>
        <v>1564</v>
      </c>
      <c r="F775" s="199">
        <f t="shared" si="51"/>
        <v>2111.4</v>
      </c>
      <c r="G775" s="116" t="s">
        <v>746</v>
      </c>
    </row>
    <row r="776" spans="1:7" ht="41.25" thickBot="1" x14ac:dyDescent="0.3">
      <c r="A776" s="113">
        <v>701090.2</v>
      </c>
      <c r="B776" s="70" t="s">
        <v>59</v>
      </c>
      <c r="C776" s="17">
        <v>215</v>
      </c>
      <c r="D776" s="56">
        <v>290</v>
      </c>
      <c r="E776" s="56">
        <v>395</v>
      </c>
      <c r="F776" s="200">
        <f t="shared" si="51"/>
        <v>533.25</v>
      </c>
      <c r="G776" s="97" t="s">
        <v>747</v>
      </c>
    </row>
    <row r="777" spans="1:7" ht="27.75" thickBot="1" x14ac:dyDescent="0.3">
      <c r="A777" s="113">
        <v>701090.3</v>
      </c>
      <c r="B777" s="58" t="s">
        <v>59</v>
      </c>
      <c r="C777" s="17">
        <v>215</v>
      </c>
      <c r="D777" s="56">
        <v>290</v>
      </c>
      <c r="E777" s="91">
        <v>395</v>
      </c>
      <c r="F777" s="198">
        <f t="shared" si="51"/>
        <v>533.25</v>
      </c>
      <c r="G777" s="114" t="s">
        <v>748</v>
      </c>
    </row>
    <row r="778" spans="1:7" ht="16.5" thickBot="1" x14ac:dyDescent="0.3">
      <c r="A778" s="158" t="s">
        <v>992</v>
      </c>
      <c r="B778" s="58" t="s">
        <v>994</v>
      </c>
      <c r="C778" s="17"/>
      <c r="D778" s="56">
        <v>200</v>
      </c>
      <c r="E778" s="91">
        <v>272.5</v>
      </c>
      <c r="F778" s="198">
        <f t="shared" si="51"/>
        <v>367.875</v>
      </c>
      <c r="G778" s="114" t="s">
        <v>993</v>
      </c>
    </row>
    <row r="779" spans="1:7" ht="27.75" thickBot="1" x14ac:dyDescent="0.3">
      <c r="A779" s="113">
        <v>702000.1</v>
      </c>
      <c r="B779" s="58" t="s">
        <v>59</v>
      </c>
      <c r="C779" s="17">
        <v>1888</v>
      </c>
      <c r="D779" s="91">
        <v>2562</v>
      </c>
      <c r="E779" s="91">
        <f t="shared" si="52"/>
        <v>3484.32</v>
      </c>
      <c r="F779" s="198">
        <f t="shared" si="51"/>
        <v>4703.8320000000003</v>
      </c>
      <c r="G779" s="114" t="s">
        <v>749</v>
      </c>
    </row>
    <row r="780" spans="1:7" ht="16.5" thickBot="1" x14ac:dyDescent="0.3">
      <c r="A780" s="113">
        <v>702000.2</v>
      </c>
      <c r="B780" s="58" t="s">
        <v>427</v>
      </c>
      <c r="C780" s="17">
        <v>215</v>
      </c>
      <c r="D780" s="56">
        <v>290</v>
      </c>
      <c r="E780" s="91">
        <v>395</v>
      </c>
      <c r="F780" s="198">
        <f t="shared" si="51"/>
        <v>533.25</v>
      </c>
      <c r="G780" s="114" t="s">
        <v>750</v>
      </c>
    </row>
    <row r="781" spans="1:7" ht="17.25" customHeight="1" thickBot="1" x14ac:dyDescent="0.3">
      <c r="A781" s="76" t="s">
        <v>751</v>
      </c>
      <c r="B781" s="79"/>
      <c r="C781" s="4"/>
      <c r="D781" s="46"/>
      <c r="E781" s="46"/>
      <c r="F781" s="46"/>
      <c r="G781" s="75"/>
    </row>
    <row r="782" spans="1:7" ht="41.25" thickBot="1" x14ac:dyDescent="0.3">
      <c r="A782" s="115">
        <v>633120.1</v>
      </c>
      <c r="B782" s="69" t="s">
        <v>481</v>
      </c>
      <c r="C782" s="20">
        <v>284</v>
      </c>
      <c r="D782" s="56">
        <v>386</v>
      </c>
      <c r="E782" s="56">
        <v>525.29999999999995</v>
      </c>
      <c r="F782" s="199">
        <f t="shared" si="51"/>
        <v>709.15499999999997</v>
      </c>
      <c r="G782" s="116" t="s">
        <v>752</v>
      </c>
    </row>
    <row r="783" spans="1:7" ht="17.25" thickBot="1" x14ac:dyDescent="0.3">
      <c r="A783" s="76" t="s">
        <v>753</v>
      </c>
      <c r="B783" s="79"/>
      <c r="C783" s="4"/>
      <c r="D783" s="46"/>
      <c r="E783" s="46"/>
      <c r="F783" s="46"/>
      <c r="G783" s="75"/>
    </row>
    <row r="784" spans="1:7" ht="54.75" thickBot="1" x14ac:dyDescent="0.3">
      <c r="A784" s="113">
        <v>711100</v>
      </c>
      <c r="B784" s="58" t="s">
        <v>59</v>
      </c>
      <c r="C784" s="17">
        <v>180</v>
      </c>
      <c r="D784" s="57">
        <v>244</v>
      </c>
      <c r="E784" s="57">
        <f t="shared" si="52"/>
        <v>331.84000000000003</v>
      </c>
      <c r="F784" s="192">
        <f t="shared" si="51"/>
        <v>447.98400000000009</v>
      </c>
      <c r="G784" s="114" t="s">
        <v>754</v>
      </c>
    </row>
    <row r="785" spans="1:7" ht="41.25" thickBot="1" x14ac:dyDescent="0.3">
      <c r="A785" s="113">
        <v>711300</v>
      </c>
      <c r="B785" s="58" t="s">
        <v>124</v>
      </c>
      <c r="C785" s="17">
        <v>180</v>
      </c>
      <c r="D785" s="87">
        <v>244</v>
      </c>
      <c r="E785" s="87">
        <f t="shared" si="52"/>
        <v>331.84000000000003</v>
      </c>
      <c r="F785" s="192">
        <f t="shared" si="51"/>
        <v>447.98400000000009</v>
      </c>
      <c r="G785" s="114" t="s">
        <v>755</v>
      </c>
    </row>
    <row r="786" spans="1:7" ht="27.75" thickBot="1" x14ac:dyDescent="0.3">
      <c r="A786" s="113">
        <v>711400</v>
      </c>
      <c r="B786" s="58" t="s">
        <v>124</v>
      </c>
      <c r="C786" s="17">
        <v>180</v>
      </c>
      <c r="D786" s="87">
        <v>244</v>
      </c>
      <c r="E786" s="87">
        <f t="shared" si="52"/>
        <v>331.84000000000003</v>
      </c>
      <c r="F786" s="192">
        <f t="shared" si="51"/>
        <v>447.98400000000009</v>
      </c>
      <c r="G786" s="114" t="s">
        <v>756</v>
      </c>
    </row>
    <row r="787" spans="1:7" ht="41.25" thickBot="1" x14ac:dyDescent="0.3">
      <c r="A787" s="113">
        <v>712100</v>
      </c>
      <c r="B787" s="58" t="s">
        <v>124</v>
      </c>
      <c r="C787" s="17">
        <v>180</v>
      </c>
      <c r="D787" s="87">
        <v>244</v>
      </c>
      <c r="E787" s="87">
        <f t="shared" si="52"/>
        <v>331.84000000000003</v>
      </c>
      <c r="F787" s="192">
        <f t="shared" si="51"/>
        <v>447.98400000000009</v>
      </c>
      <c r="G787" s="114" t="s">
        <v>757</v>
      </c>
    </row>
    <row r="788" spans="1:7" ht="54.75" thickBot="1" x14ac:dyDescent="0.3">
      <c r="A788" s="113">
        <v>712200</v>
      </c>
      <c r="B788" s="58" t="s">
        <v>59</v>
      </c>
      <c r="C788" s="17">
        <v>180</v>
      </c>
      <c r="D788" s="87">
        <v>244</v>
      </c>
      <c r="E788" s="87">
        <f t="shared" si="52"/>
        <v>331.84000000000003</v>
      </c>
      <c r="F788" s="192">
        <f t="shared" si="51"/>
        <v>447.98400000000009</v>
      </c>
      <c r="G788" s="114" t="s">
        <v>758</v>
      </c>
    </row>
    <row r="789" spans="1:7" ht="54.75" thickBot="1" x14ac:dyDescent="0.3">
      <c r="A789" s="113">
        <v>712300</v>
      </c>
      <c r="B789" s="58" t="s">
        <v>59</v>
      </c>
      <c r="C789" s="17">
        <v>286</v>
      </c>
      <c r="D789" s="91">
        <v>386</v>
      </c>
      <c r="E789" s="91">
        <v>525.29999999999995</v>
      </c>
      <c r="F789" s="198">
        <f t="shared" si="51"/>
        <v>709.15499999999997</v>
      </c>
      <c r="G789" s="114" t="s">
        <v>759</v>
      </c>
    </row>
    <row r="790" spans="1:7" ht="41.25" thickBot="1" x14ac:dyDescent="0.3">
      <c r="A790" s="113">
        <v>712902</v>
      </c>
      <c r="B790" s="58" t="s">
        <v>124</v>
      </c>
      <c r="C790" s="17">
        <v>180</v>
      </c>
      <c r="D790" s="87">
        <v>244</v>
      </c>
      <c r="E790" s="87">
        <f t="shared" si="52"/>
        <v>331.84000000000003</v>
      </c>
      <c r="F790" s="192">
        <f t="shared" si="51"/>
        <v>447.98400000000009</v>
      </c>
      <c r="G790" s="114" t="s">
        <v>760</v>
      </c>
    </row>
    <row r="791" spans="1:7" ht="41.25" thickBot="1" x14ac:dyDescent="0.3">
      <c r="A791" s="113">
        <v>712909.1</v>
      </c>
      <c r="B791" s="58" t="s">
        <v>124</v>
      </c>
      <c r="C791" s="17">
        <v>180</v>
      </c>
      <c r="D791" s="87">
        <v>244</v>
      </c>
      <c r="E791" s="87">
        <f t="shared" si="52"/>
        <v>331.84000000000003</v>
      </c>
      <c r="F791" s="192">
        <f t="shared" si="51"/>
        <v>447.98400000000009</v>
      </c>
      <c r="G791" s="114" t="s">
        <v>761</v>
      </c>
    </row>
    <row r="792" spans="1:7" ht="27.75" thickBot="1" x14ac:dyDescent="0.3">
      <c r="A792" s="113">
        <v>712909.2</v>
      </c>
      <c r="B792" s="58" t="s">
        <v>124</v>
      </c>
      <c r="C792" s="17">
        <v>180</v>
      </c>
      <c r="D792" s="87">
        <v>244</v>
      </c>
      <c r="E792" s="87">
        <f t="shared" si="52"/>
        <v>331.84000000000003</v>
      </c>
      <c r="F792" s="192">
        <f t="shared" si="51"/>
        <v>447.98400000000009</v>
      </c>
      <c r="G792" s="114" t="s">
        <v>762</v>
      </c>
    </row>
    <row r="793" spans="1:7" ht="27.75" thickBot="1" x14ac:dyDescent="0.3">
      <c r="A793" s="113">
        <v>713001</v>
      </c>
      <c r="B793" s="58" t="s">
        <v>124</v>
      </c>
      <c r="C793" s="17">
        <v>180</v>
      </c>
      <c r="D793" s="87">
        <v>244</v>
      </c>
      <c r="E793" s="87">
        <f t="shared" si="52"/>
        <v>331.84000000000003</v>
      </c>
      <c r="F793" s="192">
        <f t="shared" si="51"/>
        <v>447.98400000000009</v>
      </c>
      <c r="G793" s="114" t="s">
        <v>763</v>
      </c>
    </row>
    <row r="794" spans="1:7" ht="27.75" thickBot="1" x14ac:dyDescent="0.3">
      <c r="A794" s="113">
        <v>713009.1</v>
      </c>
      <c r="B794" s="58" t="s">
        <v>124</v>
      </c>
      <c r="C794" s="17">
        <v>180</v>
      </c>
      <c r="D794" s="87">
        <v>244</v>
      </c>
      <c r="E794" s="87">
        <f t="shared" si="52"/>
        <v>331.84000000000003</v>
      </c>
      <c r="F794" s="192">
        <f t="shared" si="51"/>
        <v>447.98400000000009</v>
      </c>
      <c r="G794" s="114" t="s">
        <v>764</v>
      </c>
    </row>
    <row r="795" spans="1:7" ht="41.25" thickBot="1" x14ac:dyDescent="0.3">
      <c r="A795" s="113">
        <v>713009.2</v>
      </c>
      <c r="B795" s="58" t="s">
        <v>124</v>
      </c>
      <c r="C795" s="17">
        <v>180</v>
      </c>
      <c r="D795" s="87">
        <v>244</v>
      </c>
      <c r="E795" s="87">
        <f t="shared" si="52"/>
        <v>331.84000000000003</v>
      </c>
      <c r="F795" s="192">
        <f t="shared" si="51"/>
        <v>447.98400000000009</v>
      </c>
      <c r="G795" s="114" t="s">
        <v>765</v>
      </c>
    </row>
    <row r="796" spans="1:7" ht="32.25" customHeight="1" thickBot="1" x14ac:dyDescent="0.3">
      <c r="A796" s="119" t="s">
        <v>766</v>
      </c>
      <c r="B796" s="46"/>
      <c r="C796" s="46"/>
      <c r="D796" s="46"/>
      <c r="E796" s="46"/>
      <c r="F796" s="46"/>
      <c r="G796" s="210"/>
    </row>
    <row r="797" spans="1:7" ht="27.75" thickBot="1" x14ac:dyDescent="0.3">
      <c r="A797" s="123">
        <v>743002</v>
      </c>
      <c r="B797" s="146" t="s">
        <v>393</v>
      </c>
      <c r="C797" s="19">
        <v>215</v>
      </c>
      <c r="D797" s="56">
        <v>290</v>
      </c>
      <c r="E797" s="56">
        <v>395</v>
      </c>
      <c r="F797" s="198">
        <f t="shared" si="51"/>
        <v>533.25</v>
      </c>
      <c r="G797" s="124" t="s">
        <v>767</v>
      </c>
    </row>
    <row r="798" spans="1:7" ht="27.75" thickBot="1" x14ac:dyDescent="0.3">
      <c r="A798" s="123">
        <v>743009</v>
      </c>
      <c r="B798" s="146" t="s">
        <v>130</v>
      </c>
      <c r="C798" s="19">
        <v>215</v>
      </c>
      <c r="D798" s="56">
        <v>290</v>
      </c>
      <c r="E798" s="91">
        <v>395</v>
      </c>
      <c r="F798" s="198">
        <f t="shared" si="51"/>
        <v>533.25</v>
      </c>
      <c r="G798" s="124" t="s">
        <v>1039</v>
      </c>
    </row>
    <row r="799" spans="1:7" ht="27.75" thickBot="1" x14ac:dyDescent="0.3">
      <c r="A799" s="123">
        <v>749210</v>
      </c>
      <c r="B799" s="146" t="s">
        <v>393</v>
      </c>
      <c r="C799" s="50">
        <v>1000</v>
      </c>
      <c r="D799" s="91">
        <v>1000</v>
      </c>
      <c r="E799" s="91">
        <f t="shared" ref="E799:E821" si="53">+D799*1.36</f>
        <v>1360</v>
      </c>
      <c r="F799" s="198">
        <f t="shared" si="51"/>
        <v>1836.0000000000002</v>
      </c>
      <c r="G799" s="124" t="s">
        <v>925</v>
      </c>
    </row>
    <row r="800" spans="1:7" ht="17.25" thickBot="1" x14ac:dyDescent="0.3">
      <c r="A800" s="123">
        <v>749290</v>
      </c>
      <c r="B800" s="146" t="s">
        <v>768</v>
      </c>
      <c r="C800" s="19">
        <v>430</v>
      </c>
      <c r="D800" s="95">
        <v>584</v>
      </c>
      <c r="E800" s="95">
        <v>795.2</v>
      </c>
      <c r="F800" s="203">
        <f t="shared" si="51"/>
        <v>1073.5200000000002</v>
      </c>
      <c r="G800" s="124" t="s">
        <v>769</v>
      </c>
    </row>
    <row r="801" spans="1:7" ht="17.25" thickBot="1" x14ac:dyDescent="0.3">
      <c r="A801" s="123">
        <v>749300</v>
      </c>
      <c r="B801" s="146" t="s">
        <v>768</v>
      </c>
      <c r="C801" s="19">
        <v>215</v>
      </c>
      <c r="D801" s="56">
        <v>290</v>
      </c>
      <c r="E801" s="91">
        <v>395</v>
      </c>
      <c r="F801" s="198">
        <f t="shared" si="51"/>
        <v>533.25</v>
      </c>
      <c r="G801" s="124" t="s">
        <v>770</v>
      </c>
    </row>
    <row r="802" spans="1:7" ht="27.75" thickBot="1" x14ac:dyDescent="0.3">
      <c r="A802" s="123">
        <v>749400.1</v>
      </c>
      <c r="B802" s="146" t="s">
        <v>130</v>
      </c>
      <c r="C802" s="19">
        <v>340</v>
      </c>
      <c r="D802" s="95">
        <v>460</v>
      </c>
      <c r="E802" s="95">
        <f t="shared" si="53"/>
        <v>625.6</v>
      </c>
      <c r="F802" s="203">
        <f t="shared" si="51"/>
        <v>844.56000000000006</v>
      </c>
      <c r="G802" s="124" t="s">
        <v>771</v>
      </c>
    </row>
    <row r="803" spans="1:7" ht="27.75" thickBot="1" x14ac:dyDescent="0.3">
      <c r="A803" s="123">
        <v>749400.2</v>
      </c>
      <c r="B803" s="146" t="s">
        <v>130</v>
      </c>
      <c r="C803" s="19">
        <v>340</v>
      </c>
      <c r="D803" s="95">
        <v>460</v>
      </c>
      <c r="E803" s="95">
        <f t="shared" si="53"/>
        <v>625.6</v>
      </c>
      <c r="F803" s="203">
        <f t="shared" si="51"/>
        <v>844.56000000000006</v>
      </c>
      <c r="G803" s="124" t="s">
        <v>772</v>
      </c>
    </row>
    <row r="804" spans="1:7" ht="27.75" thickBot="1" x14ac:dyDescent="0.3">
      <c r="A804" s="123">
        <v>749600</v>
      </c>
      <c r="B804" s="146" t="s">
        <v>684</v>
      </c>
      <c r="C804" s="19">
        <v>215</v>
      </c>
      <c r="D804" s="56">
        <v>290</v>
      </c>
      <c r="E804" s="91">
        <v>395</v>
      </c>
      <c r="F804" s="198">
        <f t="shared" si="51"/>
        <v>533.25</v>
      </c>
      <c r="G804" s="124" t="s">
        <v>773</v>
      </c>
    </row>
    <row r="805" spans="1:7" ht="68.25" thickBot="1" x14ac:dyDescent="0.3">
      <c r="A805" s="123">
        <v>749700</v>
      </c>
      <c r="B805" s="146" t="s">
        <v>393</v>
      </c>
      <c r="C805" s="19">
        <v>430</v>
      </c>
      <c r="D805" s="95">
        <v>584</v>
      </c>
      <c r="E805" s="95">
        <v>795.2</v>
      </c>
      <c r="F805" s="203">
        <f t="shared" si="51"/>
        <v>1073.5200000000002</v>
      </c>
      <c r="G805" s="124" t="s">
        <v>774</v>
      </c>
    </row>
    <row r="806" spans="1:7" ht="41.25" thickBot="1" x14ac:dyDescent="0.3">
      <c r="A806" s="123">
        <v>749800</v>
      </c>
      <c r="B806" s="146" t="s">
        <v>768</v>
      </c>
      <c r="C806" s="19">
        <v>221</v>
      </c>
      <c r="D806" s="95">
        <f>+C806*$D$1</f>
        <v>299.89999999999998</v>
      </c>
      <c r="E806" s="95">
        <f t="shared" si="53"/>
        <v>407.86399999999998</v>
      </c>
      <c r="F806" s="203">
        <v>550.1</v>
      </c>
      <c r="G806" s="124" t="s">
        <v>775</v>
      </c>
    </row>
    <row r="807" spans="1:7" ht="17.25" thickBot="1" x14ac:dyDescent="0.3">
      <c r="A807" s="123">
        <v>749910</v>
      </c>
      <c r="B807" s="146" t="s">
        <v>393</v>
      </c>
      <c r="C807" s="19">
        <v>430</v>
      </c>
      <c r="D807" s="95">
        <v>584</v>
      </c>
      <c r="E807" s="95">
        <v>795.2</v>
      </c>
      <c r="F807" s="203">
        <f t="shared" si="51"/>
        <v>1073.5200000000002</v>
      </c>
      <c r="G807" s="124" t="s">
        <v>776</v>
      </c>
    </row>
    <row r="808" spans="1:7" ht="203.25" thickBot="1" x14ac:dyDescent="0.3">
      <c r="A808" s="123">
        <v>749930</v>
      </c>
      <c r="B808" s="146" t="s">
        <v>427</v>
      </c>
      <c r="C808" s="19">
        <v>430</v>
      </c>
      <c r="D808" s="95">
        <v>584</v>
      </c>
      <c r="E808" s="95">
        <v>795.2</v>
      </c>
      <c r="F808" s="203">
        <f t="shared" si="51"/>
        <v>1073.5200000000002</v>
      </c>
      <c r="G808" s="124" t="s">
        <v>777</v>
      </c>
    </row>
    <row r="809" spans="1:7" ht="41.25" thickBot="1" x14ac:dyDescent="0.3">
      <c r="A809" s="123">
        <v>911000</v>
      </c>
      <c r="B809" s="146" t="s">
        <v>768</v>
      </c>
      <c r="C809" s="19">
        <v>430</v>
      </c>
      <c r="D809" s="95">
        <v>584</v>
      </c>
      <c r="E809" s="95">
        <v>795.2</v>
      </c>
      <c r="F809" s="203">
        <f t="shared" si="51"/>
        <v>1073.5200000000002</v>
      </c>
      <c r="G809" s="124" t="s">
        <v>778</v>
      </c>
    </row>
    <row r="810" spans="1:7" ht="68.25" thickBot="1" x14ac:dyDescent="0.3">
      <c r="A810" s="123">
        <v>911001</v>
      </c>
      <c r="B810" s="146" t="s">
        <v>768</v>
      </c>
      <c r="C810" s="19">
        <v>390</v>
      </c>
      <c r="D810" s="95">
        <v>530</v>
      </c>
      <c r="E810" s="95">
        <v>721.5</v>
      </c>
      <c r="F810" s="203">
        <f t="shared" ref="F810:F876" si="54">+E810*$F$1</f>
        <v>974.02500000000009</v>
      </c>
      <c r="G810" s="124" t="s">
        <v>779</v>
      </c>
    </row>
    <row r="811" spans="1:7" ht="17.25" thickBot="1" x14ac:dyDescent="0.3">
      <c r="A811" s="76" t="s">
        <v>780</v>
      </c>
      <c r="B811" s="79"/>
      <c r="C811" s="4"/>
      <c r="D811" s="46"/>
      <c r="E811" s="46"/>
      <c r="F811" s="46"/>
      <c r="G811" s="75"/>
    </row>
    <row r="812" spans="1:7" ht="17.25" thickBot="1" x14ac:dyDescent="0.3">
      <c r="A812" s="119" t="s">
        <v>781</v>
      </c>
      <c r="B812" s="79"/>
      <c r="C812" s="4"/>
      <c r="D812" s="46"/>
      <c r="E812" s="46"/>
      <c r="F812" s="46"/>
      <c r="G812" s="75"/>
    </row>
    <row r="813" spans="1:7" ht="27.75" thickBot="1" x14ac:dyDescent="0.3">
      <c r="A813" s="113">
        <v>526100</v>
      </c>
      <c r="B813" s="58" t="s">
        <v>1</v>
      </c>
      <c r="C813" s="17">
        <v>120</v>
      </c>
      <c r="D813" s="56">
        <v>165</v>
      </c>
      <c r="E813" s="56">
        <v>224.5</v>
      </c>
      <c r="F813" s="198">
        <f t="shared" si="54"/>
        <v>303.07500000000005</v>
      </c>
      <c r="G813" s="114" t="s">
        <v>782</v>
      </c>
    </row>
    <row r="814" spans="1:7" ht="41.25" thickBot="1" x14ac:dyDescent="0.3">
      <c r="A814" s="113">
        <v>526200</v>
      </c>
      <c r="B814" s="58" t="s">
        <v>1</v>
      </c>
      <c r="C814" s="17">
        <v>180</v>
      </c>
      <c r="D814" s="87">
        <v>244</v>
      </c>
      <c r="E814" s="87">
        <f t="shared" si="53"/>
        <v>331.84000000000003</v>
      </c>
      <c r="F814" s="192">
        <f t="shared" si="54"/>
        <v>447.98400000000009</v>
      </c>
      <c r="G814" s="114" t="s">
        <v>783</v>
      </c>
    </row>
    <row r="815" spans="1:7" ht="27.75" thickBot="1" x14ac:dyDescent="0.3">
      <c r="A815" s="113">
        <v>526201</v>
      </c>
      <c r="B815" s="58" t="s">
        <v>1</v>
      </c>
      <c r="C815" s="17">
        <v>180</v>
      </c>
      <c r="D815" s="87">
        <v>244</v>
      </c>
      <c r="E815" s="87">
        <f t="shared" si="53"/>
        <v>331.84000000000003</v>
      </c>
      <c r="F815" s="192">
        <f t="shared" si="54"/>
        <v>447.98400000000009</v>
      </c>
      <c r="G815" s="114" t="s">
        <v>784</v>
      </c>
    </row>
    <row r="816" spans="1:7" ht="16.5" thickBot="1" x14ac:dyDescent="0.3">
      <c r="A816" s="113">
        <v>526901</v>
      </c>
      <c r="B816" s="58" t="s">
        <v>1</v>
      </c>
      <c r="C816" s="17">
        <v>180</v>
      </c>
      <c r="D816" s="87">
        <v>244</v>
      </c>
      <c r="E816" s="87">
        <f t="shared" si="53"/>
        <v>331.84000000000003</v>
      </c>
      <c r="F816" s="192">
        <f t="shared" si="54"/>
        <v>447.98400000000009</v>
      </c>
      <c r="G816" s="114" t="s">
        <v>785</v>
      </c>
    </row>
    <row r="817" spans="1:7" ht="27.75" thickBot="1" x14ac:dyDescent="0.3">
      <c r="A817" s="113">
        <v>526909.1</v>
      </c>
      <c r="B817" s="58" t="s">
        <v>1</v>
      </c>
      <c r="C817" s="17">
        <v>180</v>
      </c>
      <c r="D817" s="87">
        <v>244</v>
      </c>
      <c r="E817" s="87">
        <f t="shared" si="53"/>
        <v>331.84000000000003</v>
      </c>
      <c r="F817" s="192">
        <f t="shared" si="54"/>
        <v>447.98400000000009</v>
      </c>
      <c r="G817" s="114" t="s">
        <v>786</v>
      </c>
    </row>
    <row r="818" spans="1:7" ht="41.25" thickBot="1" x14ac:dyDescent="0.3">
      <c r="A818" s="113">
        <v>526909.19999999995</v>
      </c>
      <c r="B818" s="58" t="s">
        <v>1</v>
      </c>
      <c r="C818" s="17">
        <v>180</v>
      </c>
      <c r="D818" s="87">
        <v>244</v>
      </c>
      <c r="E818" s="87">
        <f t="shared" si="53"/>
        <v>331.84000000000003</v>
      </c>
      <c r="F818" s="192">
        <f t="shared" si="54"/>
        <v>447.98400000000009</v>
      </c>
      <c r="G818" s="114" t="s">
        <v>787</v>
      </c>
    </row>
    <row r="819" spans="1:7" ht="27.75" thickBot="1" x14ac:dyDescent="0.3">
      <c r="A819" s="113">
        <v>526909.30000000005</v>
      </c>
      <c r="B819" s="58" t="s">
        <v>1</v>
      </c>
      <c r="C819" s="17">
        <v>180</v>
      </c>
      <c r="D819" s="87">
        <v>244</v>
      </c>
      <c r="E819" s="87">
        <f t="shared" si="53"/>
        <v>331.84000000000003</v>
      </c>
      <c r="F819" s="192">
        <f t="shared" si="54"/>
        <v>447.98400000000009</v>
      </c>
      <c r="G819" s="114" t="s">
        <v>788</v>
      </c>
    </row>
    <row r="820" spans="1:7" ht="27.75" thickBot="1" x14ac:dyDescent="0.3">
      <c r="A820" s="113">
        <v>526909.4</v>
      </c>
      <c r="B820" s="58" t="s">
        <v>1</v>
      </c>
      <c r="C820" s="17">
        <v>180</v>
      </c>
      <c r="D820" s="87">
        <v>244</v>
      </c>
      <c r="E820" s="87">
        <f t="shared" si="53"/>
        <v>331.84000000000003</v>
      </c>
      <c r="F820" s="192">
        <f t="shared" si="54"/>
        <v>447.98400000000009</v>
      </c>
      <c r="G820" s="114" t="s">
        <v>789</v>
      </c>
    </row>
    <row r="821" spans="1:7" ht="16.5" thickBot="1" x14ac:dyDescent="0.3">
      <c r="A821" s="219">
        <v>526909.5</v>
      </c>
      <c r="B821" s="69" t="s">
        <v>1</v>
      </c>
      <c r="C821" s="20">
        <v>180</v>
      </c>
      <c r="D821" s="169">
        <v>244</v>
      </c>
      <c r="E821" s="169">
        <f t="shared" si="53"/>
        <v>331.84000000000003</v>
      </c>
      <c r="F821" s="196">
        <f t="shared" si="54"/>
        <v>447.98400000000009</v>
      </c>
      <c r="G821" s="116" t="s">
        <v>790</v>
      </c>
    </row>
    <row r="822" spans="1:7" ht="16.5" x14ac:dyDescent="0.25">
      <c r="A822" s="231" t="s">
        <v>1025</v>
      </c>
      <c r="B822" s="44"/>
      <c r="C822" s="44"/>
      <c r="D822" s="44"/>
      <c r="E822" s="44"/>
      <c r="F822" s="44"/>
      <c r="G822" s="217"/>
    </row>
    <row r="823" spans="1:7" ht="17.25" thickBot="1" x14ac:dyDescent="0.3">
      <c r="A823" s="224" t="s">
        <v>1026</v>
      </c>
      <c r="B823" s="45"/>
      <c r="C823" s="45"/>
      <c r="D823" s="45"/>
      <c r="E823" s="45"/>
      <c r="F823" s="45"/>
      <c r="G823" s="230"/>
    </row>
    <row r="824" spans="1:7" ht="27.75" thickBot="1" x14ac:dyDescent="0.3">
      <c r="A824" s="113">
        <v>551210</v>
      </c>
      <c r="B824" s="58" t="s">
        <v>791</v>
      </c>
      <c r="C824" s="29">
        <v>1360</v>
      </c>
      <c r="D824" s="91">
        <v>1845</v>
      </c>
      <c r="E824" s="91">
        <v>2510</v>
      </c>
      <c r="F824" s="198">
        <f t="shared" si="54"/>
        <v>3388.5</v>
      </c>
      <c r="G824" s="114" t="s">
        <v>792</v>
      </c>
    </row>
    <row r="825" spans="1:7" ht="16.5" thickBot="1" x14ac:dyDescent="0.3">
      <c r="A825" s="113">
        <v>551222.1</v>
      </c>
      <c r="B825" s="58" t="s">
        <v>393</v>
      </c>
      <c r="C825" s="17">
        <v>1580</v>
      </c>
      <c r="D825" s="91">
        <v>2144</v>
      </c>
      <c r="E825" s="91">
        <v>2916</v>
      </c>
      <c r="F825" s="198">
        <f t="shared" si="54"/>
        <v>3936.6000000000004</v>
      </c>
      <c r="G825" s="114" t="s">
        <v>1046</v>
      </c>
    </row>
    <row r="826" spans="1:7" ht="16.5" thickBot="1" x14ac:dyDescent="0.3">
      <c r="A826" s="113">
        <v>551222.19999999995</v>
      </c>
      <c r="B826" s="58" t="s">
        <v>393</v>
      </c>
      <c r="C826" s="17">
        <v>908</v>
      </c>
      <c r="D826" s="91">
        <v>1230</v>
      </c>
      <c r="E826" s="91">
        <v>1673</v>
      </c>
      <c r="F826" s="198">
        <f t="shared" si="54"/>
        <v>2258.5500000000002</v>
      </c>
      <c r="G826" s="114" t="s">
        <v>793</v>
      </c>
    </row>
    <row r="827" spans="1:7" ht="16.5" thickBot="1" x14ac:dyDescent="0.3">
      <c r="A827" s="188">
        <v>551222.30000000005</v>
      </c>
      <c r="B827" s="58" t="s">
        <v>59</v>
      </c>
      <c r="C827" s="17">
        <v>430</v>
      </c>
      <c r="D827" s="91">
        <v>584</v>
      </c>
      <c r="E827" s="91">
        <v>795.2</v>
      </c>
      <c r="F827" s="198">
        <f t="shared" si="54"/>
        <v>1073.5200000000002</v>
      </c>
      <c r="G827" s="114" t="s">
        <v>1047</v>
      </c>
    </row>
    <row r="828" spans="1:7" ht="27.75" thickBot="1" x14ac:dyDescent="0.3">
      <c r="A828" s="113">
        <v>551222.4</v>
      </c>
      <c r="B828" s="58" t="s">
        <v>59</v>
      </c>
      <c r="C828" s="17">
        <v>340</v>
      </c>
      <c r="D828" s="91">
        <v>460</v>
      </c>
      <c r="E828" s="91">
        <f t="shared" ref="E828:E834" si="55">+D828*1.36</f>
        <v>625.6</v>
      </c>
      <c r="F828" s="198">
        <f t="shared" si="54"/>
        <v>844.56000000000006</v>
      </c>
      <c r="G828" s="114" t="s">
        <v>794</v>
      </c>
    </row>
    <row r="829" spans="1:7" ht="16.5" thickBot="1" x14ac:dyDescent="0.3">
      <c r="A829" s="113">
        <v>551222.5</v>
      </c>
      <c r="B829" s="58" t="s">
        <v>59</v>
      </c>
      <c r="C829" s="17">
        <v>221</v>
      </c>
      <c r="D829" s="91">
        <f>+C829*$D$1</f>
        <v>299.89999999999998</v>
      </c>
      <c r="E829" s="91">
        <f t="shared" si="55"/>
        <v>407.86399999999998</v>
      </c>
      <c r="F829" s="198">
        <v>550.1</v>
      </c>
      <c r="G829" s="114" t="s">
        <v>795</v>
      </c>
    </row>
    <row r="830" spans="1:7" ht="27.75" thickBot="1" x14ac:dyDescent="0.3">
      <c r="A830" s="113">
        <v>551222.6</v>
      </c>
      <c r="B830" s="58" t="s">
        <v>59</v>
      </c>
      <c r="C830" s="17">
        <v>221</v>
      </c>
      <c r="D830" s="91">
        <f>+C830*$D$1</f>
        <v>299.89999999999998</v>
      </c>
      <c r="E830" s="91">
        <f t="shared" si="55"/>
        <v>407.86399999999998</v>
      </c>
      <c r="F830" s="198">
        <v>550.1</v>
      </c>
      <c r="G830" s="114" t="s">
        <v>796</v>
      </c>
    </row>
    <row r="831" spans="1:7" ht="16.5" thickBot="1" x14ac:dyDescent="0.3">
      <c r="A831" s="188">
        <v>551229.1</v>
      </c>
      <c r="B831" s="58" t="s">
        <v>59</v>
      </c>
      <c r="C831" s="17">
        <v>430</v>
      </c>
      <c r="D831" s="91">
        <v>584</v>
      </c>
      <c r="E831" s="91">
        <v>795.2</v>
      </c>
      <c r="F831" s="198">
        <f t="shared" si="54"/>
        <v>1073.5200000000002</v>
      </c>
      <c r="G831" s="114" t="s">
        <v>797</v>
      </c>
    </row>
    <row r="832" spans="1:7" ht="27.75" thickBot="1" x14ac:dyDescent="0.3">
      <c r="A832" s="113">
        <v>551229.19999999995</v>
      </c>
      <c r="B832" s="58" t="s">
        <v>59</v>
      </c>
      <c r="C832" s="17">
        <v>340</v>
      </c>
      <c r="D832" s="91">
        <v>460</v>
      </c>
      <c r="E832" s="91">
        <f t="shared" si="55"/>
        <v>625.6</v>
      </c>
      <c r="F832" s="198">
        <f t="shared" si="54"/>
        <v>844.56000000000006</v>
      </c>
      <c r="G832" s="114" t="s">
        <v>798</v>
      </c>
    </row>
    <row r="833" spans="1:7" ht="54.75" thickBot="1" x14ac:dyDescent="0.3">
      <c r="A833" s="113">
        <v>551229.30000000005</v>
      </c>
      <c r="B833" s="58" t="s">
        <v>59</v>
      </c>
      <c r="C833" s="17">
        <v>221</v>
      </c>
      <c r="D833" s="91">
        <f>+C833*$D$1</f>
        <v>299.89999999999998</v>
      </c>
      <c r="E833" s="91">
        <f t="shared" si="55"/>
        <v>407.86399999999998</v>
      </c>
      <c r="F833" s="198">
        <v>550.1</v>
      </c>
      <c r="G833" s="114" t="s">
        <v>799</v>
      </c>
    </row>
    <row r="834" spans="1:7" ht="41.25" thickBot="1" x14ac:dyDescent="0.3">
      <c r="A834" s="219">
        <v>551229.4</v>
      </c>
      <c r="B834" s="69" t="s">
        <v>59</v>
      </c>
      <c r="C834" s="20">
        <v>221</v>
      </c>
      <c r="D834" s="178">
        <f>+C834*$D$1</f>
        <v>299.89999999999998</v>
      </c>
      <c r="E834" s="178">
        <f t="shared" si="55"/>
        <v>407.86399999999998</v>
      </c>
      <c r="F834" s="199">
        <v>550.1</v>
      </c>
      <c r="G834" s="116" t="s">
        <v>1048</v>
      </c>
    </row>
    <row r="835" spans="1:7" ht="16.5" thickBot="1" x14ac:dyDescent="0.3">
      <c r="A835" s="71" t="s">
        <v>1049</v>
      </c>
      <c r="B835" s="242" t="s">
        <v>59</v>
      </c>
      <c r="C835" s="17">
        <v>221</v>
      </c>
      <c r="D835" s="56">
        <f>+C835*$D$1</f>
        <v>299.89999999999998</v>
      </c>
      <c r="E835" s="56">
        <f t="shared" ref="E835" si="56">+D835*1.36</f>
        <v>407.86399999999998</v>
      </c>
      <c r="F835" s="200">
        <v>550.1</v>
      </c>
      <c r="G835" s="97" t="s">
        <v>1050</v>
      </c>
    </row>
    <row r="836" spans="1:7" ht="16.5" x14ac:dyDescent="0.25">
      <c r="A836" s="216" t="s">
        <v>1027</v>
      </c>
      <c r="B836" s="44"/>
      <c r="C836" s="44"/>
      <c r="D836" s="44"/>
      <c r="E836" s="44"/>
      <c r="F836" s="44"/>
      <c r="G836" s="217"/>
    </row>
    <row r="837" spans="1:7" ht="17.25" thickBot="1" x14ac:dyDescent="0.3">
      <c r="A837" s="209" t="s">
        <v>1028</v>
      </c>
      <c r="B837" s="45"/>
      <c r="C837" s="45"/>
      <c r="D837" s="45"/>
      <c r="E837" s="45"/>
      <c r="F837" s="45"/>
      <c r="G837" s="230"/>
    </row>
    <row r="838" spans="1:7" ht="81.75" thickBot="1" x14ac:dyDescent="0.3">
      <c r="A838" s="220">
        <v>552114.1</v>
      </c>
      <c r="B838" s="58" t="s">
        <v>124</v>
      </c>
      <c r="C838" s="29">
        <v>215</v>
      </c>
      <c r="D838" s="91">
        <v>290</v>
      </c>
      <c r="E838" s="91">
        <v>395</v>
      </c>
      <c r="F838" s="198">
        <f t="shared" si="54"/>
        <v>533.25</v>
      </c>
      <c r="G838" s="114" t="s">
        <v>800</v>
      </c>
    </row>
    <row r="839" spans="1:7" ht="81.75" thickBot="1" x14ac:dyDescent="0.3">
      <c r="A839" s="113">
        <v>552114.19999999995</v>
      </c>
      <c r="B839" s="70" t="s">
        <v>124</v>
      </c>
      <c r="C839" s="17">
        <v>286</v>
      </c>
      <c r="D839" s="56">
        <v>386</v>
      </c>
      <c r="E839" s="56">
        <v>525.29999999999995</v>
      </c>
      <c r="F839" s="200">
        <f t="shared" si="54"/>
        <v>709.15499999999997</v>
      </c>
      <c r="G839" s="97" t="s">
        <v>801</v>
      </c>
    </row>
    <row r="840" spans="1:7" ht="81.75" thickBot="1" x14ac:dyDescent="0.3">
      <c r="A840" s="113">
        <v>552114.30000000005</v>
      </c>
      <c r="B840" s="58" t="s">
        <v>124</v>
      </c>
      <c r="C840" s="17">
        <v>358</v>
      </c>
      <c r="D840" s="91">
        <v>485</v>
      </c>
      <c r="E840" s="91">
        <v>659.8</v>
      </c>
      <c r="F840" s="198">
        <f t="shared" si="54"/>
        <v>890.73</v>
      </c>
      <c r="G840" s="114" t="s">
        <v>802</v>
      </c>
    </row>
    <row r="841" spans="1:7" ht="81.75" thickBot="1" x14ac:dyDescent="0.3">
      <c r="A841" s="113">
        <v>552114.4</v>
      </c>
      <c r="B841" s="58" t="s">
        <v>124</v>
      </c>
      <c r="C841" s="17">
        <v>425</v>
      </c>
      <c r="D841" s="91">
        <v>575</v>
      </c>
      <c r="E841" s="91">
        <f t="shared" ref="E841:E887" si="57">+D841*1.36</f>
        <v>782</v>
      </c>
      <c r="F841" s="198">
        <f t="shared" si="54"/>
        <v>1055.7</v>
      </c>
      <c r="G841" s="114" t="s">
        <v>803</v>
      </c>
    </row>
    <row r="842" spans="1:7" ht="27.75" thickBot="1" x14ac:dyDescent="0.3">
      <c r="A842" s="113">
        <v>552114.5</v>
      </c>
      <c r="B842" s="58" t="s">
        <v>124</v>
      </c>
      <c r="C842" s="17">
        <v>425</v>
      </c>
      <c r="D842" s="91">
        <v>575</v>
      </c>
      <c r="E842" s="91">
        <f t="shared" si="57"/>
        <v>782</v>
      </c>
      <c r="F842" s="198">
        <f t="shared" si="54"/>
        <v>1055.7</v>
      </c>
      <c r="G842" s="114" t="s">
        <v>804</v>
      </c>
    </row>
    <row r="843" spans="1:7" ht="16.5" thickBot="1" x14ac:dyDescent="0.3">
      <c r="A843" s="113">
        <v>552114.6</v>
      </c>
      <c r="B843" s="58" t="s">
        <v>124</v>
      </c>
      <c r="C843" s="17">
        <v>358</v>
      </c>
      <c r="D843" s="91">
        <v>485</v>
      </c>
      <c r="E843" s="91">
        <v>659.8</v>
      </c>
      <c r="F843" s="198">
        <f t="shared" si="54"/>
        <v>890.73</v>
      </c>
      <c r="G843" s="114" t="s">
        <v>805</v>
      </c>
    </row>
    <row r="844" spans="1:7" ht="27.75" thickBot="1" x14ac:dyDescent="0.3">
      <c r="A844" s="113">
        <v>552114.69999999995</v>
      </c>
      <c r="B844" s="58" t="s">
        <v>124</v>
      </c>
      <c r="C844" s="17">
        <v>215</v>
      </c>
      <c r="D844" s="56">
        <v>290</v>
      </c>
      <c r="E844" s="91">
        <v>395</v>
      </c>
      <c r="F844" s="198">
        <f t="shared" si="54"/>
        <v>533.25</v>
      </c>
      <c r="G844" s="114" t="s">
        <v>806</v>
      </c>
    </row>
    <row r="845" spans="1:7" ht="16.5" thickBot="1" x14ac:dyDescent="0.3">
      <c r="A845" s="113">
        <v>552114.80000000005</v>
      </c>
      <c r="B845" s="58" t="s">
        <v>124</v>
      </c>
      <c r="C845" s="17">
        <v>358</v>
      </c>
      <c r="D845" s="91">
        <v>485</v>
      </c>
      <c r="E845" s="91">
        <v>659.8</v>
      </c>
      <c r="F845" s="198">
        <f t="shared" si="54"/>
        <v>890.73</v>
      </c>
      <c r="G845" s="114" t="s">
        <v>807</v>
      </c>
    </row>
    <row r="846" spans="1:7" ht="27.75" thickBot="1" x14ac:dyDescent="0.3">
      <c r="A846" s="113">
        <v>552114.9</v>
      </c>
      <c r="B846" s="58" t="s">
        <v>124</v>
      </c>
      <c r="C846" s="17">
        <v>215</v>
      </c>
      <c r="D846" s="56">
        <v>290</v>
      </c>
      <c r="E846" s="91">
        <v>395</v>
      </c>
      <c r="F846" s="198">
        <f t="shared" si="54"/>
        <v>533.25</v>
      </c>
      <c r="G846" s="114" t="s">
        <v>808</v>
      </c>
    </row>
    <row r="847" spans="1:7" ht="16.5" thickBot="1" x14ac:dyDescent="0.3">
      <c r="A847" s="113">
        <v>552120</v>
      </c>
      <c r="B847" s="58" t="s">
        <v>1</v>
      </c>
      <c r="C847" s="17">
        <v>180</v>
      </c>
      <c r="D847" s="87">
        <v>244</v>
      </c>
      <c r="E847" s="87">
        <f t="shared" si="57"/>
        <v>331.84000000000003</v>
      </c>
      <c r="F847" s="192">
        <f t="shared" si="54"/>
        <v>447.98400000000009</v>
      </c>
      <c r="G847" s="114" t="s">
        <v>809</v>
      </c>
    </row>
    <row r="848" spans="1:7" ht="108.75" thickBot="1" x14ac:dyDescent="0.3">
      <c r="A848" s="113">
        <v>552210</v>
      </c>
      <c r="B848" s="58" t="s">
        <v>59</v>
      </c>
      <c r="C848" s="17">
        <v>180</v>
      </c>
      <c r="D848" s="87">
        <v>244</v>
      </c>
      <c r="E848" s="87">
        <f t="shared" si="57"/>
        <v>331.84000000000003</v>
      </c>
      <c r="F848" s="192">
        <f t="shared" si="54"/>
        <v>447.98400000000009</v>
      </c>
      <c r="G848" s="114" t="s">
        <v>810</v>
      </c>
    </row>
    <row r="849" spans="1:7" ht="41.25" thickBot="1" x14ac:dyDescent="0.3">
      <c r="A849" s="113">
        <v>552290.30000000005</v>
      </c>
      <c r="B849" s="58" t="s">
        <v>124</v>
      </c>
      <c r="C849" s="17">
        <v>180</v>
      </c>
      <c r="D849" s="87">
        <v>244</v>
      </c>
      <c r="E849" s="87">
        <f t="shared" si="57"/>
        <v>331.84000000000003</v>
      </c>
      <c r="F849" s="192">
        <f t="shared" si="54"/>
        <v>447.98400000000009</v>
      </c>
      <c r="G849" s="114" t="s">
        <v>811</v>
      </c>
    </row>
    <row r="850" spans="1:7" ht="41.25" thickBot="1" x14ac:dyDescent="0.3">
      <c r="A850" s="113">
        <v>701010.1</v>
      </c>
      <c r="B850" s="58" t="s">
        <v>124</v>
      </c>
      <c r="C850" s="17">
        <v>220</v>
      </c>
      <c r="D850" s="91">
        <v>299.89999999999998</v>
      </c>
      <c r="E850" s="91">
        <f t="shared" si="57"/>
        <v>407.86399999999998</v>
      </c>
      <c r="F850" s="198">
        <v>550.1</v>
      </c>
      <c r="G850" s="114" t="s">
        <v>812</v>
      </c>
    </row>
    <row r="851" spans="1:7" ht="41.25" thickBot="1" x14ac:dyDescent="0.3">
      <c r="A851" s="113">
        <v>701010.2</v>
      </c>
      <c r="B851" s="58" t="s">
        <v>1</v>
      </c>
      <c r="C851" s="17">
        <v>220</v>
      </c>
      <c r="D851" s="91">
        <v>299.89999999999998</v>
      </c>
      <c r="E851" s="91">
        <f t="shared" si="57"/>
        <v>407.86399999999998</v>
      </c>
      <c r="F851" s="198">
        <v>550.1</v>
      </c>
      <c r="G851" s="114" t="s">
        <v>813</v>
      </c>
    </row>
    <row r="852" spans="1:7" ht="17.25" customHeight="1" thickBot="1" x14ac:dyDescent="0.3">
      <c r="A852" s="76" t="s">
        <v>814</v>
      </c>
      <c r="B852" s="79"/>
      <c r="C852" s="4"/>
      <c r="D852" s="46"/>
      <c r="E852" s="46"/>
      <c r="F852" s="46"/>
      <c r="G852" s="75"/>
    </row>
    <row r="853" spans="1:7" ht="16.5" thickBot="1" x14ac:dyDescent="0.3">
      <c r="A853" s="113">
        <v>801000</v>
      </c>
      <c r="B853" s="58" t="s">
        <v>1</v>
      </c>
      <c r="C853" s="17">
        <v>180</v>
      </c>
      <c r="D853" s="57">
        <v>244</v>
      </c>
      <c r="E853" s="57">
        <f t="shared" si="57"/>
        <v>331.84000000000003</v>
      </c>
      <c r="F853" s="192">
        <f t="shared" si="54"/>
        <v>447.98400000000009</v>
      </c>
      <c r="G853" s="114" t="s">
        <v>815</v>
      </c>
    </row>
    <row r="854" spans="1:7" ht="27.75" thickBot="1" x14ac:dyDescent="0.3">
      <c r="A854" s="113">
        <v>801000.1</v>
      </c>
      <c r="B854" s="58" t="s">
        <v>1</v>
      </c>
      <c r="C854" s="17">
        <v>180</v>
      </c>
      <c r="D854" s="87">
        <v>244</v>
      </c>
      <c r="E854" s="87">
        <f t="shared" si="57"/>
        <v>331.84000000000003</v>
      </c>
      <c r="F854" s="192">
        <f t="shared" si="54"/>
        <v>447.98400000000009</v>
      </c>
      <c r="G854" s="114" t="s">
        <v>816</v>
      </c>
    </row>
    <row r="855" spans="1:7" ht="27.75" thickBot="1" x14ac:dyDescent="0.3">
      <c r="A855" s="113">
        <v>801000.2</v>
      </c>
      <c r="B855" s="58" t="s">
        <v>1</v>
      </c>
      <c r="C855" s="17">
        <v>180</v>
      </c>
      <c r="D855" s="87">
        <v>244</v>
      </c>
      <c r="E855" s="87">
        <f t="shared" si="57"/>
        <v>331.84000000000003</v>
      </c>
      <c r="F855" s="192">
        <f t="shared" si="54"/>
        <v>447.98400000000009</v>
      </c>
      <c r="G855" s="114" t="s">
        <v>817</v>
      </c>
    </row>
    <row r="856" spans="1:7" ht="27.75" thickBot="1" x14ac:dyDescent="0.3">
      <c r="A856" s="113">
        <v>801000.3</v>
      </c>
      <c r="B856" s="58" t="s">
        <v>1</v>
      </c>
      <c r="C856" s="17">
        <v>180</v>
      </c>
      <c r="D856" s="87">
        <v>244</v>
      </c>
      <c r="E856" s="87">
        <f t="shared" si="57"/>
        <v>331.84000000000003</v>
      </c>
      <c r="F856" s="192">
        <f t="shared" si="54"/>
        <v>447.98400000000009</v>
      </c>
      <c r="G856" s="114" t="s">
        <v>818</v>
      </c>
    </row>
    <row r="857" spans="1:7" ht="16.5" thickBot="1" x14ac:dyDescent="0.3">
      <c r="A857" s="113">
        <v>801000.4</v>
      </c>
      <c r="B857" s="58" t="s">
        <v>1</v>
      </c>
      <c r="C857" s="17">
        <v>180</v>
      </c>
      <c r="D857" s="87">
        <v>244</v>
      </c>
      <c r="E857" s="87">
        <f t="shared" si="57"/>
        <v>331.84000000000003</v>
      </c>
      <c r="F857" s="192">
        <f t="shared" si="54"/>
        <v>447.98400000000009</v>
      </c>
      <c r="G857" s="114" t="s">
        <v>819</v>
      </c>
    </row>
    <row r="858" spans="1:7" ht="27.75" thickBot="1" x14ac:dyDescent="0.3">
      <c r="A858" s="113">
        <v>801040</v>
      </c>
      <c r="B858" s="58" t="s">
        <v>1</v>
      </c>
      <c r="C858" s="17">
        <v>180</v>
      </c>
      <c r="D858" s="87">
        <v>244</v>
      </c>
      <c r="E858" s="87">
        <f t="shared" si="57"/>
        <v>331.84000000000003</v>
      </c>
      <c r="F858" s="192">
        <f t="shared" si="54"/>
        <v>447.98400000000009</v>
      </c>
      <c r="G858" s="114" t="s">
        <v>820</v>
      </c>
    </row>
    <row r="859" spans="1:7" ht="27.75" thickBot="1" x14ac:dyDescent="0.3">
      <c r="A859" s="113">
        <v>801090</v>
      </c>
      <c r="B859" s="58" t="s">
        <v>1</v>
      </c>
      <c r="C859" s="17">
        <v>180</v>
      </c>
      <c r="D859" s="87">
        <v>244</v>
      </c>
      <c r="E859" s="87">
        <f t="shared" si="57"/>
        <v>331.84000000000003</v>
      </c>
      <c r="F859" s="192">
        <f t="shared" si="54"/>
        <v>447.98400000000009</v>
      </c>
      <c r="G859" s="114" t="s">
        <v>821</v>
      </c>
    </row>
    <row r="860" spans="1:7" ht="27.75" thickBot="1" x14ac:dyDescent="0.3">
      <c r="A860" s="113">
        <v>802100.1</v>
      </c>
      <c r="B860" s="58" t="s">
        <v>1</v>
      </c>
      <c r="C860" s="17">
        <v>180</v>
      </c>
      <c r="D860" s="87">
        <v>244</v>
      </c>
      <c r="E860" s="87">
        <f t="shared" si="57"/>
        <v>331.84000000000003</v>
      </c>
      <c r="F860" s="192">
        <f t="shared" si="54"/>
        <v>447.98400000000009</v>
      </c>
      <c r="G860" s="114" t="s">
        <v>822</v>
      </c>
    </row>
    <row r="861" spans="1:7" ht="27.75" thickBot="1" x14ac:dyDescent="0.3">
      <c r="A861" s="113">
        <v>802100.2</v>
      </c>
      <c r="B861" s="58" t="s">
        <v>1</v>
      </c>
      <c r="C861" s="17">
        <v>180</v>
      </c>
      <c r="D861" s="87">
        <v>244</v>
      </c>
      <c r="E861" s="87">
        <f t="shared" si="57"/>
        <v>331.84000000000003</v>
      </c>
      <c r="F861" s="192">
        <f t="shared" si="54"/>
        <v>447.98400000000009</v>
      </c>
      <c r="G861" s="114" t="s">
        <v>823</v>
      </c>
    </row>
    <row r="862" spans="1:7" ht="16.5" thickBot="1" x14ac:dyDescent="0.3">
      <c r="A862" s="113">
        <v>803200</v>
      </c>
      <c r="B862" s="58" t="s">
        <v>1</v>
      </c>
      <c r="C862" s="17">
        <v>180</v>
      </c>
      <c r="D862" s="87">
        <v>244</v>
      </c>
      <c r="E862" s="87">
        <f t="shared" si="57"/>
        <v>331.84000000000003</v>
      </c>
      <c r="F862" s="192">
        <f t="shared" si="54"/>
        <v>447.98400000000009</v>
      </c>
      <c r="G862" s="114" t="s">
        <v>824</v>
      </c>
    </row>
    <row r="863" spans="1:7" ht="16.5" thickBot="1" x14ac:dyDescent="0.3">
      <c r="A863" s="113">
        <v>809000.1</v>
      </c>
      <c r="B863" s="58" t="s">
        <v>1</v>
      </c>
      <c r="C863" s="17">
        <v>180</v>
      </c>
      <c r="D863" s="87">
        <v>244</v>
      </c>
      <c r="E863" s="87">
        <f t="shared" si="57"/>
        <v>331.84000000000003</v>
      </c>
      <c r="F863" s="192">
        <f t="shared" si="54"/>
        <v>447.98400000000009</v>
      </c>
      <c r="G863" s="114" t="s">
        <v>825</v>
      </c>
    </row>
    <row r="864" spans="1:7" ht="27.75" thickBot="1" x14ac:dyDescent="0.3">
      <c r="A864" s="113">
        <v>809000.2</v>
      </c>
      <c r="B864" s="58" t="s">
        <v>1</v>
      </c>
      <c r="C864" s="17">
        <v>180</v>
      </c>
      <c r="D864" s="87">
        <v>244</v>
      </c>
      <c r="E864" s="87">
        <f t="shared" si="57"/>
        <v>331.84000000000003</v>
      </c>
      <c r="F864" s="192">
        <f t="shared" si="54"/>
        <v>447.98400000000009</v>
      </c>
      <c r="G864" s="114" t="s">
        <v>826</v>
      </c>
    </row>
    <row r="865" spans="1:9" ht="16.5" thickBot="1" x14ac:dyDescent="0.3">
      <c r="A865" s="113">
        <v>809000.3</v>
      </c>
      <c r="B865" s="58" t="s">
        <v>1</v>
      </c>
      <c r="C865" s="17">
        <v>180</v>
      </c>
      <c r="D865" s="87">
        <v>244</v>
      </c>
      <c r="E865" s="87">
        <f t="shared" si="57"/>
        <v>331.84000000000003</v>
      </c>
      <c r="F865" s="192">
        <f t="shared" si="54"/>
        <v>447.98400000000009</v>
      </c>
      <c r="G865" s="114" t="s">
        <v>827</v>
      </c>
    </row>
    <row r="866" spans="1:9" ht="16.5" thickBot="1" x14ac:dyDescent="0.3">
      <c r="A866" s="113">
        <v>809000.4</v>
      </c>
      <c r="B866" s="58" t="s">
        <v>1</v>
      </c>
      <c r="C866" s="17">
        <v>180</v>
      </c>
      <c r="D866" s="87">
        <v>244</v>
      </c>
      <c r="E866" s="87">
        <f t="shared" si="57"/>
        <v>331.84000000000003</v>
      </c>
      <c r="F866" s="192">
        <f t="shared" si="54"/>
        <v>447.98400000000009</v>
      </c>
      <c r="G866" s="114" t="s">
        <v>828</v>
      </c>
    </row>
    <row r="867" spans="1:9" ht="16.5" thickBot="1" x14ac:dyDescent="0.3">
      <c r="A867" s="113">
        <v>809000.5</v>
      </c>
      <c r="B867" s="58" t="s">
        <v>1</v>
      </c>
      <c r="C867" s="17">
        <v>180</v>
      </c>
      <c r="D867" s="87">
        <v>244</v>
      </c>
      <c r="E867" s="87">
        <f t="shared" si="57"/>
        <v>331.84000000000003</v>
      </c>
      <c r="F867" s="192">
        <f t="shared" si="54"/>
        <v>447.98400000000009</v>
      </c>
      <c r="G867" s="114" t="s">
        <v>829</v>
      </c>
    </row>
    <row r="868" spans="1:9" ht="81.75" thickBot="1" x14ac:dyDescent="0.3">
      <c r="A868" s="113">
        <v>809050</v>
      </c>
      <c r="B868" s="58" t="s">
        <v>59</v>
      </c>
      <c r="C868" s="17">
        <v>180</v>
      </c>
      <c r="D868" s="87">
        <v>244</v>
      </c>
      <c r="E868" s="87">
        <f t="shared" si="57"/>
        <v>331.84000000000003</v>
      </c>
      <c r="F868" s="192">
        <f t="shared" si="54"/>
        <v>447.98400000000009</v>
      </c>
      <c r="G868" s="127" t="s">
        <v>830</v>
      </c>
    </row>
    <row r="869" spans="1:9" ht="33" customHeight="1" thickBot="1" x14ac:dyDescent="0.3">
      <c r="A869" s="76" t="s">
        <v>831</v>
      </c>
      <c r="B869" s="79"/>
      <c r="C869" s="4"/>
      <c r="D869" s="46"/>
      <c r="E869" s="46"/>
      <c r="F869" s="46"/>
      <c r="G869" s="75"/>
    </row>
    <row r="870" spans="1:9" ht="16.5" thickBot="1" x14ac:dyDescent="0.3">
      <c r="A870" s="113">
        <v>851110</v>
      </c>
      <c r="B870" s="58" t="s">
        <v>1</v>
      </c>
      <c r="C870" s="17">
        <v>180</v>
      </c>
      <c r="D870" s="57">
        <v>244</v>
      </c>
      <c r="E870" s="57">
        <f t="shared" si="57"/>
        <v>331.84000000000003</v>
      </c>
      <c r="F870" s="192">
        <f t="shared" si="54"/>
        <v>447.98400000000009</v>
      </c>
      <c r="G870" s="114" t="s">
        <v>832</v>
      </c>
    </row>
    <row r="871" spans="1:9" ht="16.5" thickBot="1" x14ac:dyDescent="0.3">
      <c r="A871" s="243">
        <v>851120.1</v>
      </c>
      <c r="B871" s="58" t="s">
        <v>1</v>
      </c>
      <c r="C871" s="56">
        <v>160</v>
      </c>
      <c r="D871" s="91">
        <v>218</v>
      </c>
      <c r="E871" s="91">
        <f t="shared" si="57"/>
        <v>296.48</v>
      </c>
      <c r="F871" s="198">
        <v>630</v>
      </c>
      <c r="G871" s="114" t="s">
        <v>833</v>
      </c>
      <c r="I871" s="53"/>
    </row>
    <row r="872" spans="1:9" ht="135.75" thickBot="1" x14ac:dyDescent="0.3">
      <c r="A872" s="113">
        <v>851120.2</v>
      </c>
      <c r="B872" s="58" t="s">
        <v>1</v>
      </c>
      <c r="C872" s="17">
        <v>180</v>
      </c>
      <c r="D872" s="87">
        <v>244</v>
      </c>
      <c r="E872" s="87">
        <f t="shared" si="57"/>
        <v>331.84000000000003</v>
      </c>
      <c r="F872" s="192">
        <f t="shared" si="54"/>
        <v>447.98400000000009</v>
      </c>
      <c r="G872" s="114" t="s">
        <v>834</v>
      </c>
    </row>
    <row r="873" spans="1:9" ht="41.25" thickBot="1" x14ac:dyDescent="0.3">
      <c r="A873" s="218" t="s">
        <v>1008</v>
      </c>
      <c r="B873" s="58" t="s">
        <v>1</v>
      </c>
      <c r="C873" s="56">
        <v>160</v>
      </c>
      <c r="D873" s="91">
        <v>218</v>
      </c>
      <c r="E873" s="91">
        <f t="shared" si="57"/>
        <v>296.48</v>
      </c>
      <c r="F873" s="198">
        <f t="shared" si="54"/>
        <v>400.24800000000005</v>
      </c>
      <c r="G873" s="114" t="s">
        <v>835</v>
      </c>
    </row>
    <row r="874" spans="1:9" ht="27.75" thickBot="1" x14ac:dyDescent="0.3">
      <c r="A874" s="113">
        <v>851190</v>
      </c>
      <c r="B874" s="58" t="s">
        <v>1</v>
      </c>
      <c r="C874" s="17">
        <v>180</v>
      </c>
      <c r="D874" s="87">
        <v>244</v>
      </c>
      <c r="E874" s="87">
        <f t="shared" si="57"/>
        <v>331.84000000000003</v>
      </c>
      <c r="F874" s="192">
        <f t="shared" si="54"/>
        <v>447.98400000000009</v>
      </c>
      <c r="G874" s="114" t="s">
        <v>836</v>
      </c>
    </row>
    <row r="875" spans="1:9" ht="203.25" thickBot="1" x14ac:dyDescent="0.3">
      <c r="A875" s="113">
        <v>851210</v>
      </c>
      <c r="B875" s="58" t="s">
        <v>1</v>
      </c>
      <c r="C875" s="17">
        <v>180</v>
      </c>
      <c r="D875" s="87">
        <v>244</v>
      </c>
      <c r="E875" s="87">
        <f t="shared" si="57"/>
        <v>331.84000000000003</v>
      </c>
      <c r="F875" s="192">
        <f t="shared" si="54"/>
        <v>447.98400000000009</v>
      </c>
      <c r="G875" s="114" t="s">
        <v>837</v>
      </c>
    </row>
    <row r="876" spans="1:9" ht="149.25" thickBot="1" x14ac:dyDescent="0.3">
      <c r="A876" s="113">
        <v>851220</v>
      </c>
      <c r="B876" s="58" t="s">
        <v>1</v>
      </c>
      <c r="C876" s="17">
        <v>180</v>
      </c>
      <c r="D876" s="87">
        <v>244</v>
      </c>
      <c r="E876" s="87">
        <f t="shared" si="57"/>
        <v>331.84000000000003</v>
      </c>
      <c r="F876" s="192">
        <f t="shared" si="54"/>
        <v>447.98400000000009</v>
      </c>
      <c r="G876" s="114" t="s">
        <v>838</v>
      </c>
    </row>
    <row r="877" spans="1:9" ht="16.5" thickBot="1" x14ac:dyDescent="0.3">
      <c r="A877" s="113">
        <v>851300</v>
      </c>
      <c r="B877" s="58" t="s">
        <v>1</v>
      </c>
      <c r="C877" s="17">
        <v>180</v>
      </c>
      <c r="D877" s="91">
        <v>244</v>
      </c>
      <c r="E877" s="91">
        <f t="shared" si="57"/>
        <v>331.84000000000003</v>
      </c>
      <c r="F877" s="198">
        <f t="shared" ref="F877:F941" si="58">+E877*$F$1</f>
        <v>447.98400000000009</v>
      </c>
      <c r="G877" s="114" t="s">
        <v>839</v>
      </c>
    </row>
    <row r="878" spans="1:9" ht="16.5" thickBot="1" x14ac:dyDescent="0.3">
      <c r="A878" s="113">
        <v>851300.1</v>
      </c>
      <c r="B878" s="58" t="s">
        <v>1</v>
      </c>
      <c r="C878" s="17">
        <v>180</v>
      </c>
      <c r="D878" s="87">
        <v>244</v>
      </c>
      <c r="E878" s="87">
        <f t="shared" si="57"/>
        <v>331.84000000000003</v>
      </c>
      <c r="F878" s="192">
        <f t="shared" si="58"/>
        <v>447.98400000000009</v>
      </c>
      <c r="G878" s="114" t="s">
        <v>840</v>
      </c>
    </row>
    <row r="879" spans="1:9" ht="122.25" thickBot="1" x14ac:dyDescent="0.3">
      <c r="A879" s="113">
        <v>851400</v>
      </c>
      <c r="B879" s="58" t="s">
        <v>1</v>
      </c>
      <c r="C879" s="17">
        <v>180</v>
      </c>
      <c r="D879" s="87">
        <v>244</v>
      </c>
      <c r="E879" s="87">
        <f t="shared" si="57"/>
        <v>331.84000000000003</v>
      </c>
      <c r="F879" s="192">
        <f t="shared" si="58"/>
        <v>447.98400000000009</v>
      </c>
      <c r="G879" s="114" t="s">
        <v>841</v>
      </c>
    </row>
    <row r="880" spans="1:9" ht="135.75" thickBot="1" x14ac:dyDescent="0.3">
      <c r="A880" s="113">
        <v>851500</v>
      </c>
      <c r="B880" s="58" t="s">
        <v>1</v>
      </c>
      <c r="C880" s="17">
        <v>180</v>
      </c>
      <c r="D880" s="87">
        <v>244</v>
      </c>
      <c r="E880" s="87">
        <f t="shared" si="57"/>
        <v>331.84000000000003</v>
      </c>
      <c r="F880" s="192">
        <f t="shared" si="58"/>
        <v>447.98400000000009</v>
      </c>
      <c r="G880" s="114" t="s">
        <v>842</v>
      </c>
    </row>
    <row r="881" spans="1:7" ht="27.75" thickBot="1" x14ac:dyDescent="0.3">
      <c r="A881" s="113">
        <v>851600</v>
      </c>
      <c r="B881" s="58" t="s">
        <v>1</v>
      </c>
      <c r="C881" s="17">
        <v>180</v>
      </c>
      <c r="D881" s="87">
        <v>244</v>
      </c>
      <c r="E881" s="87">
        <f t="shared" si="57"/>
        <v>331.84000000000003</v>
      </c>
      <c r="F881" s="192">
        <f t="shared" si="58"/>
        <v>447.98400000000009</v>
      </c>
      <c r="G881" s="114" t="s">
        <v>843</v>
      </c>
    </row>
    <row r="882" spans="1:7" ht="41.25" thickBot="1" x14ac:dyDescent="0.3">
      <c r="A882" s="113">
        <v>851700.1</v>
      </c>
      <c r="B882" s="58" t="s">
        <v>1</v>
      </c>
      <c r="C882" s="17">
        <v>0</v>
      </c>
      <c r="D882" s="91">
        <f>+C882*$D$1</f>
        <v>0</v>
      </c>
      <c r="E882" s="91">
        <f t="shared" si="57"/>
        <v>0</v>
      </c>
      <c r="F882" s="198">
        <f t="shared" si="58"/>
        <v>0</v>
      </c>
      <c r="G882" s="114" t="s">
        <v>844</v>
      </c>
    </row>
    <row r="883" spans="1:7" ht="27.75" thickBot="1" x14ac:dyDescent="0.3">
      <c r="A883" s="113">
        <v>851900</v>
      </c>
      <c r="B883" s="58" t="s">
        <v>1</v>
      </c>
      <c r="C883" s="17">
        <v>180</v>
      </c>
      <c r="D883" s="87">
        <v>244</v>
      </c>
      <c r="E883" s="87">
        <f t="shared" si="57"/>
        <v>331.84000000000003</v>
      </c>
      <c r="F883" s="192">
        <f t="shared" si="58"/>
        <v>447.98400000000009</v>
      </c>
      <c r="G883" s="114" t="s">
        <v>845</v>
      </c>
    </row>
    <row r="884" spans="1:7" ht="17.25" customHeight="1" thickBot="1" x14ac:dyDescent="0.3">
      <c r="A884" s="76" t="s">
        <v>846</v>
      </c>
      <c r="B884" s="79"/>
      <c r="C884" s="4"/>
      <c r="D884" s="46"/>
      <c r="E884" s="46"/>
      <c r="F884" s="46"/>
      <c r="G884" s="75"/>
    </row>
    <row r="885" spans="1:7" ht="108.75" thickBot="1" x14ac:dyDescent="0.3">
      <c r="A885" s="113">
        <v>900010.1</v>
      </c>
      <c r="B885" s="69" t="s">
        <v>1</v>
      </c>
      <c r="C885" s="17">
        <v>180</v>
      </c>
      <c r="D885" s="57">
        <v>244</v>
      </c>
      <c r="E885" s="57">
        <f t="shared" si="57"/>
        <v>331.84000000000003</v>
      </c>
      <c r="F885" s="57">
        <f t="shared" si="58"/>
        <v>447.98400000000009</v>
      </c>
      <c r="G885" s="116" t="s">
        <v>847</v>
      </c>
    </row>
    <row r="886" spans="1:7" ht="81.75" thickBot="1" x14ac:dyDescent="0.3">
      <c r="A886" s="113">
        <v>900010.2</v>
      </c>
      <c r="B886" s="70" t="s">
        <v>1</v>
      </c>
      <c r="C886" s="17">
        <v>180</v>
      </c>
      <c r="D886" s="87">
        <v>244</v>
      </c>
      <c r="E886" s="87">
        <f t="shared" si="57"/>
        <v>331.84000000000003</v>
      </c>
      <c r="F886" s="192">
        <f t="shared" si="58"/>
        <v>447.98400000000009</v>
      </c>
      <c r="G886" s="97" t="s">
        <v>848</v>
      </c>
    </row>
    <row r="887" spans="1:7" ht="41.25" thickBot="1" x14ac:dyDescent="0.3">
      <c r="A887" s="113">
        <v>900020</v>
      </c>
      <c r="B887" s="58" t="s">
        <v>1</v>
      </c>
      <c r="C887" s="17">
        <v>180</v>
      </c>
      <c r="D887" s="87">
        <v>244</v>
      </c>
      <c r="E887" s="87">
        <f t="shared" si="57"/>
        <v>331.84000000000003</v>
      </c>
      <c r="F887" s="192">
        <f t="shared" si="58"/>
        <v>447.98400000000009</v>
      </c>
      <c r="G887" s="114" t="s">
        <v>849</v>
      </c>
    </row>
    <row r="888" spans="1:7" ht="27.75" thickBot="1" x14ac:dyDescent="0.3">
      <c r="A888" s="219">
        <v>900090</v>
      </c>
      <c r="B888" s="69" t="s">
        <v>1</v>
      </c>
      <c r="C888" s="20">
        <v>180</v>
      </c>
      <c r="D888" s="169">
        <v>244</v>
      </c>
      <c r="E888" s="169"/>
      <c r="F888" s="196">
        <f t="shared" si="58"/>
        <v>0</v>
      </c>
      <c r="G888" s="116" t="s">
        <v>850</v>
      </c>
    </row>
    <row r="889" spans="1:7" ht="16.5" x14ac:dyDescent="0.25">
      <c r="A889" s="216" t="s">
        <v>1029</v>
      </c>
      <c r="B889" s="44"/>
      <c r="C889" s="30"/>
      <c r="D889" s="44"/>
      <c r="E889" s="44"/>
      <c r="F889" s="44"/>
      <c r="G889" s="217"/>
    </row>
    <row r="890" spans="1:7" ht="17.25" thickBot="1" x14ac:dyDescent="0.3">
      <c r="A890" s="209" t="s">
        <v>1030</v>
      </c>
      <c r="B890" s="45"/>
      <c r="C890" s="9"/>
      <c r="D890" s="45"/>
      <c r="E890" s="45"/>
      <c r="F890" s="45"/>
      <c r="G890" s="230"/>
    </row>
    <row r="891" spans="1:7" ht="27.75" thickBot="1" x14ac:dyDescent="0.3">
      <c r="A891" s="113">
        <v>713009.3</v>
      </c>
      <c r="B891" s="58" t="s">
        <v>1</v>
      </c>
      <c r="C891" s="29">
        <v>180</v>
      </c>
      <c r="D891" s="87">
        <v>244</v>
      </c>
      <c r="E891" s="87">
        <f t="shared" ref="E891:E936" si="59">+D891*1.36</f>
        <v>331.84000000000003</v>
      </c>
      <c r="F891" s="192">
        <f t="shared" si="58"/>
        <v>447.98400000000009</v>
      </c>
      <c r="G891" s="114" t="s">
        <v>851</v>
      </c>
    </row>
    <row r="892" spans="1:7" ht="41.25" thickBot="1" x14ac:dyDescent="0.3">
      <c r="A892" s="113">
        <v>921110</v>
      </c>
      <c r="B892" s="58" t="s">
        <v>1</v>
      </c>
      <c r="C892" s="17">
        <v>708</v>
      </c>
      <c r="D892" s="91">
        <v>960</v>
      </c>
      <c r="E892" s="91">
        <v>1305.9000000000001</v>
      </c>
      <c r="F892" s="198">
        <f t="shared" si="58"/>
        <v>1762.9650000000001</v>
      </c>
      <c r="G892" s="114" t="s">
        <v>852</v>
      </c>
    </row>
    <row r="893" spans="1:7" ht="27.75" thickBot="1" x14ac:dyDescent="0.3">
      <c r="A893" s="113">
        <v>921120</v>
      </c>
      <c r="B893" s="58" t="s">
        <v>1</v>
      </c>
      <c r="C893" s="17">
        <v>708</v>
      </c>
      <c r="D893" s="91">
        <v>960</v>
      </c>
      <c r="E893" s="91">
        <v>1305.9000000000001</v>
      </c>
      <c r="F893" s="198">
        <f t="shared" si="58"/>
        <v>1762.9650000000001</v>
      </c>
      <c r="G893" s="114" t="s">
        <v>853</v>
      </c>
    </row>
    <row r="894" spans="1:7" ht="16.5" thickBot="1" x14ac:dyDescent="0.3">
      <c r="A894" s="113">
        <v>921130</v>
      </c>
      <c r="B894" s="58" t="s">
        <v>1</v>
      </c>
      <c r="C894" s="17">
        <v>708</v>
      </c>
      <c r="D894" s="91">
        <v>960</v>
      </c>
      <c r="E894" s="91">
        <v>1305.9000000000001</v>
      </c>
      <c r="F894" s="198">
        <f t="shared" si="58"/>
        <v>1762.9650000000001</v>
      </c>
      <c r="G894" s="114" t="s">
        <v>854</v>
      </c>
    </row>
    <row r="895" spans="1:7" ht="41.25" thickBot="1" x14ac:dyDescent="0.3">
      <c r="A895" s="113">
        <v>921200.1</v>
      </c>
      <c r="B895" s="58" t="s">
        <v>393</v>
      </c>
      <c r="C895" s="17">
        <v>708</v>
      </c>
      <c r="D895" s="91">
        <v>960</v>
      </c>
      <c r="E895" s="91">
        <v>1305.9000000000001</v>
      </c>
      <c r="F895" s="198">
        <f t="shared" si="58"/>
        <v>1762.9650000000001</v>
      </c>
      <c r="G895" s="114" t="s">
        <v>855</v>
      </c>
    </row>
    <row r="896" spans="1:7" ht="27.75" thickBot="1" x14ac:dyDescent="0.3">
      <c r="A896" s="113">
        <v>921200.2</v>
      </c>
      <c r="B896" s="58" t="s">
        <v>768</v>
      </c>
      <c r="C896" s="17">
        <v>708</v>
      </c>
      <c r="D896" s="91">
        <v>960</v>
      </c>
      <c r="E896" s="91">
        <v>1305.9000000000001</v>
      </c>
      <c r="F896" s="198">
        <f t="shared" si="58"/>
        <v>1762.9650000000001</v>
      </c>
      <c r="G896" s="114" t="s">
        <v>856</v>
      </c>
    </row>
    <row r="897" spans="1:7" ht="27.75" thickBot="1" x14ac:dyDescent="0.3">
      <c r="A897" s="113">
        <v>921220</v>
      </c>
      <c r="B897" s="58" t="s">
        <v>139</v>
      </c>
      <c r="C897" s="17">
        <v>215</v>
      </c>
      <c r="D897" s="56">
        <v>290</v>
      </c>
      <c r="E897" s="91">
        <v>395</v>
      </c>
      <c r="F897" s="198">
        <f t="shared" si="58"/>
        <v>533.25</v>
      </c>
      <c r="G897" s="114" t="s">
        <v>857</v>
      </c>
    </row>
    <row r="898" spans="1:7" ht="27.75" thickBot="1" x14ac:dyDescent="0.3">
      <c r="A898" s="113">
        <v>921410</v>
      </c>
      <c r="B898" s="58" t="s">
        <v>59</v>
      </c>
      <c r="C898" s="17">
        <v>120</v>
      </c>
      <c r="D898" s="91">
        <v>165</v>
      </c>
      <c r="E898" s="91">
        <v>224.5</v>
      </c>
      <c r="F898" s="198">
        <f t="shared" si="58"/>
        <v>303.07500000000005</v>
      </c>
      <c r="G898" s="114" t="s">
        <v>858</v>
      </c>
    </row>
    <row r="899" spans="1:7" ht="27.75" thickBot="1" x14ac:dyDescent="0.3">
      <c r="A899" s="113">
        <v>921420</v>
      </c>
      <c r="B899" s="58" t="s">
        <v>1</v>
      </c>
      <c r="C899" s="17">
        <v>120</v>
      </c>
      <c r="D899" s="91">
        <v>165</v>
      </c>
      <c r="E899" s="91">
        <v>224.5</v>
      </c>
      <c r="F899" s="198">
        <f t="shared" si="58"/>
        <v>303.07500000000005</v>
      </c>
      <c r="G899" s="114" t="s">
        <v>859</v>
      </c>
    </row>
    <row r="900" spans="1:7" ht="41.25" thickBot="1" x14ac:dyDescent="0.3">
      <c r="A900" s="71">
        <v>921430</v>
      </c>
      <c r="B900" s="70" t="s">
        <v>1</v>
      </c>
      <c r="C900" s="17">
        <v>120</v>
      </c>
      <c r="D900" s="56">
        <v>165</v>
      </c>
      <c r="E900" s="56">
        <v>224.5</v>
      </c>
      <c r="F900" s="200">
        <f t="shared" si="58"/>
        <v>303.07500000000005</v>
      </c>
      <c r="G900" s="97" t="s">
        <v>860</v>
      </c>
    </row>
    <row r="901" spans="1:7" ht="17.25" thickBot="1" x14ac:dyDescent="0.3">
      <c r="A901" s="128" t="s">
        <v>861</v>
      </c>
      <c r="B901" s="80"/>
      <c r="C901" s="9"/>
      <c r="D901" s="45"/>
      <c r="E901" s="45"/>
      <c r="F901" s="45"/>
      <c r="G901" s="129"/>
    </row>
    <row r="902" spans="1:7" ht="27.75" thickBot="1" x14ac:dyDescent="0.3">
      <c r="A902" s="113">
        <v>921981</v>
      </c>
      <c r="B902" s="58" t="s">
        <v>59</v>
      </c>
      <c r="C902" s="17">
        <v>215</v>
      </c>
      <c r="D902" s="56">
        <v>290</v>
      </c>
      <c r="E902" s="56">
        <v>395</v>
      </c>
      <c r="F902" s="198">
        <f t="shared" si="58"/>
        <v>533.25</v>
      </c>
      <c r="G902" s="114" t="s">
        <v>862</v>
      </c>
    </row>
    <row r="903" spans="1:7" ht="16.5" thickBot="1" x14ac:dyDescent="0.3">
      <c r="A903" s="113">
        <v>921982</v>
      </c>
      <c r="B903" s="58" t="s">
        <v>59</v>
      </c>
      <c r="C903" s="17">
        <v>180</v>
      </c>
      <c r="D903" s="87">
        <v>244</v>
      </c>
      <c r="E903" s="87">
        <f t="shared" si="59"/>
        <v>331.84000000000003</v>
      </c>
      <c r="F903" s="192">
        <f t="shared" si="58"/>
        <v>447.98400000000009</v>
      </c>
      <c r="G903" s="114" t="s">
        <v>863</v>
      </c>
    </row>
    <row r="904" spans="1:7" ht="41.25" thickBot="1" x14ac:dyDescent="0.3">
      <c r="A904" s="113">
        <v>921983</v>
      </c>
      <c r="B904" s="58" t="s">
        <v>393</v>
      </c>
      <c r="C904" s="17">
        <v>1274</v>
      </c>
      <c r="D904" s="91">
        <v>1728</v>
      </c>
      <c r="E904" s="91">
        <v>2350</v>
      </c>
      <c r="F904" s="198">
        <f t="shared" si="58"/>
        <v>3172.5</v>
      </c>
      <c r="G904" s="114" t="s">
        <v>864</v>
      </c>
    </row>
    <row r="905" spans="1:7" ht="54.75" thickBot="1" x14ac:dyDescent="0.3">
      <c r="A905" s="113">
        <v>921984</v>
      </c>
      <c r="B905" s="58" t="s">
        <v>393</v>
      </c>
      <c r="C905" s="17">
        <v>1274</v>
      </c>
      <c r="D905" s="91">
        <v>1728</v>
      </c>
      <c r="E905" s="91">
        <v>2350</v>
      </c>
      <c r="F905" s="198">
        <f t="shared" si="58"/>
        <v>3172.5</v>
      </c>
      <c r="G905" s="114" t="s">
        <v>865</v>
      </c>
    </row>
    <row r="906" spans="1:7" ht="27.75" thickBot="1" x14ac:dyDescent="0.3">
      <c r="A906" s="113">
        <v>921985</v>
      </c>
      <c r="B906" s="58" t="s">
        <v>734</v>
      </c>
      <c r="C906" s="50">
        <v>1250</v>
      </c>
      <c r="D906" s="91">
        <v>3500</v>
      </c>
      <c r="E906" s="91">
        <f t="shared" si="59"/>
        <v>4760</v>
      </c>
      <c r="F906" s="198">
        <f t="shared" si="58"/>
        <v>6426</v>
      </c>
      <c r="G906" s="114" t="s">
        <v>866</v>
      </c>
    </row>
    <row r="907" spans="1:7" ht="16.5" thickBot="1" x14ac:dyDescent="0.3">
      <c r="A907" s="113">
        <v>921986</v>
      </c>
      <c r="B907" s="58" t="s">
        <v>867</v>
      </c>
      <c r="C907" s="17">
        <v>950</v>
      </c>
      <c r="D907" s="91">
        <v>1290</v>
      </c>
      <c r="E907" s="91">
        <v>1756.65</v>
      </c>
      <c r="F907" s="198">
        <f t="shared" si="58"/>
        <v>2371.4775000000004</v>
      </c>
      <c r="G907" s="114" t="s">
        <v>868</v>
      </c>
    </row>
    <row r="908" spans="1:7" ht="16.5" thickBot="1" x14ac:dyDescent="0.3">
      <c r="A908" s="183" t="s">
        <v>1005</v>
      </c>
      <c r="B908" s="58" t="s">
        <v>867</v>
      </c>
      <c r="C908" s="17"/>
      <c r="D908" s="91"/>
      <c r="E908" s="91">
        <f>950*1.36</f>
        <v>1292</v>
      </c>
      <c r="F908" s="198">
        <f t="shared" si="58"/>
        <v>1744.2</v>
      </c>
      <c r="G908" s="114" t="s">
        <v>1006</v>
      </c>
    </row>
    <row r="909" spans="1:7" ht="16.5" thickBot="1" x14ac:dyDescent="0.3">
      <c r="A909" s="113">
        <v>921989</v>
      </c>
      <c r="B909" s="58" t="s">
        <v>59</v>
      </c>
      <c r="C909" s="17">
        <v>180</v>
      </c>
      <c r="D909" s="87">
        <v>244</v>
      </c>
      <c r="E909" s="87">
        <f t="shared" si="59"/>
        <v>331.84000000000003</v>
      </c>
      <c r="F909" s="192">
        <f t="shared" si="58"/>
        <v>447.98400000000009</v>
      </c>
      <c r="G909" s="114" t="s">
        <v>869</v>
      </c>
    </row>
    <row r="910" spans="1:7" ht="27.75" thickBot="1" x14ac:dyDescent="0.3">
      <c r="A910" s="113">
        <v>921990</v>
      </c>
      <c r="B910" s="58" t="s">
        <v>59</v>
      </c>
      <c r="C910" s="17">
        <v>1274</v>
      </c>
      <c r="D910" s="91">
        <v>1728</v>
      </c>
      <c r="E910" s="91">
        <v>2350</v>
      </c>
      <c r="F910" s="198">
        <f t="shared" si="58"/>
        <v>3172.5</v>
      </c>
      <c r="G910" s="114" t="s">
        <v>870</v>
      </c>
    </row>
    <row r="911" spans="1:7" ht="27.75" thickBot="1" x14ac:dyDescent="0.3">
      <c r="A911" s="113">
        <v>921990.1</v>
      </c>
      <c r="B911" s="58" t="s">
        <v>393</v>
      </c>
      <c r="C911" s="17">
        <v>180</v>
      </c>
      <c r="D911" s="87">
        <v>244</v>
      </c>
      <c r="E911" s="87">
        <f t="shared" si="59"/>
        <v>331.84000000000003</v>
      </c>
      <c r="F911" s="192">
        <f t="shared" si="58"/>
        <v>447.98400000000009</v>
      </c>
      <c r="G911" s="114" t="s">
        <v>871</v>
      </c>
    </row>
    <row r="912" spans="1:7" ht="122.25" thickBot="1" x14ac:dyDescent="0.3">
      <c r="A912" s="113">
        <v>921990.2</v>
      </c>
      <c r="B912" s="58" t="s">
        <v>980</v>
      </c>
      <c r="C912" s="17">
        <v>218</v>
      </c>
      <c r="D912" s="91">
        <v>299.89999999999998</v>
      </c>
      <c r="E912" s="91">
        <f t="shared" si="59"/>
        <v>407.86399999999998</v>
      </c>
      <c r="F912" s="198">
        <v>550.1</v>
      </c>
      <c r="G912" s="114" t="s">
        <v>872</v>
      </c>
    </row>
    <row r="913" spans="1:7" ht="16.5" thickBot="1" x14ac:dyDescent="0.3">
      <c r="A913" s="113">
        <v>921990.3</v>
      </c>
      <c r="B913" s="58" t="s">
        <v>867</v>
      </c>
      <c r="C913" s="17">
        <v>425</v>
      </c>
      <c r="D913" s="91">
        <v>575</v>
      </c>
      <c r="E913" s="91">
        <f t="shared" si="59"/>
        <v>782</v>
      </c>
      <c r="F913" s="198">
        <f t="shared" si="58"/>
        <v>1055.7</v>
      </c>
      <c r="G913" s="114" t="s">
        <v>873</v>
      </c>
    </row>
    <row r="914" spans="1:7" ht="16.5" thickBot="1" x14ac:dyDescent="0.3">
      <c r="A914" s="113">
        <v>921990.4</v>
      </c>
      <c r="B914" s="58" t="s">
        <v>59</v>
      </c>
      <c r="C914" s="17">
        <v>358</v>
      </c>
      <c r="D914" s="91">
        <v>485</v>
      </c>
      <c r="E914" s="91">
        <v>659.8</v>
      </c>
      <c r="F914" s="198">
        <f t="shared" si="58"/>
        <v>890.73</v>
      </c>
      <c r="G914" s="114" t="s">
        <v>874</v>
      </c>
    </row>
    <row r="915" spans="1:7" ht="27.75" thickBot="1" x14ac:dyDescent="0.3">
      <c r="A915" s="113">
        <v>921990.5</v>
      </c>
      <c r="B915" s="58" t="s">
        <v>59</v>
      </c>
      <c r="C915" s="17">
        <v>218</v>
      </c>
      <c r="D915" s="91">
        <v>299.89999999999998</v>
      </c>
      <c r="E915" s="91">
        <f t="shared" si="59"/>
        <v>407.86399999999998</v>
      </c>
      <c r="F915" s="198">
        <v>550.1</v>
      </c>
      <c r="G915" s="114" t="s">
        <v>875</v>
      </c>
    </row>
    <row r="916" spans="1:7" ht="41.25" thickBot="1" x14ac:dyDescent="0.3">
      <c r="A916" s="113">
        <v>921990.6</v>
      </c>
      <c r="B916" s="58" t="s">
        <v>867</v>
      </c>
      <c r="C916" s="17">
        <v>950</v>
      </c>
      <c r="D916" s="91">
        <v>1290</v>
      </c>
      <c r="E916" s="91">
        <v>1756.65</v>
      </c>
      <c r="F916" s="198">
        <f t="shared" si="58"/>
        <v>2371.4775000000004</v>
      </c>
      <c r="G916" s="114" t="s">
        <v>876</v>
      </c>
    </row>
    <row r="917" spans="1:7" ht="16.5" thickBot="1" x14ac:dyDescent="0.3">
      <c r="A917" s="113">
        <v>924110.1</v>
      </c>
      <c r="B917" s="58" t="s">
        <v>59</v>
      </c>
      <c r="C917" s="17">
        <v>180</v>
      </c>
      <c r="D917" s="87">
        <v>244</v>
      </c>
      <c r="E917" s="87">
        <f t="shared" si="59"/>
        <v>331.84000000000003</v>
      </c>
      <c r="F917" s="192">
        <f t="shared" si="58"/>
        <v>447.98400000000009</v>
      </c>
      <c r="G917" s="114" t="s">
        <v>877</v>
      </c>
    </row>
    <row r="918" spans="1:7" ht="41.25" thickBot="1" x14ac:dyDescent="0.3">
      <c r="A918" s="113">
        <v>924110.2</v>
      </c>
      <c r="B918" s="58" t="s">
        <v>59</v>
      </c>
      <c r="C918" s="17">
        <v>215</v>
      </c>
      <c r="D918" s="56">
        <v>290</v>
      </c>
      <c r="E918" s="91">
        <v>395</v>
      </c>
      <c r="F918" s="198">
        <f t="shared" si="58"/>
        <v>533.25</v>
      </c>
      <c r="G918" s="114" t="s">
        <v>878</v>
      </c>
    </row>
    <row r="919" spans="1:7" ht="27.75" thickBot="1" x14ac:dyDescent="0.3">
      <c r="A919" s="113">
        <v>924110.3</v>
      </c>
      <c r="B919" s="58" t="s">
        <v>59</v>
      </c>
      <c r="C919" s="17">
        <v>215</v>
      </c>
      <c r="D919" s="56">
        <v>290</v>
      </c>
      <c r="E919" s="91">
        <v>395</v>
      </c>
      <c r="F919" s="198">
        <f t="shared" si="58"/>
        <v>533.25</v>
      </c>
      <c r="G919" s="114" t="s">
        <v>879</v>
      </c>
    </row>
    <row r="920" spans="1:7" ht="27.75" thickBot="1" x14ac:dyDescent="0.3">
      <c r="A920" s="113">
        <v>924110.4</v>
      </c>
      <c r="B920" s="58" t="s">
        <v>59</v>
      </c>
      <c r="C920" s="17">
        <v>358</v>
      </c>
      <c r="D920" s="91">
        <v>485</v>
      </c>
      <c r="E920" s="91">
        <v>659.8</v>
      </c>
      <c r="F920" s="198">
        <f t="shared" si="58"/>
        <v>890.73</v>
      </c>
      <c r="G920" s="114" t="s">
        <v>880</v>
      </c>
    </row>
    <row r="921" spans="1:7" ht="27.75" thickBot="1" x14ac:dyDescent="0.3">
      <c r="A921" s="113">
        <v>924110.5</v>
      </c>
      <c r="B921" s="58" t="s">
        <v>59</v>
      </c>
      <c r="C921" s="17">
        <v>215</v>
      </c>
      <c r="D921" s="56">
        <v>290</v>
      </c>
      <c r="E921" s="91">
        <v>395</v>
      </c>
      <c r="F921" s="198">
        <f t="shared" si="58"/>
        <v>533.25</v>
      </c>
      <c r="G921" s="114" t="s">
        <v>881</v>
      </c>
    </row>
    <row r="922" spans="1:7" ht="27.75" thickBot="1" x14ac:dyDescent="0.3">
      <c r="A922" s="113">
        <v>924110.6</v>
      </c>
      <c r="B922" s="58" t="s">
        <v>59</v>
      </c>
      <c r="C922" s="17">
        <v>215</v>
      </c>
      <c r="D922" s="56">
        <v>290</v>
      </c>
      <c r="E922" s="91">
        <v>395</v>
      </c>
      <c r="F922" s="198">
        <f t="shared" si="58"/>
        <v>533.25</v>
      </c>
      <c r="G922" s="114" t="s">
        <v>882</v>
      </c>
    </row>
    <row r="923" spans="1:7" ht="16.5" thickBot="1" x14ac:dyDescent="0.3">
      <c r="A923" s="113">
        <v>924110.7</v>
      </c>
      <c r="B923" s="58" t="s">
        <v>59</v>
      </c>
      <c r="C923" s="17">
        <v>215</v>
      </c>
      <c r="D923" s="56">
        <v>290</v>
      </c>
      <c r="E923" s="91">
        <v>395</v>
      </c>
      <c r="F923" s="198">
        <f t="shared" si="58"/>
        <v>533.25</v>
      </c>
      <c r="G923" s="114" t="s">
        <v>883</v>
      </c>
    </row>
    <row r="924" spans="1:7" ht="16.5" thickBot="1" x14ac:dyDescent="0.3">
      <c r="A924" s="113">
        <v>924110.8</v>
      </c>
      <c r="B924" s="58" t="s">
        <v>59</v>
      </c>
      <c r="C924" s="17">
        <v>180</v>
      </c>
      <c r="D924" s="87">
        <v>244</v>
      </c>
      <c r="E924" s="87">
        <f t="shared" si="59"/>
        <v>331.84000000000003</v>
      </c>
      <c r="F924" s="192">
        <f t="shared" si="58"/>
        <v>447.98400000000009</v>
      </c>
      <c r="G924" s="114" t="s">
        <v>884</v>
      </c>
    </row>
    <row r="925" spans="1:7" ht="27.75" thickBot="1" x14ac:dyDescent="0.3">
      <c r="A925" s="113">
        <v>924120</v>
      </c>
      <c r="B925" s="58" t="s">
        <v>59</v>
      </c>
      <c r="C925" s="17">
        <v>180</v>
      </c>
      <c r="D925" s="87">
        <v>244</v>
      </c>
      <c r="E925" s="87">
        <f t="shared" si="59"/>
        <v>331.84000000000003</v>
      </c>
      <c r="F925" s="192">
        <f t="shared" si="58"/>
        <v>447.98400000000009</v>
      </c>
      <c r="G925" s="114" t="s">
        <v>885</v>
      </c>
    </row>
    <row r="926" spans="1:7" ht="41.25" thickBot="1" x14ac:dyDescent="0.3">
      <c r="A926" s="113">
        <v>924920.1</v>
      </c>
      <c r="B926" s="58" t="s">
        <v>59</v>
      </c>
      <c r="C926" s="17">
        <v>120</v>
      </c>
      <c r="D926" s="91">
        <v>165</v>
      </c>
      <c r="E926" s="91">
        <v>224.5</v>
      </c>
      <c r="F926" s="198">
        <f t="shared" si="58"/>
        <v>303.07500000000005</v>
      </c>
      <c r="G926" s="114" t="s">
        <v>886</v>
      </c>
    </row>
    <row r="927" spans="1:7" ht="27.75" thickBot="1" x14ac:dyDescent="0.3">
      <c r="A927" s="113">
        <v>924920.2</v>
      </c>
      <c r="B927" s="58" t="s">
        <v>59</v>
      </c>
      <c r="C927" s="17">
        <v>120</v>
      </c>
      <c r="D927" s="91">
        <v>165</v>
      </c>
      <c r="E927" s="91">
        <v>224.5</v>
      </c>
      <c r="F927" s="198">
        <f t="shared" si="58"/>
        <v>303.07500000000005</v>
      </c>
      <c r="G927" s="114" t="s">
        <v>887</v>
      </c>
    </row>
    <row r="928" spans="1:7" ht="16.5" thickBot="1" x14ac:dyDescent="0.3">
      <c r="A928" s="113">
        <v>924920.3</v>
      </c>
      <c r="B928" s="58" t="s">
        <v>59</v>
      </c>
      <c r="C928" s="17">
        <v>180</v>
      </c>
      <c r="D928" s="87">
        <v>244</v>
      </c>
      <c r="E928" s="87">
        <f t="shared" si="59"/>
        <v>331.84000000000003</v>
      </c>
      <c r="F928" s="192">
        <f t="shared" si="58"/>
        <v>447.98400000000009</v>
      </c>
      <c r="G928" s="114" t="s">
        <v>888</v>
      </c>
    </row>
    <row r="929" spans="1:7" ht="68.25" thickBot="1" x14ac:dyDescent="0.3">
      <c r="A929" s="246">
        <v>924922</v>
      </c>
      <c r="B929" s="249" t="s">
        <v>734</v>
      </c>
      <c r="C929" s="17">
        <v>0</v>
      </c>
      <c r="D929" s="91"/>
      <c r="E929" s="91"/>
      <c r="F929" s="198">
        <f t="shared" si="58"/>
        <v>0</v>
      </c>
      <c r="G929" s="114" t="s">
        <v>889</v>
      </c>
    </row>
    <row r="930" spans="1:7" ht="16.5" thickBot="1" x14ac:dyDescent="0.3">
      <c r="A930" s="247"/>
      <c r="B930" s="250"/>
      <c r="C930" s="17">
        <v>180</v>
      </c>
      <c r="D930" s="87">
        <v>244</v>
      </c>
      <c r="E930" s="87">
        <f t="shared" si="59"/>
        <v>331.84000000000003</v>
      </c>
      <c r="F930" s="192">
        <f t="shared" si="58"/>
        <v>447.98400000000009</v>
      </c>
      <c r="G930" s="114" t="s">
        <v>890</v>
      </c>
    </row>
    <row r="931" spans="1:7" ht="16.5" thickBot="1" x14ac:dyDescent="0.3">
      <c r="A931" s="247"/>
      <c r="B931" s="250"/>
      <c r="C931" s="17">
        <v>280</v>
      </c>
      <c r="D931" s="89">
        <v>380</v>
      </c>
      <c r="E931" s="89">
        <v>517.54999999999995</v>
      </c>
      <c r="F931" s="193">
        <v>698.4</v>
      </c>
      <c r="G931" s="114" t="s">
        <v>891</v>
      </c>
    </row>
    <row r="932" spans="1:7" ht="16.5" thickBot="1" x14ac:dyDescent="0.3">
      <c r="A932" s="247"/>
      <c r="B932" s="250"/>
      <c r="C932" s="17">
        <v>425</v>
      </c>
      <c r="D932" s="91">
        <v>575</v>
      </c>
      <c r="E932" s="91">
        <f t="shared" si="59"/>
        <v>782</v>
      </c>
      <c r="F932" s="198">
        <f t="shared" si="58"/>
        <v>1055.7</v>
      </c>
      <c r="G932" s="114" t="s">
        <v>892</v>
      </c>
    </row>
    <row r="933" spans="1:7" ht="16.5" thickBot="1" x14ac:dyDescent="0.3">
      <c r="A933" s="247"/>
      <c r="B933" s="250"/>
      <c r="C933" s="17">
        <v>686</v>
      </c>
      <c r="D933" s="91">
        <v>930</v>
      </c>
      <c r="E933" s="91">
        <f t="shared" si="59"/>
        <v>1264.8000000000002</v>
      </c>
      <c r="F933" s="198">
        <f t="shared" si="58"/>
        <v>1707.4800000000002</v>
      </c>
      <c r="G933" s="114" t="s">
        <v>893</v>
      </c>
    </row>
    <row r="934" spans="1:7" ht="16.5" thickBot="1" x14ac:dyDescent="0.3">
      <c r="A934" s="248"/>
      <c r="B934" s="251"/>
      <c r="C934" s="17">
        <v>1092</v>
      </c>
      <c r="D934" s="91">
        <v>1480</v>
      </c>
      <c r="E934" s="91">
        <v>2013.7</v>
      </c>
      <c r="F934" s="198">
        <f t="shared" si="58"/>
        <v>2718.4950000000003</v>
      </c>
      <c r="G934" s="114" t="s">
        <v>894</v>
      </c>
    </row>
    <row r="935" spans="1:7" ht="16.5" thickBot="1" x14ac:dyDescent="0.3">
      <c r="A935" s="113">
        <v>924990</v>
      </c>
      <c r="B935" s="58" t="s">
        <v>59</v>
      </c>
      <c r="C935" s="17">
        <v>230</v>
      </c>
      <c r="D935" s="91">
        <v>312</v>
      </c>
      <c r="E935" s="91">
        <v>425</v>
      </c>
      <c r="F935" s="198">
        <f t="shared" si="58"/>
        <v>573.75</v>
      </c>
      <c r="G935" s="114" t="s">
        <v>895</v>
      </c>
    </row>
    <row r="936" spans="1:7" ht="41.25" thickBot="1" x14ac:dyDescent="0.3">
      <c r="A936" s="113">
        <v>924992</v>
      </c>
      <c r="B936" s="58" t="s">
        <v>59</v>
      </c>
      <c r="C936" s="17">
        <v>180</v>
      </c>
      <c r="D936" s="87">
        <v>244</v>
      </c>
      <c r="E936" s="87">
        <f t="shared" si="59"/>
        <v>331.84000000000003</v>
      </c>
      <c r="F936" s="192">
        <f t="shared" si="58"/>
        <v>447.98400000000009</v>
      </c>
      <c r="G936" s="114" t="s">
        <v>896</v>
      </c>
    </row>
    <row r="937" spans="1:7" ht="33" customHeight="1" thickBot="1" x14ac:dyDescent="0.3">
      <c r="A937" s="77" t="s">
        <v>897</v>
      </c>
      <c r="B937" s="79"/>
      <c r="C937" s="4"/>
      <c r="D937" s="46"/>
      <c r="E937" s="46"/>
      <c r="F937" s="46"/>
      <c r="G937" s="75"/>
    </row>
    <row r="938" spans="1:7" ht="16.5" thickBot="1" x14ac:dyDescent="0.3">
      <c r="A938" s="113">
        <v>930100.1</v>
      </c>
      <c r="B938" s="58" t="s">
        <v>1</v>
      </c>
      <c r="C938" s="17">
        <v>180</v>
      </c>
      <c r="D938" s="57">
        <v>244</v>
      </c>
      <c r="E938" s="57">
        <v>332.5</v>
      </c>
      <c r="F938" s="192">
        <v>447.98400000000009</v>
      </c>
      <c r="G938" s="114" t="s">
        <v>898</v>
      </c>
    </row>
    <row r="939" spans="1:7" ht="54.75" thickBot="1" x14ac:dyDescent="0.3">
      <c r="A939" s="113">
        <v>930100.2</v>
      </c>
      <c r="B939" s="58" t="s">
        <v>1</v>
      </c>
      <c r="C939" s="17">
        <v>120</v>
      </c>
      <c r="D939" s="91">
        <v>165</v>
      </c>
      <c r="E939" s="91">
        <v>224.5</v>
      </c>
      <c r="F939" s="198">
        <f t="shared" si="58"/>
        <v>303.07500000000005</v>
      </c>
      <c r="G939" s="114" t="s">
        <v>899</v>
      </c>
    </row>
    <row r="940" spans="1:7" ht="17.25" customHeight="1" thickBot="1" x14ac:dyDescent="0.3">
      <c r="A940" s="76" t="s">
        <v>900</v>
      </c>
      <c r="B940" s="79"/>
      <c r="C940" s="4"/>
      <c r="D940" s="46"/>
      <c r="E940" s="46"/>
      <c r="F940" s="46"/>
      <c r="G940" s="75"/>
    </row>
    <row r="941" spans="1:7" ht="27.75" thickBot="1" x14ac:dyDescent="0.3">
      <c r="A941" s="113">
        <v>809090</v>
      </c>
      <c r="B941" s="58" t="s">
        <v>1</v>
      </c>
      <c r="C941" s="17">
        <v>180</v>
      </c>
      <c r="D941" s="57">
        <v>244</v>
      </c>
      <c r="E941" s="57">
        <f t="shared" ref="E941:E960" si="60">+D941*1.36</f>
        <v>331.84000000000003</v>
      </c>
      <c r="F941" s="192">
        <f t="shared" si="58"/>
        <v>447.98400000000009</v>
      </c>
      <c r="G941" s="114" t="s">
        <v>901</v>
      </c>
    </row>
    <row r="942" spans="1:7" ht="27.75" thickBot="1" x14ac:dyDescent="0.3">
      <c r="A942" s="113">
        <v>809091</v>
      </c>
      <c r="B942" s="58" t="s">
        <v>1</v>
      </c>
      <c r="C942" s="17">
        <v>180</v>
      </c>
      <c r="D942" s="87">
        <v>244</v>
      </c>
      <c r="E942" s="87">
        <f t="shared" si="60"/>
        <v>331.84000000000003</v>
      </c>
      <c r="F942" s="192">
        <f t="shared" ref="F942:F965" si="61">+E942*$F$1</f>
        <v>447.98400000000009</v>
      </c>
      <c r="G942" s="114" t="s">
        <v>902</v>
      </c>
    </row>
    <row r="943" spans="1:7" ht="41.25" thickBot="1" x14ac:dyDescent="0.3">
      <c r="A943" s="113">
        <v>852000.1</v>
      </c>
      <c r="B943" s="58" t="s">
        <v>1</v>
      </c>
      <c r="C943" s="17">
        <v>180</v>
      </c>
      <c r="D943" s="87">
        <v>244</v>
      </c>
      <c r="E943" s="87">
        <f t="shared" si="60"/>
        <v>331.84000000000003</v>
      </c>
      <c r="F943" s="192">
        <f t="shared" si="61"/>
        <v>447.98400000000009</v>
      </c>
      <c r="G943" s="114" t="s">
        <v>903</v>
      </c>
    </row>
    <row r="944" spans="1:7" ht="16.5" thickBot="1" x14ac:dyDescent="0.3">
      <c r="A944" s="113">
        <v>852000.2</v>
      </c>
      <c r="B944" s="58" t="s">
        <v>1</v>
      </c>
      <c r="C944" s="17">
        <v>180</v>
      </c>
      <c r="D944" s="87">
        <v>244</v>
      </c>
      <c r="E944" s="87">
        <f t="shared" si="60"/>
        <v>331.84000000000003</v>
      </c>
      <c r="F944" s="192">
        <f t="shared" si="61"/>
        <v>447.98400000000009</v>
      </c>
      <c r="G944" s="114" t="s">
        <v>904</v>
      </c>
    </row>
    <row r="945" spans="1:7" ht="41.25" thickBot="1" x14ac:dyDescent="0.3">
      <c r="A945" s="113">
        <v>852000.3</v>
      </c>
      <c r="B945" s="58" t="s">
        <v>1</v>
      </c>
      <c r="C945" s="17">
        <v>180</v>
      </c>
      <c r="D945" s="87">
        <v>244</v>
      </c>
      <c r="E945" s="87">
        <f t="shared" si="60"/>
        <v>331.84000000000003</v>
      </c>
      <c r="F945" s="192">
        <f t="shared" si="61"/>
        <v>447.98400000000009</v>
      </c>
      <c r="G945" s="114" t="s">
        <v>905</v>
      </c>
    </row>
    <row r="946" spans="1:7" ht="27.75" thickBot="1" x14ac:dyDescent="0.3">
      <c r="A946" s="113">
        <v>852000.4</v>
      </c>
      <c r="B946" s="58" t="s">
        <v>1</v>
      </c>
      <c r="C946" s="17">
        <v>180</v>
      </c>
      <c r="D946" s="87">
        <v>244</v>
      </c>
      <c r="E946" s="87">
        <f t="shared" si="60"/>
        <v>331.84000000000003</v>
      </c>
      <c r="F946" s="192">
        <f t="shared" si="61"/>
        <v>447.98400000000009</v>
      </c>
      <c r="G946" s="114" t="s">
        <v>906</v>
      </c>
    </row>
    <row r="947" spans="1:7" ht="41.25" thickBot="1" x14ac:dyDescent="0.3">
      <c r="A947" s="113">
        <v>930102</v>
      </c>
      <c r="B947" s="58" t="s">
        <v>393</v>
      </c>
      <c r="C947" s="17">
        <v>358</v>
      </c>
      <c r="D947" s="91">
        <v>485</v>
      </c>
      <c r="E947" s="91">
        <v>659.8</v>
      </c>
      <c r="F947" s="198">
        <f t="shared" si="61"/>
        <v>890.73</v>
      </c>
      <c r="G947" s="114" t="s">
        <v>907</v>
      </c>
    </row>
    <row r="948" spans="1:7" ht="54.75" thickBot="1" x14ac:dyDescent="0.3">
      <c r="A948" s="113">
        <v>930103</v>
      </c>
      <c r="B948" s="58" t="s">
        <v>427</v>
      </c>
      <c r="C948" s="17">
        <v>358</v>
      </c>
      <c r="D948" s="91">
        <v>485</v>
      </c>
      <c r="E948" s="91">
        <v>659.8</v>
      </c>
      <c r="F948" s="198">
        <f t="shared" si="61"/>
        <v>890.73</v>
      </c>
      <c r="G948" s="114" t="s">
        <v>908</v>
      </c>
    </row>
    <row r="949" spans="1:7" ht="16.5" thickBot="1" x14ac:dyDescent="0.3">
      <c r="A949" s="113">
        <v>930202.1</v>
      </c>
      <c r="B949" s="58" t="s">
        <v>1</v>
      </c>
      <c r="C949" s="17">
        <v>140</v>
      </c>
      <c r="D949" s="91">
        <v>192</v>
      </c>
      <c r="E949" s="91">
        <v>261.35000000000002</v>
      </c>
      <c r="F949" s="198">
        <f t="shared" si="61"/>
        <v>352.82250000000005</v>
      </c>
      <c r="G949" s="114" t="s">
        <v>909</v>
      </c>
    </row>
    <row r="950" spans="1:7" ht="16.5" thickBot="1" x14ac:dyDescent="0.3">
      <c r="A950" s="113">
        <v>930202.2</v>
      </c>
      <c r="B950" s="58" t="s">
        <v>1</v>
      </c>
      <c r="C950" s="17">
        <v>140</v>
      </c>
      <c r="D950" s="91">
        <v>192</v>
      </c>
      <c r="E950" s="91">
        <v>261.35000000000002</v>
      </c>
      <c r="F950" s="198">
        <f t="shared" si="61"/>
        <v>352.82250000000005</v>
      </c>
      <c r="G950" s="114" t="s">
        <v>910</v>
      </c>
    </row>
    <row r="951" spans="1:7" ht="16.5" thickBot="1" x14ac:dyDescent="0.3">
      <c r="A951" s="113">
        <v>930202.3</v>
      </c>
      <c r="B951" s="58" t="s">
        <v>1</v>
      </c>
      <c r="C951" s="17">
        <v>140</v>
      </c>
      <c r="D951" s="91">
        <v>192</v>
      </c>
      <c r="E951" s="91">
        <v>261.35000000000002</v>
      </c>
      <c r="F951" s="198">
        <f t="shared" si="61"/>
        <v>352.82250000000005</v>
      </c>
      <c r="G951" s="114" t="s">
        <v>911</v>
      </c>
    </row>
    <row r="952" spans="1:7" ht="16.5" thickBot="1" x14ac:dyDescent="0.3">
      <c r="A952" s="113">
        <v>930202.4</v>
      </c>
      <c r="B952" s="58" t="s">
        <v>1</v>
      </c>
      <c r="C952" s="17">
        <v>140</v>
      </c>
      <c r="D952" s="91">
        <v>192</v>
      </c>
      <c r="E952" s="91">
        <v>261.35000000000002</v>
      </c>
      <c r="F952" s="198">
        <f t="shared" si="61"/>
        <v>352.82250000000005</v>
      </c>
      <c r="G952" s="114" t="s">
        <v>912</v>
      </c>
    </row>
    <row r="953" spans="1:7" ht="16.5" thickBot="1" x14ac:dyDescent="0.3">
      <c r="A953" s="113">
        <v>930202.5</v>
      </c>
      <c r="B953" s="58" t="s">
        <v>1</v>
      </c>
      <c r="C953" s="17">
        <v>140</v>
      </c>
      <c r="D953" s="91">
        <v>192</v>
      </c>
      <c r="E953" s="91">
        <v>261.35000000000002</v>
      </c>
      <c r="F953" s="198">
        <f t="shared" si="61"/>
        <v>352.82250000000005</v>
      </c>
      <c r="G953" s="114" t="s">
        <v>913</v>
      </c>
    </row>
    <row r="954" spans="1:7" ht="16.5" thickBot="1" x14ac:dyDescent="0.3">
      <c r="A954" s="240" t="s">
        <v>1034</v>
      </c>
      <c r="B954" s="58" t="s">
        <v>124</v>
      </c>
      <c r="C954" s="17">
        <v>180</v>
      </c>
      <c r="D954" s="87">
        <v>244</v>
      </c>
      <c r="E954" s="87">
        <f>+D954*1.36</f>
        <v>331.84000000000003</v>
      </c>
      <c r="F954" s="198">
        <f>+E954*$F$1</f>
        <v>447.98400000000009</v>
      </c>
      <c r="G954" s="114" t="s">
        <v>922</v>
      </c>
    </row>
    <row r="955" spans="1:7" ht="27.75" thickBot="1" x14ac:dyDescent="0.3">
      <c r="A955" s="113">
        <v>930300.1</v>
      </c>
      <c r="B955" s="58" t="s">
        <v>1</v>
      </c>
      <c r="C955" s="17">
        <v>358</v>
      </c>
      <c r="D955" s="91">
        <v>485</v>
      </c>
      <c r="E955" s="91">
        <v>659.8</v>
      </c>
      <c r="F955" s="198">
        <f t="shared" si="61"/>
        <v>890.73</v>
      </c>
      <c r="G955" s="114" t="s">
        <v>914</v>
      </c>
    </row>
    <row r="956" spans="1:7" ht="27.75" thickBot="1" x14ac:dyDescent="0.3">
      <c r="A956" s="113">
        <v>930300.2</v>
      </c>
      <c r="B956" s="58" t="s">
        <v>124</v>
      </c>
      <c r="C956" s="17">
        <v>358</v>
      </c>
      <c r="D956" s="91">
        <v>485</v>
      </c>
      <c r="E956" s="91">
        <v>659.8</v>
      </c>
      <c r="F956" s="198">
        <f t="shared" si="61"/>
        <v>890.73</v>
      </c>
      <c r="G956" s="114" t="s">
        <v>915</v>
      </c>
    </row>
    <row r="957" spans="1:7" ht="16.5" thickBot="1" x14ac:dyDescent="0.3">
      <c r="A957" s="113">
        <v>930300.3</v>
      </c>
      <c r="B957" s="58" t="s">
        <v>124</v>
      </c>
      <c r="C957" s="17">
        <v>358</v>
      </c>
      <c r="D957" s="91">
        <v>485</v>
      </c>
      <c r="E957" s="91">
        <v>659.8</v>
      </c>
      <c r="F957" s="198">
        <f t="shared" si="61"/>
        <v>890.73</v>
      </c>
      <c r="G957" s="114" t="s">
        <v>916</v>
      </c>
    </row>
    <row r="958" spans="1:7" ht="27.75" thickBot="1" x14ac:dyDescent="0.3">
      <c r="A958" s="113">
        <v>930910</v>
      </c>
      <c r="B958" s="58" t="s">
        <v>124</v>
      </c>
      <c r="C958" s="17">
        <v>140</v>
      </c>
      <c r="D958" s="91">
        <v>192</v>
      </c>
      <c r="E958" s="91">
        <v>261.35000000000002</v>
      </c>
      <c r="F958" s="198">
        <f t="shared" si="61"/>
        <v>352.82250000000005</v>
      </c>
      <c r="G958" s="114" t="s">
        <v>917</v>
      </c>
    </row>
    <row r="959" spans="1:7" ht="27.75" thickBot="1" x14ac:dyDescent="0.3">
      <c r="A959" s="113" t="s">
        <v>1035</v>
      </c>
      <c r="B959" s="58" t="s">
        <v>124</v>
      </c>
      <c r="C959" s="17">
        <v>140</v>
      </c>
      <c r="D959" s="91">
        <v>192</v>
      </c>
      <c r="E959" s="91">
        <v>261.35000000000002</v>
      </c>
      <c r="F959" s="198">
        <f t="shared" si="61"/>
        <v>352.82250000000005</v>
      </c>
      <c r="G959" s="114" t="s">
        <v>918</v>
      </c>
    </row>
    <row r="960" spans="1:7" ht="27.75" thickBot="1" x14ac:dyDescent="0.3">
      <c r="A960" s="113" t="s">
        <v>1036</v>
      </c>
      <c r="B960" s="58" t="s">
        <v>124</v>
      </c>
      <c r="C960" s="17">
        <v>180</v>
      </c>
      <c r="D960" s="87">
        <v>244</v>
      </c>
      <c r="E960" s="87">
        <f t="shared" si="60"/>
        <v>331.84000000000003</v>
      </c>
      <c r="F960" s="192">
        <f t="shared" si="61"/>
        <v>447.98400000000009</v>
      </c>
      <c r="G960" s="114" t="s">
        <v>919</v>
      </c>
    </row>
    <row r="961" spans="1:7" ht="16.5" thickBot="1" x14ac:dyDescent="0.3">
      <c r="A961" s="113" t="s">
        <v>1037</v>
      </c>
      <c r="B961" s="58" t="s">
        <v>124</v>
      </c>
      <c r="C961" s="17">
        <v>140</v>
      </c>
      <c r="D961" s="91">
        <v>192</v>
      </c>
      <c r="E961" s="91">
        <v>261.35000000000002</v>
      </c>
      <c r="F961" s="198">
        <f t="shared" si="61"/>
        <v>352.82250000000005</v>
      </c>
      <c r="G961" s="114" t="s">
        <v>920</v>
      </c>
    </row>
    <row r="962" spans="1:7" ht="27.75" thickBot="1" x14ac:dyDescent="0.3">
      <c r="A962" s="243" t="s">
        <v>1038</v>
      </c>
      <c r="B962" s="58" t="s">
        <v>124</v>
      </c>
      <c r="C962" s="56"/>
      <c r="D962" s="91"/>
      <c r="E962" s="91"/>
      <c r="F962" s="192">
        <v>550.1</v>
      </c>
      <c r="G962" s="114" t="s">
        <v>1041</v>
      </c>
    </row>
    <row r="963" spans="1:7" ht="27.75" thickBot="1" x14ac:dyDescent="0.3">
      <c r="A963" s="113" t="s">
        <v>1040</v>
      </c>
      <c r="B963" s="58" t="s">
        <v>124</v>
      </c>
      <c r="C963" s="17">
        <v>140</v>
      </c>
      <c r="D963" s="91">
        <v>192</v>
      </c>
      <c r="E963" s="91">
        <v>261.35000000000002</v>
      </c>
      <c r="F963" s="198">
        <f t="shared" si="61"/>
        <v>352.82250000000005</v>
      </c>
      <c r="G963" s="114" t="s">
        <v>921</v>
      </c>
    </row>
    <row r="964" spans="1:7" ht="17.25" customHeight="1" thickBot="1" x14ac:dyDescent="0.3">
      <c r="A964" s="120" t="s">
        <v>923</v>
      </c>
      <c r="B964" s="46"/>
      <c r="C964" s="4"/>
      <c r="D964" s="46"/>
      <c r="E964" s="46"/>
      <c r="F964" s="46"/>
      <c r="G964" s="210"/>
    </row>
    <row r="965" spans="1:7" ht="16.5" thickBot="1" x14ac:dyDescent="0.3">
      <c r="A965" s="113">
        <v>999999</v>
      </c>
      <c r="B965" s="58" t="s">
        <v>59</v>
      </c>
      <c r="C965" s="17">
        <v>358</v>
      </c>
      <c r="D965" s="56">
        <v>485</v>
      </c>
      <c r="E965" s="56">
        <v>659.8</v>
      </c>
      <c r="F965" s="198">
        <f t="shared" si="61"/>
        <v>890.73</v>
      </c>
      <c r="G965" s="114" t="s">
        <v>924</v>
      </c>
    </row>
    <row r="966" spans="1:7" x14ac:dyDescent="0.25">
      <c r="A966" s="72"/>
    </row>
  </sheetData>
  <autoFilter ref="A3:G965"/>
  <mergeCells count="3">
    <mergeCell ref="A929:A934"/>
    <mergeCell ref="B929:B934"/>
    <mergeCell ref="A2:G2"/>
  </mergeCells>
  <pageMargins left="0.23622047244094491" right="0.23622047244094491" top="0.74803149606299213" bottom="1.1417322834645669" header="0" footer="0"/>
  <pageSetup paperSize="9" scale="71" orientation="portrait" cellComments="asDisplayed" r:id="rId1"/>
  <headerFooter>
    <oddFooter>Página &amp;P</oddFooter>
  </headerFooter>
  <rowBreaks count="3" manualBreakCount="3">
    <brk id="590" max="10" man="1"/>
    <brk id="618" max="10" man="1"/>
    <brk id="965" max="16383" man="1"/>
  </rowBreaks>
  <colBreaks count="1" manualBreakCount="1">
    <brk id="9"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PARA IMPRIMIR 2017</vt:lpstr>
      <vt:lpstr>'PARA IMPRIMIR 2017'!Área_de_impresión</vt:lpstr>
      <vt:lpstr>'PARA IMPRIMIR 2017'!Títulos_a_imprimir</vt:lpstr>
    </vt:vector>
  </TitlesOfParts>
  <Company>Luffi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cdileo</dc:creator>
  <cp:lastModifiedBy>frodriguez</cp:lastModifiedBy>
  <cp:lastPrinted>2017-01-04T22:31:39Z</cp:lastPrinted>
  <dcterms:created xsi:type="dcterms:W3CDTF">2014-10-15T16:42:25Z</dcterms:created>
  <dcterms:modified xsi:type="dcterms:W3CDTF">2017-01-04T22:33:44Z</dcterms:modified>
</cp:coreProperties>
</file>