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defaultThemeVersion="124226"/>
  <mc:AlternateContent xmlns:mc="http://schemas.openxmlformats.org/markup-compatibility/2006">
    <mc:Choice Requires="x15">
      <x15ac:absPath xmlns:x15ac="http://schemas.microsoft.com/office/spreadsheetml/2010/11/ac" url="D:\Documentos Usuarios\frodriguez\Mis Documentos\Ordenanzas\2018\"/>
    </mc:Choice>
  </mc:AlternateContent>
  <bookViews>
    <workbookView xWindow="0" yWindow="0" windowWidth="15360" windowHeight="7695"/>
  </bookViews>
  <sheets>
    <sheet name="PARA TRABAJAR 2019" sheetId="6" r:id="rId1"/>
  </sheets>
  <definedNames>
    <definedName name="_xlnm._FilterDatabase" localSheetId="0" hidden="1">'PARA TRABAJAR 2019'!$A$3:$L$966</definedName>
    <definedName name="_xlnm.Print_Titles" localSheetId="0">'PARA TRABAJAR 2019'!$1:$3</definedName>
  </definedNames>
  <calcPr calcId="152511"/>
</workbook>
</file>

<file path=xl/calcChain.xml><?xml version="1.0" encoding="utf-8"?>
<calcChain xmlns="http://schemas.openxmlformats.org/spreadsheetml/2006/main">
  <c r="H778" i="6" l="1"/>
  <c r="J778" i="6" s="1"/>
  <c r="I778" i="6" s="1"/>
  <c r="H966" i="6"/>
  <c r="J966" i="6" s="1"/>
  <c r="I966" i="6" s="1"/>
  <c r="F966" i="6"/>
  <c r="H964" i="6"/>
  <c r="J964" i="6" s="1"/>
  <c r="I964" i="6" s="1"/>
  <c r="F964" i="6"/>
  <c r="H963" i="6"/>
  <c r="J963" i="6" s="1"/>
  <c r="I963" i="6" s="1"/>
  <c r="H962" i="6"/>
  <c r="J962" i="6" s="1"/>
  <c r="I962" i="6" s="1"/>
  <c r="F962" i="6"/>
  <c r="H961" i="6"/>
  <c r="J961" i="6" s="1"/>
  <c r="I961" i="6" s="1"/>
  <c r="E961" i="6"/>
  <c r="F961" i="6" s="1"/>
  <c r="H960" i="6"/>
  <c r="J960" i="6" s="1"/>
  <c r="I960" i="6" s="1"/>
  <c r="F960" i="6"/>
  <c r="H959" i="6"/>
  <c r="J959" i="6" s="1"/>
  <c r="I959" i="6" s="1"/>
  <c r="F959" i="6"/>
  <c r="H958" i="6"/>
  <c r="J958" i="6" s="1"/>
  <c r="I958" i="6" s="1"/>
  <c r="F958" i="6"/>
  <c r="H957" i="6"/>
  <c r="J957" i="6" s="1"/>
  <c r="I957" i="6" s="1"/>
  <c r="F957" i="6"/>
  <c r="H956" i="6"/>
  <c r="J956" i="6" s="1"/>
  <c r="I956" i="6" s="1"/>
  <c r="F956" i="6"/>
  <c r="H955" i="6"/>
  <c r="J955" i="6" s="1"/>
  <c r="I955" i="6" s="1"/>
  <c r="E955" i="6"/>
  <c r="F955" i="6" s="1"/>
  <c r="H954" i="6"/>
  <c r="J954" i="6" s="1"/>
  <c r="I954" i="6" s="1"/>
  <c r="F954" i="6"/>
  <c r="H953" i="6"/>
  <c r="J953" i="6" s="1"/>
  <c r="I953" i="6" s="1"/>
  <c r="F953" i="6"/>
  <c r="H952" i="6"/>
  <c r="J952" i="6" s="1"/>
  <c r="I952" i="6" s="1"/>
  <c r="F952" i="6"/>
  <c r="H951" i="6"/>
  <c r="J951" i="6" s="1"/>
  <c r="I951" i="6" s="1"/>
  <c r="F951" i="6"/>
  <c r="H950" i="6"/>
  <c r="J950" i="6" s="1"/>
  <c r="I950" i="6" s="1"/>
  <c r="F950" i="6"/>
  <c r="H949" i="6"/>
  <c r="J949" i="6" s="1"/>
  <c r="I949" i="6" s="1"/>
  <c r="F949" i="6"/>
  <c r="H948" i="6"/>
  <c r="J948" i="6" s="1"/>
  <c r="I948" i="6" s="1"/>
  <c r="F948" i="6"/>
  <c r="H947" i="6"/>
  <c r="J947" i="6" s="1"/>
  <c r="I947" i="6" s="1"/>
  <c r="E947" i="6"/>
  <c r="F947" i="6" s="1"/>
  <c r="H946" i="6"/>
  <c r="J946" i="6" s="1"/>
  <c r="I946" i="6" s="1"/>
  <c r="E946" i="6"/>
  <c r="F946" i="6" s="1"/>
  <c r="H945" i="6"/>
  <c r="J945" i="6" s="1"/>
  <c r="I945" i="6" s="1"/>
  <c r="E945" i="6"/>
  <c r="F945" i="6" s="1"/>
  <c r="H944" i="6"/>
  <c r="J944" i="6" s="1"/>
  <c r="I944" i="6" s="1"/>
  <c r="E944" i="6"/>
  <c r="F944" i="6" s="1"/>
  <c r="H943" i="6"/>
  <c r="J943" i="6" s="1"/>
  <c r="I943" i="6" s="1"/>
  <c r="E943" i="6"/>
  <c r="F943" i="6" s="1"/>
  <c r="H942" i="6"/>
  <c r="J942" i="6" s="1"/>
  <c r="I942" i="6" s="1"/>
  <c r="E942" i="6"/>
  <c r="F942" i="6" s="1"/>
  <c r="H940" i="6"/>
  <c r="J940" i="6" s="1"/>
  <c r="I940" i="6" s="1"/>
  <c r="F940" i="6"/>
  <c r="H939" i="6"/>
  <c r="J939" i="6" s="1"/>
  <c r="I939" i="6" s="1"/>
  <c r="H937" i="6"/>
  <c r="J937" i="6" s="1"/>
  <c r="I937" i="6" s="1"/>
  <c r="E937" i="6"/>
  <c r="F937" i="6" s="1"/>
  <c r="H936" i="6"/>
  <c r="J936" i="6" s="1"/>
  <c r="I936" i="6" s="1"/>
  <c r="F936" i="6"/>
  <c r="H935" i="6"/>
  <c r="J935" i="6" s="1"/>
  <c r="I935" i="6" s="1"/>
  <c r="F935" i="6"/>
  <c r="H934" i="6"/>
  <c r="J934" i="6" s="1"/>
  <c r="I934" i="6" s="1"/>
  <c r="E934" i="6"/>
  <c r="F934" i="6" s="1"/>
  <c r="H933" i="6"/>
  <c r="J933" i="6" s="1"/>
  <c r="I933" i="6" s="1"/>
  <c r="E933" i="6"/>
  <c r="F933" i="6" s="1"/>
  <c r="H932" i="6"/>
  <c r="J932" i="6" s="1"/>
  <c r="I932" i="6" s="1"/>
  <c r="H931" i="6"/>
  <c r="J931" i="6" s="1"/>
  <c r="I931" i="6" s="1"/>
  <c r="E931" i="6"/>
  <c r="F931" i="6" s="1"/>
  <c r="H930" i="6"/>
  <c r="J930" i="6" s="1"/>
  <c r="I930" i="6" s="1"/>
  <c r="F930" i="6"/>
  <c r="H929" i="6"/>
  <c r="J929" i="6" s="1"/>
  <c r="I929" i="6" s="1"/>
  <c r="E929" i="6"/>
  <c r="F929" i="6" s="1"/>
  <c r="H928" i="6"/>
  <c r="J928" i="6" s="1"/>
  <c r="I928" i="6" s="1"/>
  <c r="F928" i="6"/>
  <c r="H927" i="6"/>
  <c r="J927" i="6" s="1"/>
  <c r="I927" i="6" s="1"/>
  <c r="F927" i="6"/>
  <c r="H926" i="6"/>
  <c r="J926" i="6" s="1"/>
  <c r="I926" i="6" s="1"/>
  <c r="E926" i="6"/>
  <c r="F926" i="6" s="1"/>
  <c r="H925" i="6"/>
  <c r="J925" i="6" s="1"/>
  <c r="I925" i="6" s="1"/>
  <c r="E925" i="6"/>
  <c r="F925" i="6" s="1"/>
  <c r="H924" i="6"/>
  <c r="J924" i="6" s="1"/>
  <c r="I924" i="6" s="1"/>
  <c r="F924" i="6"/>
  <c r="H923" i="6"/>
  <c r="J923" i="6" s="1"/>
  <c r="I923" i="6" s="1"/>
  <c r="F923" i="6"/>
  <c r="H922" i="6"/>
  <c r="J922" i="6" s="1"/>
  <c r="I922" i="6" s="1"/>
  <c r="F922" i="6"/>
  <c r="H921" i="6"/>
  <c r="J921" i="6" s="1"/>
  <c r="I921" i="6" s="1"/>
  <c r="F921" i="6"/>
  <c r="H920" i="6"/>
  <c r="J920" i="6" s="1"/>
  <c r="I920" i="6" s="1"/>
  <c r="F920" i="6"/>
  <c r="H919" i="6"/>
  <c r="J919" i="6" s="1"/>
  <c r="I919" i="6" s="1"/>
  <c r="F919" i="6"/>
  <c r="H918" i="6"/>
  <c r="J918" i="6" s="1"/>
  <c r="I918" i="6" s="1"/>
  <c r="E918" i="6"/>
  <c r="F918" i="6" s="1"/>
  <c r="H917" i="6"/>
  <c r="J917" i="6" s="1"/>
  <c r="I917" i="6" s="1"/>
  <c r="F917" i="6"/>
  <c r="H916" i="6"/>
  <c r="J916" i="6" s="1"/>
  <c r="I916" i="6" s="1"/>
  <c r="E916" i="6"/>
  <c r="H915" i="6"/>
  <c r="J915" i="6" s="1"/>
  <c r="I915" i="6" s="1"/>
  <c r="F915" i="6"/>
  <c r="H914" i="6"/>
  <c r="J914" i="6" s="1"/>
  <c r="I914" i="6" s="1"/>
  <c r="E914" i="6"/>
  <c r="F914" i="6" s="1"/>
  <c r="H913" i="6"/>
  <c r="J913" i="6" s="1"/>
  <c r="I913" i="6" s="1"/>
  <c r="E913" i="6"/>
  <c r="H912" i="6"/>
  <c r="J912" i="6" s="1"/>
  <c r="I912" i="6" s="1"/>
  <c r="E912" i="6"/>
  <c r="F912" i="6" s="1"/>
  <c r="H911" i="6"/>
  <c r="J911" i="6" s="1"/>
  <c r="I911" i="6" s="1"/>
  <c r="F911" i="6"/>
  <c r="H910" i="6"/>
  <c r="J910" i="6" s="1"/>
  <c r="I910" i="6" s="1"/>
  <c r="E910" i="6"/>
  <c r="F910" i="6" s="1"/>
  <c r="H909" i="6"/>
  <c r="J909" i="6" s="1"/>
  <c r="I909" i="6" s="1"/>
  <c r="E909" i="6"/>
  <c r="F909" i="6" s="1"/>
  <c r="F908" i="6"/>
  <c r="G908" i="6" s="1"/>
  <c r="H908" i="6" s="1"/>
  <c r="J908" i="6" s="1"/>
  <c r="I908" i="6" s="1"/>
  <c r="H907" i="6"/>
  <c r="J907" i="6" s="1"/>
  <c r="I907" i="6" s="1"/>
  <c r="E907" i="6"/>
  <c r="F907" i="6" s="1"/>
  <c r="H906" i="6"/>
  <c r="J906" i="6" s="1"/>
  <c r="I906" i="6" s="1"/>
  <c r="F906" i="6"/>
  <c r="H905" i="6"/>
  <c r="J905" i="6" s="1"/>
  <c r="I905" i="6" s="1"/>
  <c r="F905" i="6"/>
  <c r="H904" i="6"/>
  <c r="J904" i="6" s="1"/>
  <c r="I904" i="6" s="1"/>
  <c r="E904" i="6"/>
  <c r="F904" i="6" s="1"/>
  <c r="H903" i="6"/>
  <c r="J903" i="6" s="1"/>
  <c r="I903" i="6" s="1"/>
  <c r="F903" i="6"/>
  <c r="H901" i="6"/>
  <c r="J901" i="6" s="1"/>
  <c r="I901" i="6" s="1"/>
  <c r="F901" i="6"/>
  <c r="H900" i="6"/>
  <c r="J900" i="6" s="1"/>
  <c r="I900" i="6" s="1"/>
  <c r="F900" i="6"/>
  <c r="H899" i="6"/>
  <c r="J899" i="6" s="1"/>
  <c r="I899" i="6" s="1"/>
  <c r="F899" i="6"/>
  <c r="H898" i="6"/>
  <c r="J898" i="6" s="1"/>
  <c r="I898" i="6" s="1"/>
  <c r="F898" i="6"/>
  <c r="H897" i="6"/>
  <c r="J897" i="6" s="1"/>
  <c r="I897" i="6" s="1"/>
  <c r="F897" i="6"/>
  <c r="H896" i="6"/>
  <c r="J896" i="6" s="1"/>
  <c r="I896" i="6" s="1"/>
  <c r="F896" i="6"/>
  <c r="H895" i="6"/>
  <c r="J895" i="6" s="1"/>
  <c r="I895" i="6" s="1"/>
  <c r="F895" i="6"/>
  <c r="H894" i="6"/>
  <c r="J894" i="6" s="1"/>
  <c r="I894" i="6" s="1"/>
  <c r="F894" i="6"/>
  <c r="H893" i="6"/>
  <c r="J893" i="6" s="1"/>
  <c r="I893" i="6" s="1"/>
  <c r="F893" i="6"/>
  <c r="H892" i="6"/>
  <c r="J892" i="6" s="1"/>
  <c r="I892" i="6" s="1"/>
  <c r="E892" i="6"/>
  <c r="F892" i="6" s="1"/>
  <c r="H889" i="6"/>
  <c r="J889" i="6" s="1"/>
  <c r="I889" i="6" s="1"/>
  <c r="F889" i="6"/>
  <c r="H888" i="6"/>
  <c r="J888" i="6" s="1"/>
  <c r="I888" i="6" s="1"/>
  <c r="E888" i="6"/>
  <c r="F888" i="6" s="1"/>
  <c r="H887" i="6"/>
  <c r="J887" i="6" s="1"/>
  <c r="I887" i="6" s="1"/>
  <c r="E887" i="6"/>
  <c r="F887" i="6" s="1"/>
  <c r="H886" i="6"/>
  <c r="J886" i="6" s="1"/>
  <c r="I886" i="6" s="1"/>
  <c r="E886" i="6"/>
  <c r="F886" i="6" s="1"/>
  <c r="H884" i="6"/>
  <c r="J884" i="6" s="1"/>
  <c r="I884" i="6" s="1"/>
  <c r="E884" i="6"/>
  <c r="F884" i="6" s="1"/>
  <c r="H883" i="6"/>
  <c r="J883" i="6" s="1"/>
  <c r="I883" i="6" s="1"/>
  <c r="D883" i="6"/>
  <c r="E883" i="6" s="1"/>
  <c r="F883" i="6" s="1"/>
  <c r="H882" i="6"/>
  <c r="J882" i="6" s="1"/>
  <c r="I882" i="6" s="1"/>
  <c r="E882" i="6"/>
  <c r="F882" i="6" s="1"/>
  <c r="H881" i="6"/>
  <c r="J881" i="6" s="1"/>
  <c r="I881" i="6" s="1"/>
  <c r="E881" i="6"/>
  <c r="F881" i="6" s="1"/>
  <c r="H880" i="6"/>
  <c r="J880" i="6" s="1"/>
  <c r="I880" i="6" s="1"/>
  <c r="E880" i="6"/>
  <c r="F880" i="6" s="1"/>
  <c r="H879" i="6"/>
  <c r="J879" i="6" s="1"/>
  <c r="I879" i="6" s="1"/>
  <c r="E879" i="6"/>
  <c r="F879" i="6" s="1"/>
  <c r="H878" i="6"/>
  <c r="J878" i="6" s="1"/>
  <c r="I878" i="6" s="1"/>
  <c r="E878" i="6"/>
  <c r="F878" i="6" s="1"/>
  <c r="H877" i="6"/>
  <c r="J877" i="6" s="1"/>
  <c r="I877" i="6" s="1"/>
  <c r="E877" i="6"/>
  <c r="F877" i="6" s="1"/>
  <c r="H876" i="6"/>
  <c r="J876" i="6" s="1"/>
  <c r="I876" i="6" s="1"/>
  <c r="E876" i="6"/>
  <c r="F876" i="6" s="1"/>
  <c r="H875" i="6"/>
  <c r="J875" i="6" s="1"/>
  <c r="I875" i="6" s="1"/>
  <c r="E875" i="6"/>
  <c r="F875" i="6" s="1"/>
  <c r="H874" i="6"/>
  <c r="J874" i="6" s="1"/>
  <c r="I874" i="6" s="1"/>
  <c r="E874" i="6"/>
  <c r="F874" i="6" s="1"/>
  <c r="H873" i="6"/>
  <c r="J873" i="6" s="1"/>
  <c r="I873" i="6" s="1"/>
  <c r="E873" i="6"/>
  <c r="F873" i="6" s="1"/>
  <c r="H872" i="6"/>
  <c r="J872" i="6" s="1"/>
  <c r="I872" i="6" s="1"/>
  <c r="E872" i="6"/>
  <c r="H871" i="6"/>
  <c r="J871" i="6" s="1"/>
  <c r="I871" i="6" s="1"/>
  <c r="E871" i="6"/>
  <c r="F871" i="6" s="1"/>
  <c r="H869" i="6"/>
  <c r="J869" i="6" s="1"/>
  <c r="I869" i="6" s="1"/>
  <c r="E869" i="6"/>
  <c r="F869" i="6" s="1"/>
  <c r="H868" i="6"/>
  <c r="J868" i="6" s="1"/>
  <c r="I868" i="6" s="1"/>
  <c r="E868" i="6"/>
  <c r="F868" i="6" s="1"/>
  <c r="H867" i="6"/>
  <c r="J867" i="6" s="1"/>
  <c r="I867" i="6" s="1"/>
  <c r="E867" i="6"/>
  <c r="F867" i="6" s="1"/>
  <c r="H866" i="6"/>
  <c r="J866" i="6" s="1"/>
  <c r="I866" i="6" s="1"/>
  <c r="E866" i="6"/>
  <c r="F866" i="6" s="1"/>
  <c r="H865" i="6"/>
  <c r="J865" i="6" s="1"/>
  <c r="I865" i="6" s="1"/>
  <c r="E865" i="6"/>
  <c r="F865" i="6" s="1"/>
  <c r="H864" i="6"/>
  <c r="J864" i="6" s="1"/>
  <c r="I864" i="6" s="1"/>
  <c r="E864" i="6"/>
  <c r="F864" i="6" s="1"/>
  <c r="H863" i="6"/>
  <c r="J863" i="6" s="1"/>
  <c r="I863" i="6" s="1"/>
  <c r="E863" i="6"/>
  <c r="F863" i="6" s="1"/>
  <c r="H862" i="6"/>
  <c r="J862" i="6" s="1"/>
  <c r="I862" i="6" s="1"/>
  <c r="E862" i="6"/>
  <c r="F862" i="6" s="1"/>
  <c r="H861" i="6"/>
  <c r="J861" i="6" s="1"/>
  <c r="I861" i="6" s="1"/>
  <c r="E861" i="6"/>
  <c r="F861" i="6" s="1"/>
  <c r="H860" i="6"/>
  <c r="J860" i="6" s="1"/>
  <c r="I860" i="6" s="1"/>
  <c r="E860" i="6"/>
  <c r="F860" i="6" s="1"/>
  <c r="H859" i="6"/>
  <c r="J859" i="6" s="1"/>
  <c r="I859" i="6" s="1"/>
  <c r="E859" i="6"/>
  <c r="F859" i="6" s="1"/>
  <c r="H858" i="6"/>
  <c r="J858" i="6" s="1"/>
  <c r="I858" i="6" s="1"/>
  <c r="E858" i="6"/>
  <c r="F858" i="6" s="1"/>
  <c r="H857" i="6"/>
  <c r="J857" i="6" s="1"/>
  <c r="I857" i="6" s="1"/>
  <c r="E857" i="6"/>
  <c r="F857" i="6" s="1"/>
  <c r="H856" i="6"/>
  <c r="J856" i="6" s="1"/>
  <c r="I856" i="6" s="1"/>
  <c r="E856" i="6"/>
  <c r="F856" i="6" s="1"/>
  <c r="H855" i="6"/>
  <c r="J855" i="6" s="1"/>
  <c r="I855" i="6" s="1"/>
  <c r="E855" i="6"/>
  <c r="F855" i="6" s="1"/>
  <c r="H854" i="6"/>
  <c r="J854" i="6" s="1"/>
  <c r="I854" i="6" s="1"/>
  <c r="E854" i="6"/>
  <c r="F854" i="6" s="1"/>
  <c r="H852" i="6"/>
  <c r="J852" i="6" s="1"/>
  <c r="I852" i="6" s="1"/>
  <c r="E852" i="6"/>
  <c r="H851" i="6"/>
  <c r="J851" i="6" s="1"/>
  <c r="I851" i="6" s="1"/>
  <c r="E851" i="6"/>
  <c r="H850" i="6"/>
  <c r="J850" i="6" s="1"/>
  <c r="I850" i="6" s="1"/>
  <c r="E850" i="6"/>
  <c r="F850" i="6" s="1"/>
  <c r="H849" i="6"/>
  <c r="J849" i="6" s="1"/>
  <c r="I849" i="6" s="1"/>
  <c r="E849" i="6"/>
  <c r="F849" i="6" s="1"/>
  <c r="H848" i="6"/>
  <c r="J848" i="6" s="1"/>
  <c r="I848" i="6" s="1"/>
  <c r="E848" i="6"/>
  <c r="F848" i="6" s="1"/>
  <c r="H847" i="6"/>
  <c r="J847" i="6" s="1"/>
  <c r="I847" i="6" s="1"/>
  <c r="F847" i="6"/>
  <c r="H846" i="6"/>
  <c r="J846" i="6" s="1"/>
  <c r="I846" i="6" s="1"/>
  <c r="F846" i="6"/>
  <c r="H845" i="6"/>
  <c r="J845" i="6" s="1"/>
  <c r="I845" i="6" s="1"/>
  <c r="F845" i="6"/>
  <c r="H844" i="6"/>
  <c r="J844" i="6" s="1"/>
  <c r="I844" i="6" s="1"/>
  <c r="F844" i="6"/>
  <c r="H843" i="6"/>
  <c r="J843" i="6" s="1"/>
  <c r="I843" i="6" s="1"/>
  <c r="E843" i="6"/>
  <c r="F843" i="6" s="1"/>
  <c r="H842" i="6"/>
  <c r="J842" i="6" s="1"/>
  <c r="I842" i="6" s="1"/>
  <c r="E842" i="6"/>
  <c r="F842" i="6" s="1"/>
  <c r="H841" i="6"/>
  <c r="J841" i="6" s="1"/>
  <c r="I841" i="6" s="1"/>
  <c r="F841" i="6"/>
  <c r="H840" i="6"/>
  <c r="J840" i="6" s="1"/>
  <c r="I840" i="6" s="1"/>
  <c r="F840" i="6"/>
  <c r="H839" i="6"/>
  <c r="J839" i="6" s="1"/>
  <c r="I839" i="6" s="1"/>
  <c r="F839" i="6"/>
  <c r="H836" i="6"/>
  <c r="J836" i="6" s="1"/>
  <c r="I836" i="6" s="1"/>
  <c r="D836" i="6"/>
  <c r="E836" i="6" s="1"/>
  <c r="H835" i="6"/>
  <c r="J835" i="6" s="1"/>
  <c r="I835" i="6" s="1"/>
  <c r="D835" i="6"/>
  <c r="E835" i="6" s="1"/>
  <c r="H834" i="6"/>
  <c r="J834" i="6" s="1"/>
  <c r="I834" i="6" s="1"/>
  <c r="D834" i="6"/>
  <c r="E834" i="6" s="1"/>
  <c r="H833" i="6"/>
  <c r="J833" i="6" s="1"/>
  <c r="I833" i="6" s="1"/>
  <c r="E833" i="6"/>
  <c r="F833" i="6" s="1"/>
  <c r="H832" i="6"/>
  <c r="J832" i="6" s="1"/>
  <c r="I832" i="6" s="1"/>
  <c r="F832" i="6"/>
  <c r="H831" i="6"/>
  <c r="J831" i="6" s="1"/>
  <c r="I831" i="6" s="1"/>
  <c r="D831" i="6"/>
  <c r="E831" i="6" s="1"/>
  <c r="H830" i="6"/>
  <c r="J830" i="6" s="1"/>
  <c r="I830" i="6" s="1"/>
  <c r="D830" i="6"/>
  <c r="E830" i="6" s="1"/>
  <c r="H829" i="6"/>
  <c r="J829" i="6" s="1"/>
  <c r="I829" i="6" s="1"/>
  <c r="E829" i="6"/>
  <c r="F829" i="6" s="1"/>
  <c r="H828" i="6"/>
  <c r="J828" i="6" s="1"/>
  <c r="I828" i="6" s="1"/>
  <c r="F828" i="6"/>
  <c r="H827" i="6"/>
  <c r="J827" i="6" s="1"/>
  <c r="I827" i="6" s="1"/>
  <c r="F827" i="6"/>
  <c r="H826" i="6"/>
  <c r="J826" i="6" s="1"/>
  <c r="I826" i="6" s="1"/>
  <c r="F826" i="6"/>
  <c r="H825" i="6"/>
  <c r="J825" i="6" s="1"/>
  <c r="I825" i="6" s="1"/>
  <c r="F825" i="6"/>
  <c r="H822" i="6"/>
  <c r="J822" i="6" s="1"/>
  <c r="I822" i="6" s="1"/>
  <c r="E822" i="6"/>
  <c r="F822" i="6" s="1"/>
  <c r="H821" i="6"/>
  <c r="J821" i="6" s="1"/>
  <c r="I821" i="6" s="1"/>
  <c r="E821" i="6"/>
  <c r="F821" i="6" s="1"/>
  <c r="H820" i="6"/>
  <c r="J820" i="6" s="1"/>
  <c r="I820" i="6" s="1"/>
  <c r="E820" i="6"/>
  <c r="F820" i="6" s="1"/>
  <c r="H819" i="6"/>
  <c r="J819" i="6" s="1"/>
  <c r="I819" i="6" s="1"/>
  <c r="E819" i="6"/>
  <c r="F819" i="6" s="1"/>
  <c r="H818" i="6"/>
  <c r="J818" i="6" s="1"/>
  <c r="I818" i="6" s="1"/>
  <c r="E818" i="6"/>
  <c r="F818" i="6" s="1"/>
  <c r="H817" i="6"/>
  <c r="J817" i="6" s="1"/>
  <c r="I817" i="6" s="1"/>
  <c r="E817" i="6"/>
  <c r="F817" i="6" s="1"/>
  <c r="H816" i="6"/>
  <c r="J816" i="6" s="1"/>
  <c r="I816" i="6" s="1"/>
  <c r="E816" i="6"/>
  <c r="F816" i="6" s="1"/>
  <c r="H815" i="6"/>
  <c r="J815" i="6" s="1"/>
  <c r="I815" i="6" s="1"/>
  <c r="E815" i="6"/>
  <c r="F815" i="6" s="1"/>
  <c r="H814" i="6"/>
  <c r="J814" i="6" s="1"/>
  <c r="I814" i="6" s="1"/>
  <c r="F814" i="6"/>
  <c r="H811" i="6"/>
  <c r="J811" i="6" s="1"/>
  <c r="I811" i="6" s="1"/>
  <c r="F811" i="6"/>
  <c r="H810" i="6"/>
  <c r="J810" i="6" s="1"/>
  <c r="I810" i="6" s="1"/>
  <c r="F810" i="6"/>
  <c r="H809" i="6"/>
  <c r="J809" i="6" s="1"/>
  <c r="I809" i="6" s="1"/>
  <c r="F809" i="6"/>
  <c r="H808" i="6"/>
  <c r="J808" i="6" s="1"/>
  <c r="I808" i="6" s="1"/>
  <c r="F808" i="6"/>
  <c r="H807" i="6"/>
  <c r="J807" i="6" s="1"/>
  <c r="I807" i="6" s="1"/>
  <c r="D807" i="6"/>
  <c r="E807" i="6" s="1"/>
  <c r="H806" i="6"/>
  <c r="J806" i="6" s="1"/>
  <c r="I806" i="6" s="1"/>
  <c r="F806" i="6"/>
  <c r="H805" i="6"/>
  <c r="J805" i="6" s="1"/>
  <c r="I805" i="6" s="1"/>
  <c r="F805" i="6"/>
  <c r="H804" i="6"/>
  <c r="J804" i="6" s="1"/>
  <c r="I804" i="6" s="1"/>
  <c r="E804" i="6"/>
  <c r="F804" i="6" s="1"/>
  <c r="H803" i="6"/>
  <c r="J803" i="6" s="1"/>
  <c r="I803" i="6" s="1"/>
  <c r="E803" i="6"/>
  <c r="F803" i="6" s="1"/>
  <c r="H802" i="6"/>
  <c r="J802" i="6" s="1"/>
  <c r="I802" i="6" s="1"/>
  <c r="F802" i="6"/>
  <c r="H801" i="6"/>
  <c r="J801" i="6" s="1"/>
  <c r="I801" i="6" s="1"/>
  <c r="F801" i="6"/>
  <c r="H800" i="6"/>
  <c r="J800" i="6" s="1"/>
  <c r="I800" i="6" s="1"/>
  <c r="E800" i="6"/>
  <c r="F800" i="6" s="1"/>
  <c r="H799" i="6"/>
  <c r="J799" i="6" s="1"/>
  <c r="I799" i="6" s="1"/>
  <c r="F799" i="6"/>
  <c r="H798" i="6"/>
  <c r="J798" i="6" s="1"/>
  <c r="I798" i="6" s="1"/>
  <c r="F798" i="6"/>
  <c r="H796" i="6"/>
  <c r="J796" i="6" s="1"/>
  <c r="I796" i="6" s="1"/>
  <c r="E796" i="6"/>
  <c r="F796" i="6" s="1"/>
  <c r="H795" i="6"/>
  <c r="J795" i="6" s="1"/>
  <c r="I795" i="6" s="1"/>
  <c r="E795" i="6"/>
  <c r="F795" i="6" s="1"/>
  <c r="H794" i="6"/>
  <c r="J794" i="6" s="1"/>
  <c r="I794" i="6" s="1"/>
  <c r="E794" i="6"/>
  <c r="F794" i="6" s="1"/>
  <c r="H793" i="6"/>
  <c r="J793" i="6" s="1"/>
  <c r="I793" i="6" s="1"/>
  <c r="E793" i="6"/>
  <c r="F793" i="6" s="1"/>
  <c r="H792" i="6"/>
  <c r="J792" i="6" s="1"/>
  <c r="I792" i="6" s="1"/>
  <c r="E792" i="6"/>
  <c r="F792" i="6" s="1"/>
  <c r="H791" i="6"/>
  <c r="J791" i="6" s="1"/>
  <c r="I791" i="6" s="1"/>
  <c r="E791" i="6"/>
  <c r="F791" i="6" s="1"/>
  <c r="H790" i="6"/>
  <c r="J790" i="6" s="1"/>
  <c r="I790" i="6" s="1"/>
  <c r="F790" i="6"/>
  <c r="H789" i="6"/>
  <c r="J789" i="6" s="1"/>
  <c r="I789" i="6" s="1"/>
  <c r="E789" i="6"/>
  <c r="F789" i="6" s="1"/>
  <c r="H788" i="6"/>
  <c r="J788" i="6" s="1"/>
  <c r="I788" i="6" s="1"/>
  <c r="E788" i="6"/>
  <c r="F788" i="6" s="1"/>
  <c r="H787" i="6"/>
  <c r="J787" i="6" s="1"/>
  <c r="I787" i="6" s="1"/>
  <c r="E787" i="6"/>
  <c r="F787" i="6" s="1"/>
  <c r="H786" i="6"/>
  <c r="J786" i="6" s="1"/>
  <c r="I786" i="6" s="1"/>
  <c r="E786" i="6"/>
  <c r="F786" i="6" s="1"/>
  <c r="H785" i="6"/>
  <c r="J785" i="6" s="1"/>
  <c r="I785" i="6" s="1"/>
  <c r="E785" i="6"/>
  <c r="F785" i="6" s="1"/>
  <c r="H783" i="6"/>
  <c r="J783" i="6" s="1"/>
  <c r="I783" i="6" s="1"/>
  <c r="F783" i="6"/>
  <c r="H781" i="6"/>
  <c r="J781" i="6" s="1"/>
  <c r="I781" i="6" s="1"/>
  <c r="F781" i="6"/>
  <c r="H780" i="6"/>
  <c r="J780" i="6" s="1"/>
  <c r="I780" i="6" s="1"/>
  <c r="E780" i="6"/>
  <c r="F780" i="6" s="1"/>
  <c r="H779" i="6"/>
  <c r="J779" i="6" s="1"/>
  <c r="I779" i="6" s="1"/>
  <c r="F779" i="6"/>
  <c r="H777" i="6"/>
  <c r="J777" i="6" s="1"/>
  <c r="I777" i="6" s="1"/>
  <c r="F777" i="6"/>
  <c r="H776" i="6"/>
  <c r="J776" i="6" s="1"/>
  <c r="I776" i="6" s="1"/>
  <c r="F776" i="6"/>
  <c r="H775" i="6"/>
  <c r="J775" i="6" s="1"/>
  <c r="I775" i="6" s="1"/>
  <c r="E775" i="6"/>
  <c r="F775" i="6" s="1"/>
  <c r="H772" i="6"/>
  <c r="J772" i="6" s="1"/>
  <c r="I772" i="6" s="1"/>
  <c r="F772" i="6"/>
  <c r="H771" i="6"/>
  <c r="J771" i="6" s="1"/>
  <c r="I771" i="6" s="1"/>
  <c r="F771" i="6"/>
  <c r="H769" i="6"/>
  <c r="J769" i="6" s="1"/>
  <c r="I769" i="6" s="1"/>
  <c r="E769" i="6"/>
  <c r="F769" i="6" s="1"/>
  <c r="H768" i="6"/>
  <c r="J768" i="6" s="1"/>
  <c r="I768" i="6" s="1"/>
  <c r="F768" i="6"/>
  <c r="H767" i="6"/>
  <c r="J767" i="6" s="1"/>
  <c r="I767" i="6" s="1"/>
  <c r="D767" i="6"/>
  <c r="E767" i="6" s="1"/>
  <c r="F767" i="6" s="1"/>
  <c r="B767" i="6"/>
  <c r="H766" i="6"/>
  <c r="J766" i="6" s="1"/>
  <c r="I766" i="6" s="1"/>
  <c r="E766" i="6"/>
  <c r="F766" i="6" s="1"/>
  <c r="H765" i="6"/>
  <c r="J765" i="6" s="1"/>
  <c r="I765" i="6" s="1"/>
  <c r="F765" i="6"/>
  <c r="F764" i="6"/>
  <c r="G764" i="6" s="1"/>
  <c r="H764" i="6" s="1"/>
  <c r="J764" i="6" s="1"/>
  <c r="I764" i="6" s="1"/>
  <c r="H761" i="6"/>
  <c r="J761" i="6" s="1"/>
  <c r="I761" i="6" s="1"/>
  <c r="E761" i="6"/>
  <c r="F761" i="6" s="1"/>
  <c r="H760" i="6"/>
  <c r="J760" i="6" s="1"/>
  <c r="I760" i="6" s="1"/>
  <c r="E760" i="6"/>
  <c r="F760" i="6" s="1"/>
  <c r="H759" i="6"/>
  <c r="J759" i="6" s="1"/>
  <c r="I759" i="6" s="1"/>
  <c r="F759" i="6"/>
  <c r="H758" i="6"/>
  <c r="J758" i="6" s="1"/>
  <c r="I758" i="6" s="1"/>
  <c r="D758" i="6"/>
  <c r="E758" i="6" s="1"/>
  <c r="H757" i="6"/>
  <c r="J757" i="6" s="1"/>
  <c r="I757" i="6" s="1"/>
  <c r="D757" i="6"/>
  <c r="E757" i="6" s="1"/>
  <c r="H756" i="6"/>
  <c r="J756" i="6" s="1"/>
  <c r="I756" i="6" s="1"/>
  <c r="E756" i="6"/>
  <c r="F756" i="6" s="1"/>
  <c r="H755" i="6"/>
  <c r="J755" i="6" s="1"/>
  <c r="I755" i="6" s="1"/>
  <c r="E755" i="6"/>
  <c r="F755" i="6" s="1"/>
  <c r="H754" i="6"/>
  <c r="J754" i="6" s="1"/>
  <c r="I754" i="6" s="1"/>
  <c r="E754" i="6"/>
  <c r="F754" i="6" s="1"/>
  <c r="H752" i="6"/>
  <c r="J752" i="6" s="1"/>
  <c r="I752" i="6" s="1"/>
  <c r="E752" i="6"/>
  <c r="F752" i="6" s="1"/>
  <c r="H751" i="6"/>
  <c r="J751" i="6" s="1"/>
  <c r="I751" i="6" s="1"/>
  <c r="F751" i="6"/>
  <c r="H750" i="6"/>
  <c r="J750" i="6" s="1"/>
  <c r="I750" i="6" s="1"/>
  <c r="F750" i="6"/>
  <c r="H749" i="6"/>
  <c r="J749" i="6" s="1"/>
  <c r="I749" i="6" s="1"/>
  <c r="F749" i="6"/>
  <c r="H747" i="6"/>
  <c r="J747" i="6" s="1"/>
  <c r="I747" i="6" s="1"/>
  <c r="D747" i="6"/>
  <c r="E747" i="6" s="1"/>
  <c r="H746" i="6"/>
  <c r="J746" i="6" s="1"/>
  <c r="I746" i="6" s="1"/>
  <c r="D746" i="6"/>
  <c r="E746" i="6" s="1"/>
  <c r="H745" i="6"/>
  <c r="J745" i="6" s="1"/>
  <c r="I745" i="6" s="1"/>
  <c r="D745" i="6"/>
  <c r="E745" i="6" s="1"/>
  <c r="H744" i="6"/>
  <c r="J744" i="6" s="1"/>
  <c r="I744" i="6" s="1"/>
  <c r="D744" i="6"/>
  <c r="E744" i="6" s="1"/>
  <c r="H743" i="6"/>
  <c r="J743" i="6" s="1"/>
  <c r="I743" i="6" s="1"/>
  <c r="D743" i="6"/>
  <c r="E743" i="6" s="1"/>
  <c r="E742" i="6"/>
  <c r="F742" i="6" s="1"/>
  <c r="G742" i="6" s="1"/>
  <c r="H742" i="6" s="1"/>
  <c r="J742" i="6" s="1"/>
  <c r="I742" i="6" s="1"/>
  <c r="H741" i="6"/>
  <c r="J741" i="6" s="1"/>
  <c r="I741" i="6" s="1"/>
  <c r="D741" i="6"/>
  <c r="E741" i="6" s="1"/>
  <c r="H740" i="6"/>
  <c r="J740" i="6" s="1"/>
  <c r="I740" i="6" s="1"/>
  <c r="D740" i="6"/>
  <c r="E740" i="6" s="1"/>
  <c r="E738" i="6"/>
  <c r="F738" i="6" s="1"/>
  <c r="G738" i="6" s="1"/>
  <c r="H738" i="6" s="1"/>
  <c r="J738" i="6" s="1"/>
  <c r="I738" i="6" s="1"/>
  <c r="H736" i="6"/>
  <c r="J736" i="6" s="1"/>
  <c r="I736" i="6" s="1"/>
  <c r="D736" i="6"/>
  <c r="E736" i="6" s="1"/>
  <c r="H735" i="6"/>
  <c r="J735" i="6" s="1"/>
  <c r="I735" i="6" s="1"/>
  <c r="F735" i="6"/>
  <c r="H734" i="6"/>
  <c r="J734" i="6" s="1"/>
  <c r="I734" i="6" s="1"/>
  <c r="E734" i="6"/>
  <c r="F734" i="6" s="1"/>
  <c r="H733" i="6"/>
  <c r="J733" i="6" s="1"/>
  <c r="I733" i="6" s="1"/>
  <c r="E733" i="6"/>
  <c r="F733" i="6" s="1"/>
  <c r="H732" i="6"/>
  <c r="J732" i="6" s="1"/>
  <c r="I732" i="6" s="1"/>
  <c r="F732" i="6"/>
  <c r="G731" i="6"/>
  <c r="E731" i="6"/>
  <c r="H730" i="6"/>
  <c r="J730" i="6" s="1"/>
  <c r="I730" i="6" s="1"/>
  <c r="F730" i="6"/>
  <c r="H729" i="6"/>
  <c r="J729" i="6" s="1"/>
  <c r="I729" i="6" s="1"/>
  <c r="F729" i="6"/>
  <c r="H728" i="6"/>
  <c r="J728" i="6" s="1"/>
  <c r="I728" i="6" s="1"/>
  <c r="F728" i="6"/>
  <c r="H727" i="6"/>
  <c r="J727" i="6" s="1"/>
  <c r="I727" i="6" s="1"/>
  <c r="D727" i="6"/>
  <c r="E727" i="6" s="1"/>
  <c r="H726" i="6"/>
  <c r="J726" i="6" s="1"/>
  <c r="I726" i="6" s="1"/>
  <c r="D726" i="6"/>
  <c r="E726" i="6" s="1"/>
  <c r="E725" i="6"/>
  <c r="F725" i="6" s="1"/>
  <c r="G725" i="6" s="1"/>
  <c r="H725" i="6" s="1"/>
  <c r="J725" i="6" s="1"/>
  <c r="I725" i="6" s="1"/>
  <c r="H722" i="6"/>
  <c r="J722" i="6" s="1"/>
  <c r="I722" i="6" s="1"/>
  <c r="E722" i="6"/>
  <c r="F722" i="6" s="1"/>
  <c r="H721" i="6"/>
  <c r="J721" i="6" s="1"/>
  <c r="I721" i="6" s="1"/>
  <c r="F721" i="6"/>
  <c r="H720" i="6"/>
  <c r="J720" i="6" s="1"/>
  <c r="I720" i="6" s="1"/>
  <c r="E720" i="6"/>
  <c r="F720" i="6" s="1"/>
  <c r="H719" i="6"/>
  <c r="J719" i="6" s="1"/>
  <c r="I719" i="6" s="1"/>
  <c r="D719" i="6"/>
  <c r="E719" i="6" s="1"/>
  <c r="H718" i="6"/>
  <c r="J718" i="6" s="1"/>
  <c r="I718" i="6" s="1"/>
  <c r="F718" i="6"/>
  <c r="H717" i="6"/>
  <c r="J717" i="6" s="1"/>
  <c r="I717" i="6" s="1"/>
  <c r="E717" i="6"/>
  <c r="F717" i="6" s="1"/>
  <c r="H716" i="6"/>
  <c r="J716" i="6" s="1"/>
  <c r="I716" i="6" s="1"/>
  <c r="E716" i="6"/>
  <c r="F716" i="6" s="1"/>
  <c r="H715" i="6"/>
  <c r="J715" i="6" s="1"/>
  <c r="I715" i="6" s="1"/>
  <c r="E715" i="6"/>
  <c r="F715" i="6" s="1"/>
  <c r="H714" i="6"/>
  <c r="J714" i="6" s="1"/>
  <c r="I714" i="6" s="1"/>
  <c r="E714" i="6"/>
  <c r="F714" i="6" s="1"/>
  <c r="H713" i="6"/>
  <c r="J713" i="6" s="1"/>
  <c r="I713" i="6" s="1"/>
  <c r="E713" i="6"/>
  <c r="F713" i="6" s="1"/>
  <c r="H712" i="6"/>
  <c r="J712" i="6" s="1"/>
  <c r="I712" i="6" s="1"/>
  <c r="E712" i="6"/>
  <c r="F712" i="6" s="1"/>
  <c r="H711" i="6"/>
  <c r="J711" i="6" s="1"/>
  <c r="I711" i="6" s="1"/>
  <c r="E711" i="6"/>
  <c r="F711" i="6" s="1"/>
  <c r="H710" i="6"/>
  <c r="J710" i="6" s="1"/>
  <c r="I710" i="6" s="1"/>
  <c r="E710" i="6"/>
  <c r="F710" i="6" s="1"/>
  <c r="H709" i="6"/>
  <c r="J709" i="6" s="1"/>
  <c r="I709" i="6" s="1"/>
  <c r="F709" i="6"/>
  <c r="H708" i="6"/>
  <c r="J708" i="6" s="1"/>
  <c r="I708" i="6" s="1"/>
  <c r="D708" i="6"/>
  <c r="E708" i="6" s="1"/>
  <c r="H707" i="6"/>
  <c r="J707" i="6" s="1"/>
  <c r="I707" i="6" s="1"/>
  <c r="E707" i="6"/>
  <c r="F707" i="6" s="1"/>
  <c r="H706" i="6"/>
  <c r="J706" i="6" s="1"/>
  <c r="I706" i="6" s="1"/>
  <c r="D706" i="6"/>
  <c r="E706" i="6" s="1"/>
  <c r="H705" i="6"/>
  <c r="J705" i="6" s="1"/>
  <c r="I705" i="6" s="1"/>
  <c r="D705" i="6"/>
  <c r="E705" i="6" s="1"/>
  <c r="H704" i="6"/>
  <c r="J704" i="6" s="1"/>
  <c r="I704" i="6" s="1"/>
  <c r="E704" i="6"/>
  <c r="F704" i="6" s="1"/>
  <c r="H703" i="6"/>
  <c r="J703" i="6" s="1"/>
  <c r="I703" i="6" s="1"/>
  <c r="E703" i="6"/>
  <c r="F703" i="6" s="1"/>
  <c r="H702" i="6"/>
  <c r="J702" i="6" s="1"/>
  <c r="I702" i="6" s="1"/>
  <c r="E702" i="6"/>
  <c r="F702" i="6" s="1"/>
  <c r="H701" i="6"/>
  <c r="J701" i="6" s="1"/>
  <c r="I701" i="6" s="1"/>
  <c r="E701" i="6"/>
  <c r="F701" i="6" s="1"/>
  <c r="H700" i="6"/>
  <c r="J700" i="6" s="1"/>
  <c r="I700" i="6" s="1"/>
  <c r="E700" i="6"/>
  <c r="F700" i="6" s="1"/>
  <c r="H699" i="6"/>
  <c r="J699" i="6" s="1"/>
  <c r="I699" i="6" s="1"/>
  <c r="E699" i="6"/>
  <c r="F699" i="6" s="1"/>
  <c r="H698" i="6"/>
  <c r="J698" i="6" s="1"/>
  <c r="I698" i="6" s="1"/>
  <c r="D698" i="6"/>
  <c r="E698" i="6" s="1"/>
  <c r="H697" i="6"/>
  <c r="J697" i="6" s="1"/>
  <c r="I697" i="6" s="1"/>
  <c r="D697" i="6"/>
  <c r="E697" i="6" s="1"/>
  <c r="H696" i="6"/>
  <c r="J696" i="6" s="1"/>
  <c r="I696" i="6" s="1"/>
  <c r="F696" i="6"/>
  <c r="H695" i="6"/>
  <c r="J695" i="6" s="1"/>
  <c r="I695" i="6" s="1"/>
  <c r="F695" i="6"/>
  <c r="H694" i="6"/>
  <c r="J694" i="6" s="1"/>
  <c r="I694" i="6" s="1"/>
  <c r="E694" i="6"/>
  <c r="F694" i="6" s="1"/>
  <c r="H693" i="6"/>
  <c r="J693" i="6" s="1"/>
  <c r="I693" i="6" s="1"/>
  <c r="E693" i="6"/>
  <c r="F693" i="6" s="1"/>
  <c r="H692" i="6"/>
  <c r="J692" i="6" s="1"/>
  <c r="I692" i="6" s="1"/>
  <c r="E692" i="6"/>
  <c r="F692" i="6" s="1"/>
  <c r="H691" i="6"/>
  <c r="J691" i="6" s="1"/>
  <c r="I691" i="6" s="1"/>
  <c r="E691" i="6"/>
  <c r="F691" i="6" s="1"/>
  <c r="H690" i="6"/>
  <c r="J690" i="6" s="1"/>
  <c r="I690" i="6" s="1"/>
  <c r="F690" i="6"/>
  <c r="H689" i="6"/>
  <c r="J689" i="6" s="1"/>
  <c r="I689" i="6" s="1"/>
  <c r="E689" i="6"/>
  <c r="F689" i="6" s="1"/>
  <c r="H688" i="6"/>
  <c r="J688" i="6" s="1"/>
  <c r="I688" i="6" s="1"/>
  <c r="F688" i="6"/>
  <c r="H687" i="6"/>
  <c r="J687" i="6" s="1"/>
  <c r="I687" i="6" s="1"/>
  <c r="D687" i="6"/>
  <c r="E687" i="6" s="1"/>
  <c r="H686" i="6"/>
  <c r="J686" i="6" s="1"/>
  <c r="I686" i="6" s="1"/>
  <c r="D686" i="6"/>
  <c r="E686" i="6" s="1"/>
  <c r="H685" i="6"/>
  <c r="J685" i="6" s="1"/>
  <c r="I685" i="6" s="1"/>
  <c r="D685" i="6"/>
  <c r="E685" i="6" s="1"/>
  <c r="H684" i="6"/>
  <c r="J684" i="6" s="1"/>
  <c r="I684" i="6" s="1"/>
  <c r="D684" i="6"/>
  <c r="E684" i="6" s="1"/>
  <c r="H683" i="6"/>
  <c r="J683" i="6" s="1"/>
  <c r="I683" i="6" s="1"/>
  <c r="E683" i="6"/>
  <c r="F683" i="6" s="1"/>
  <c r="H682" i="6"/>
  <c r="J682" i="6" s="1"/>
  <c r="I682" i="6" s="1"/>
  <c r="E682" i="6"/>
  <c r="F682" i="6" s="1"/>
  <c r="H681" i="6"/>
  <c r="J681" i="6" s="1"/>
  <c r="I681" i="6" s="1"/>
  <c r="E681" i="6"/>
  <c r="F681" i="6" s="1"/>
  <c r="H680" i="6"/>
  <c r="J680" i="6" s="1"/>
  <c r="I680" i="6" s="1"/>
  <c r="E680" i="6"/>
  <c r="F680" i="6" s="1"/>
  <c r="H679" i="6"/>
  <c r="J679" i="6" s="1"/>
  <c r="I679" i="6" s="1"/>
  <c r="E679" i="6"/>
  <c r="F679" i="6" s="1"/>
  <c r="H678" i="6"/>
  <c r="J678" i="6" s="1"/>
  <c r="I678" i="6" s="1"/>
  <c r="E678" i="6"/>
  <c r="F678" i="6" s="1"/>
  <c r="H677" i="6"/>
  <c r="J677" i="6" s="1"/>
  <c r="I677" i="6" s="1"/>
  <c r="E677" i="6"/>
  <c r="F677" i="6" s="1"/>
  <c r="H676" i="6"/>
  <c r="J676" i="6" s="1"/>
  <c r="I676" i="6" s="1"/>
  <c r="E676" i="6"/>
  <c r="F676" i="6" s="1"/>
  <c r="H675" i="6"/>
  <c r="J675" i="6" s="1"/>
  <c r="I675" i="6" s="1"/>
  <c r="E675" i="6"/>
  <c r="F675" i="6" s="1"/>
  <c r="H674" i="6"/>
  <c r="J674" i="6" s="1"/>
  <c r="I674" i="6" s="1"/>
  <c r="E674" i="6"/>
  <c r="F674" i="6" s="1"/>
  <c r="H673" i="6"/>
  <c r="J673" i="6" s="1"/>
  <c r="I673" i="6" s="1"/>
  <c r="F673" i="6"/>
  <c r="H672" i="6"/>
  <c r="J672" i="6" s="1"/>
  <c r="I672" i="6" s="1"/>
  <c r="F672" i="6"/>
  <c r="H671" i="6"/>
  <c r="J671" i="6" s="1"/>
  <c r="I671" i="6" s="1"/>
  <c r="D671" i="6"/>
  <c r="E671" i="6" s="1"/>
  <c r="H670" i="6"/>
  <c r="J670" i="6" s="1"/>
  <c r="I670" i="6" s="1"/>
  <c r="D670" i="6"/>
  <c r="E670" i="6" s="1"/>
  <c r="H669" i="6"/>
  <c r="J669" i="6" s="1"/>
  <c r="I669" i="6" s="1"/>
  <c r="D669" i="6"/>
  <c r="E669" i="6" s="1"/>
  <c r="H668" i="6"/>
  <c r="J668" i="6" s="1"/>
  <c r="I668" i="6" s="1"/>
  <c r="E668" i="6"/>
  <c r="F668" i="6" s="1"/>
  <c r="H667" i="6"/>
  <c r="J667" i="6" s="1"/>
  <c r="I667" i="6" s="1"/>
  <c r="D667" i="6"/>
  <c r="E667" i="6" s="1"/>
  <c r="H666" i="6"/>
  <c r="J666" i="6" s="1"/>
  <c r="I666" i="6" s="1"/>
  <c r="D666" i="6"/>
  <c r="E666" i="6" s="1"/>
  <c r="H665" i="6"/>
  <c r="J665" i="6" s="1"/>
  <c r="I665" i="6" s="1"/>
  <c r="D665" i="6"/>
  <c r="E665" i="6" s="1"/>
  <c r="H664" i="6"/>
  <c r="J664" i="6" s="1"/>
  <c r="I664" i="6" s="1"/>
  <c r="D664" i="6"/>
  <c r="E664" i="6" s="1"/>
  <c r="H663" i="6"/>
  <c r="J663" i="6" s="1"/>
  <c r="I663" i="6" s="1"/>
  <c r="D663" i="6"/>
  <c r="E663" i="6" s="1"/>
  <c r="H662" i="6"/>
  <c r="J662" i="6" s="1"/>
  <c r="I662" i="6" s="1"/>
  <c r="D662" i="6"/>
  <c r="E662" i="6" s="1"/>
  <c r="H661" i="6"/>
  <c r="J661" i="6" s="1"/>
  <c r="I661" i="6" s="1"/>
  <c r="E661" i="6"/>
  <c r="F661" i="6" s="1"/>
  <c r="H660" i="6"/>
  <c r="J660" i="6" s="1"/>
  <c r="I660" i="6" s="1"/>
  <c r="D660" i="6"/>
  <c r="E660" i="6" s="1"/>
  <c r="H659" i="6"/>
  <c r="J659" i="6" s="1"/>
  <c r="I659" i="6" s="1"/>
  <c r="F659" i="6"/>
  <c r="H658" i="6"/>
  <c r="J658" i="6" s="1"/>
  <c r="I658" i="6" s="1"/>
  <c r="F658" i="6"/>
  <c r="H657" i="6"/>
  <c r="J657" i="6" s="1"/>
  <c r="I657" i="6" s="1"/>
  <c r="E657" i="6"/>
  <c r="F657" i="6" s="1"/>
  <c r="H656" i="6"/>
  <c r="J656" i="6" s="1"/>
  <c r="I656" i="6" s="1"/>
  <c r="E656" i="6"/>
  <c r="F656" i="6" s="1"/>
  <c r="H655" i="6"/>
  <c r="J655" i="6" s="1"/>
  <c r="I655" i="6" s="1"/>
  <c r="D655" i="6"/>
  <c r="E655" i="6" s="1"/>
  <c r="H654" i="6"/>
  <c r="J654" i="6" s="1"/>
  <c r="I654" i="6" s="1"/>
  <c r="D654" i="6"/>
  <c r="E654" i="6" s="1"/>
  <c r="H653" i="6"/>
  <c r="J653" i="6" s="1"/>
  <c r="I653" i="6" s="1"/>
  <c r="E653" i="6"/>
  <c r="F653" i="6" s="1"/>
  <c r="H652" i="6"/>
  <c r="J652" i="6" s="1"/>
  <c r="I652" i="6" s="1"/>
  <c r="E652" i="6"/>
  <c r="F652" i="6" s="1"/>
  <c r="H651" i="6"/>
  <c r="J651" i="6" s="1"/>
  <c r="I651" i="6" s="1"/>
  <c r="D651" i="6"/>
  <c r="E651" i="6" s="1"/>
  <c r="H650" i="6"/>
  <c r="J650" i="6" s="1"/>
  <c r="I650" i="6" s="1"/>
  <c r="D650" i="6"/>
  <c r="E650" i="6" s="1"/>
  <c r="H648" i="6"/>
  <c r="J648" i="6" s="1"/>
  <c r="I648" i="6" s="1"/>
  <c r="F648" i="6"/>
  <c r="H647" i="6"/>
  <c r="J647" i="6" s="1"/>
  <c r="I647" i="6" s="1"/>
  <c r="F647" i="6"/>
  <c r="H646" i="6"/>
  <c r="J646" i="6" s="1"/>
  <c r="I646" i="6" s="1"/>
  <c r="D646" i="6"/>
  <c r="E646" i="6" s="1"/>
  <c r="H645" i="6"/>
  <c r="J645" i="6" s="1"/>
  <c r="I645" i="6" s="1"/>
  <c r="D645" i="6"/>
  <c r="E645" i="6" s="1"/>
  <c r="H644" i="6"/>
  <c r="J644" i="6" s="1"/>
  <c r="I644" i="6" s="1"/>
  <c r="F644" i="6"/>
  <c r="H643" i="6"/>
  <c r="J643" i="6" s="1"/>
  <c r="I643" i="6" s="1"/>
  <c r="F643" i="6"/>
  <c r="H642" i="6"/>
  <c r="J642" i="6" s="1"/>
  <c r="I642" i="6" s="1"/>
  <c r="F642" i="6"/>
  <c r="H640" i="6"/>
  <c r="J640" i="6" s="1"/>
  <c r="I640" i="6" s="1"/>
  <c r="D640" i="6"/>
  <c r="E640" i="6" s="1"/>
  <c r="H639" i="6"/>
  <c r="J639" i="6" s="1"/>
  <c r="I639" i="6" s="1"/>
  <c r="D639" i="6"/>
  <c r="E639" i="6" s="1"/>
  <c r="H638" i="6"/>
  <c r="J638" i="6" s="1"/>
  <c r="I638" i="6" s="1"/>
  <c r="D638" i="6"/>
  <c r="E638" i="6" s="1"/>
  <c r="H637" i="6"/>
  <c r="J637" i="6" s="1"/>
  <c r="I637" i="6" s="1"/>
  <c r="D637" i="6"/>
  <c r="E637" i="6" s="1"/>
  <c r="H636" i="6"/>
  <c r="J636" i="6" s="1"/>
  <c r="I636" i="6" s="1"/>
  <c r="D636" i="6"/>
  <c r="E636" i="6" s="1"/>
  <c r="H635" i="6"/>
  <c r="J635" i="6" s="1"/>
  <c r="I635" i="6" s="1"/>
  <c r="E635" i="6"/>
  <c r="F635" i="6" s="1"/>
  <c r="H634" i="6"/>
  <c r="J634" i="6" s="1"/>
  <c r="I634" i="6" s="1"/>
  <c r="D634" i="6"/>
  <c r="E634" i="6" s="1"/>
  <c r="H633" i="6"/>
  <c r="J633" i="6" s="1"/>
  <c r="I633" i="6" s="1"/>
  <c r="E633" i="6"/>
  <c r="F633" i="6" s="1"/>
  <c r="H632" i="6"/>
  <c r="J632" i="6" s="1"/>
  <c r="I632" i="6" s="1"/>
  <c r="E632" i="6"/>
  <c r="F632" i="6" s="1"/>
  <c r="H631" i="6"/>
  <c r="J631" i="6" s="1"/>
  <c r="I631" i="6" s="1"/>
  <c r="E631" i="6"/>
  <c r="F631" i="6" s="1"/>
  <c r="H630" i="6"/>
  <c r="J630" i="6" s="1"/>
  <c r="I630" i="6" s="1"/>
  <c r="E630" i="6"/>
  <c r="F630" i="6" s="1"/>
  <c r="H629" i="6"/>
  <c r="J629" i="6" s="1"/>
  <c r="I629" i="6" s="1"/>
  <c r="E629" i="6"/>
  <c r="F629" i="6" s="1"/>
  <c r="H628" i="6"/>
  <c r="J628" i="6" s="1"/>
  <c r="I628" i="6" s="1"/>
  <c r="E628" i="6"/>
  <c r="F628" i="6" s="1"/>
  <c r="H627" i="6"/>
  <c r="J627" i="6" s="1"/>
  <c r="I627" i="6" s="1"/>
  <c r="E627" i="6"/>
  <c r="F627" i="6" s="1"/>
  <c r="H626" i="6"/>
  <c r="J626" i="6" s="1"/>
  <c r="I626" i="6" s="1"/>
  <c r="E626" i="6"/>
  <c r="F626" i="6" s="1"/>
  <c r="H624" i="6"/>
  <c r="J624" i="6" s="1"/>
  <c r="I624" i="6" s="1"/>
  <c r="D624" i="6"/>
  <c r="E624" i="6" s="1"/>
  <c r="H623" i="6"/>
  <c r="J623" i="6" s="1"/>
  <c r="I623" i="6" s="1"/>
  <c r="E623" i="6"/>
  <c r="F623" i="6" s="1"/>
  <c r="H622" i="6"/>
  <c r="J622" i="6" s="1"/>
  <c r="I622" i="6" s="1"/>
  <c r="E622" i="6"/>
  <c r="F622" i="6" s="1"/>
  <c r="H621" i="6"/>
  <c r="J621" i="6" s="1"/>
  <c r="I621" i="6" s="1"/>
  <c r="E621" i="6"/>
  <c r="F621" i="6" s="1"/>
  <c r="H620" i="6"/>
  <c r="J620" i="6" s="1"/>
  <c r="I620" i="6" s="1"/>
  <c r="E620" i="6"/>
  <c r="F620" i="6" s="1"/>
  <c r="H619" i="6"/>
  <c r="J619" i="6" s="1"/>
  <c r="I619" i="6" s="1"/>
  <c r="E619" i="6"/>
  <c r="F619" i="6" s="1"/>
  <c r="H618" i="6"/>
  <c r="J618" i="6" s="1"/>
  <c r="I618" i="6" s="1"/>
  <c r="E618" i="6"/>
  <c r="F618" i="6" s="1"/>
  <c r="H615" i="6"/>
  <c r="J615" i="6" s="1"/>
  <c r="I615" i="6" s="1"/>
  <c r="E615" i="6"/>
  <c r="F615" i="6" s="1"/>
  <c r="H614" i="6"/>
  <c r="J614" i="6" s="1"/>
  <c r="I614" i="6" s="1"/>
  <c r="E614" i="6"/>
  <c r="F614" i="6" s="1"/>
  <c r="H613" i="6"/>
  <c r="J613" i="6" s="1"/>
  <c r="I613" i="6" s="1"/>
  <c r="E613" i="6"/>
  <c r="F613" i="6" s="1"/>
  <c r="H612" i="6"/>
  <c r="J612" i="6" s="1"/>
  <c r="I612" i="6" s="1"/>
  <c r="E612" i="6"/>
  <c r="F612" i="6" s="1"/>
  <c r="H611" i="6"/>
  <c r="J611" i="6" s="1"/>
  <c r="I611" i="6" s="1"/>
  <c r="E611" i="6"/>
  <c r="F611" i="6" s="1"/>
  <c r="H610" i="6"/>
  <c r="J610" i="6" s="1"/>
  <c r="I610" i="6" s="1"/>
  <c r="D610" i="6"/>
  <c r="E610" i="6" s="1"/>
  <c r="H609" i="6"/>
  <c r="J609" i="6" s="1"/>
  <c r="I609" i="6" s="1"/>
  <c r="D609" i="6"/>
  <c r="E609" i="6" s="1"/>
  <c r="H608" i="6"/>
  <c r="J608" i="6" s="1"/>
  <c r="I608" i="6" s="1"/>
  <c r="E608" i="6"/>
  <c r="F608" i="6" s="1"/>
  <c r="H607" i="6"/>
  <c r="J607" i="6" s="1"/>
  <c r="I607" i="6" s="1"/>
  <c r="E607" i="6"/>
  <c r="F607" i="6" s="1"/>
  <c r="H606" i="6"/>
  <c r="J606" i="6" s="1"/>
  <c r="I606" i="6" s="1"/>
  <c r="F606" i="6"/>
  <c r="H605" i="6"/>
  <c r="J605" i="6" s="1"/>
  <c r="I605" i="6" s="1"/>
  <c r="F605" i="6"/>
  <c r="H604" i="6"/>
  <c r="J604" i="6" s="1"/>
  <c r="I604" i="6" s="1"/>
  <c r="D604" i="6"/>
  <c r="E604" i="6" s="1"/>
  <c r="H603" i="6"/>
  <c r="J603" i="6" s="1"/>
  <c r="I603" i="6" s="1"/>
  <c r="D603" i="6"/>
  <c r="E603" i="6" s="1"/>
  <c r="H602" i="6"/>
  <c r="J602" i="6" s="1"/>
  <c r="I602" i="6" s="1"/>
  <c r="D602" i="6"/>
  <c r="E602" i="6" s="1"/>
  <c r="H601" i="6"/>
  <c r="J601" i="6" s="1"/>
  <c r="I601" i="6" s="1"/>
  <c r="F601" i="6"/>
  <c r="H600" i="6"/>
  <c r="J600" i="6" s="1"/>
  <c r="I600" i="6" s="1"/>
  <c r="E600" i="6"/>
  <c r="F600" i="6" s="1"/>
  <c r="H599" i="6"/>
  <c r="J599" i="6" s="1"/>
  <c r="I599" i="6" s="1"/>
  <c r="E599" i="6"/>
  <c r="F599" i="6" s="1"/>
  <c r="H598" i="6"/>
  <c r="J598" i="6" s="1"/>
  <c r="I598" i="6" s="1"/>
  <c r="F598" i="6"/>
  <c r="H597" i="6"/>
  <c r="J597" i="6" s="1"/>
  <c r="I597" i="6" s="1"/>
  <c r="F597" i="6"/>
  <c r="H596" i="6"/>
  <c r="J596" i="6" s="1"/>
  <c r="I596" i="6" s="1"/>
  <c r="F596" i="6"/>
  <c r="H595" i="6"/>
  <c r="J595" i="6" s="1"/>
  <c r="I595" i="6" s="1"/>
  <c r="F595" i="6"/>
  <c r="H594" i="6"/>
  <c r="J594" i="6" s="1"/>
  <c r="I594" i="6" s="1"/>
  <c r="F594" i="6"/>
  <c r="H593" i="6"/>
  <c r="J593" i="6" s="1"/>
  <c r="I593" i="6" s="1"/>
  <c r="F593" i="6"/>
  <c r="F592" i="6"/>
  <c r="G592" i="6" s="1"/>
  <c r="H592" i="6" s="1"/>
  <c r="J592" i="6" s="1"/>
  <c r="I592" i="6" s="1"/>
  <c r="H591" i="6"/>
  <c r="J591" i="6" s="1"/>
  <c r="I591" i="6" s="1"/>
  <c r="H590" i="6"/>
  <c r="J590" i="6" s="1"/>
  <c r="I590" i="6" s="1"/>
  <c r="F590" i="6"/>
  <c r="H589" i="6"/>
  <c r="J589" i="6" s="1"/>
  <c r="I589" i="6" s="1"/>
  <c r="H587" i="6"/>
  <c r="J587" i="6" s="1"/>
  <c r="I587" i="6" s="1"/>
  <c r="F587" i="6"/>
  <c r="H586" i="6"/>
  <c r="J586" i="6" s="1"/>
  <c r="I586" i="6" s="1"/>
  <c r="F586" i="6"/>
  <c r="H585" i="6"/>
  <c r="J585" i="6" s="1"/>
  <c r="I585" i="6" s="1"/>
  <c r="F585" i="6"/>
  <c r="H584" i="6"/>
  <c r="J584" i="6" s="1"/>
  <c r="I584" i="6" s="1"/>
  <c r="F584" i="6"/>
  <c r="H583" i="6"/>
  <c r="J583" i="6" s="1"/>
  <c r="I583" i="6" s="1"/>
  <c r="E583" i="6"/>
  <c r="F583" i="6" s="1"/>
  <c r="H580" i="6"/>
  <c r="J580" i="6" s="1"/>
  <c r="I580" i="6" s="1"/>
  <c r="E580" i="6"/>
  <c r="F580" i="6" s="1"/>
  <c r="H579" i="6"/>
  <c r="J579" i="6" s="1"/>
  <c r="I579" i="6" s="1"/>
  <c r="F579" i="6"/>
  <c r="H577" i="6"/>
  <c r="J577" i="6" s="1"/>
  <c r="I577" i="6" s="1"/>
  <c r="D577" i="6"/>
  <c r="E577" i="6" s="1"/>
  <c r="H576" i="6"/>
  <c r="J576" i="6" s="1"/>
  <c r="I576" i="6" s="1"/>
  <c r="D576" i="6"/>
  <c r="E576" i="6" s="1"/>
  <c r="H574" i="6"/>
  <c r="J574" i="6" s="1"/>
  <c r="I574" i="6" s="1"/>
  <c r="D574" i="6"/>
  <c r="E574" i="6" s="1"/>
  <c r="H573" i="6"/>
  <c r="J573" i="6" s="1"/>
  <c r="I573" i="6" s="1"/>
  <c r="D573" i="6"/>
  <c r="E573" i="6" s="1"/>
  <c r="H572" i="6"/>
  <c r="J572" i="6" s="1"/>
  <c r="I572" i="6" s="1"/>
  <c r="D572" i="6"/>
  <c r="E572" i="6" s="1"/>
  <c r="H571" i="6"/>
  <c r="J571" i="6" s="1"/>
  <c r="I571" i="6" s="1"/>
  <c r="D571" i="6"/>
  <c r="E571" i="6" s="1"/>
  <c r="H570" i="6"/>
  <c r="J570" i="6" s="1"/>
  <c r="I570" i="6" s="1"/>
  <c r="D570" i="6"/>
  <c r="E570" i="6" s="1"/>
  <c r="H569" i="6"/>
  <c r="J569" i="6" s="1"/>
  <c r="I569" i="6" s="1"/>
  <c r="D569" i="6"/>
  <c r="E569" i="6" s="1"/>
  <c r="H568" i="6"/>
  <c r="J568" i="6" s="1"/>
  <c r="I568" i="6" s="1"/>
  <c r="D568" i="6"/>
  <c r="E568" i="6" s="1"/>
  <c r="H567" i="6"/>
  <c r="J567" i="6" s="1"/>
  <c r="I567" i="6" s="1"/>
  <c r="D567" i="6"/>
  <c r="E567" i="6" s="1"/>
  <c r="H566" i="6"/>
  <c r="J566" i="6" s="1"/>
  <c r="I566" i="6" s="1"/>
  <c r="D566" i="6"/>
  <c r="E566" i="6" s="1"/>
  <c r="H565" i="6"/>
  <c r="J565" i="6" s="1"/>
  <c r="I565" i="6" s="1"/>
  <c r="D565" i="6"/>
  <c r="E565" i="6" s="1"/>
  <c r="H563" i="6"/>
  <c r="J563" i="6" s="1"/>
  <c r="I563" i="6" s="1"/>
  <c r="D563" i="6"/>
  <c r="E563" i="6" s="1"/>
  <c r="H562" i="6"/>
  <c r="J562" i="6" s="1"/>
  <c r="I562" i="6" s="1"/>
  <c r="D562" i="6"/>
  <c r="E562" i="6" s="1"/>
  <c r="H561" i="6"/>
  <c r="J561" i="6" s="1"/>
  <c r="I561" i="6" s="1"/>
  <c r="F561" i="6"/>
  <c r="H560" i="6"/>
  <c r="J560" i="6" s="1"/>
  <c r="I560" i="6" s="1"/>
  <c r="D560" i="6"/>
  <c r="E560" i="6" s="1"/>
  <c r="H559" i="6"/>
  <c r="J559" i="6" s="1"/>
  <c r="I559" i="6" s="1"/>
  <c r="D559" i="6"/>
  <c r="E559" i="6" s="1"/>
  <c r="H558" i="6"/>
  <c r="J558" i="6" s="1"/>
  <c r="I558" i="6" s="1"/>
  <c r="D558" i="6"/>
  <c r="E558" i="6" s="1"/>
  <c r="H557" i="6"/>
  <c r="J557" i="6" s="1"/>
  <c r="I557" i="6" s="1"/>
  <c r="D557" i="6"/>
  <c r="E557" i="6" s="1"/>
  <c r="H556" i="6"/>
  <c r="J556" i="6" s="1"/>
  <c r="I556" i="6" s="1"/>
  <c r="D556" i="6"/>
  <c r="E556" i="6" s="1"/>
  <c r="H555" i="6"/>
  <c r="J555" i="6" s="1"/>
  <c r="I555" i="6" s="1"/>
  <c r="D555" i="6"/>
  <c r="E555" i="6" s="1"/>
  <c r="H554" i="6"/>
  <c r="J554" i="6" s="1"/>
  <c r="I554" i="6" s="1"/>
  <c r="D554" i="6"/>
  <c r="E554" i="6" s="1"/>
  <c r="H553" i="6"/>
  <c r="J553" i="6" s="1"/>
  <c r="I553" i="6" s="1"/>
  <c r="D553" i="6"/>
  <c r="E553" i="6" s="1"/>
  <c r="H552" i="6"/>
  <c r="J552" i="6" s="1"/>
  <c r="I552" i="6" s="1"/>
  <c r="D552" i="6"/>
  <c r="E552" i="6" s="1"/>
  <c r="H551" i="6"/>
  <c r="J551" i="6" s="1"/>
  <c r="I551" i="6" s="1"/>
  <c r="D551" i="6"/>
  <c r="E551" i="6" s="1"/>
  <c r="H550" i="6"/>
  <c r="J550" i="6" s="1"/>
  <c r="I550" i="6" s="1"/>
  <c r="D550" i="6"/>
  <c r="E550" i="6" s="1"/>
  <c r="H549" i="6"/>
  <c r="J549" i="6" s="1"/>
  <c r="I549" i="6" s="1"/>
  <c r="D549" i="6"/>
  <c r="E549" i="6" s="1"/>
  <c r="H548" i="6"/>
  <c r="J548" i="6" s="1"/>
  <c r="I548" i="6" s="1"/>
  <c r="F548" i="6"/>
  <c r="H547" i="6"/>
  <c r="J547" i="6" s="1"/>
  <c r="I547" i="6" s="1"/>
  <c r="D547" i="6"/>
  <c r="E547" i="6" s="1"/>
  <c r="H546" i="6"/>
  <c r="J546" i="6" s="1"/>
  <c r="I546" i="6" s="1"/>
  <c r="D546" i="6"/>
  <c r="E546" i="6" s="1"/>
  <c r="H545" i="6"/>
  <c r="J545" i="6" s="1"/>
  <c r="I545" i="6" s="1"/>
  <c r="F545" i="6"/>
  <c r="H544" i="6"/>
  <c r="J544" i="6" s="1"/>
  <c r="I544" i="6" s="1"/>
  <c r="D544" i="6"/>
  <c r="E544" i="6" s="1"/>
  <c r="H543" i="6"/>
  <c r="J543" i="6" s="1"/>
  <c r="I543" i="6" s="1"/>
  <c r="D543" i="6"/>
  <c r="E543" i="6" s="1"/>
  <c r="H541" i="6"/>
  <c r="J541" i="6" s="1"/>
  <c r="I541" i="6" s="1"/>
  <c r="D541" i="6"/>
  <c r="E541" i="6" s="1"/>
  <c r="H540" i="6"/>
  <c r="J540" i="6" s="1"/>
  <c r="I540" i="6" s="1"/>
  <c r="D540" i="6"/>
  <c r="E540" i="6" s="1"/>
  <c r="H539" i="6"/>
  <c r="J539" i="6" s="1"/>
  <c r="I539" i="6" s="1"/>
  <c r="D539" i="6"/>
  <c r="E539" i="6" s="1"/>
  <c r="H537" i="6"/>
  <c r="J537" i="6" s="1"/>
  <c r="I537" i="6" s="1"/>
  <c r="F537" i="6"/>
  <c r="H536" i="6"/>
  <c r="J536" i="6" s="1"/>
  <c r="I536" i="6" s="1"/>
  <c r="E536" i="6"/>
  <c r="F536" i="6" s="1"/>
  <c r="H535" i="6"/>
  <c r="J535" i="6" s="1"/>
  <c r="I535" i="6" s="1"/>
  <c r="E535" i="6"/>
  <c r="F535" i="6" s="1"/>
  <c r="H534" i="6"/>
  <c r="J534" i="6" s="1"/>
  <c r="I534" i="6" s="1"/>
  <c r="D534" i="6"/>
  <c r="E534" i="6" s="1"/>
  <c r="H533" i="6"/>
  <c r="J533" i="6" s="1"/>
  <c r="I533" i="6" s="1"/>
  <c r="D533" i="6"/>
  <c r="E533" i="6" s="1"/>
  <c r="H532" i="6"/>
  <c r="J532" i="6" s="1"/>
  <c r="I532" i="6" s="1"/>
  <c r="F532" i="6"/>
  <c r="H531" i="6"/>
  <c r="J531" i="6" s="1"/>
  <c r="I531" i="6" s="1"/>
  <c r="D531" i="6"/>
  <c r="E531" i="6" s="1"/>
  <c r="H530" i="6"/>
  <c r="J530" i="6" s="1"/>
  <c r="I530" i="6" s="1"/>
  <c r="F530" i="6"/>
  <c r="H529" i="6"/>
  <c r="J529" i="6" s="1"/>
  <c r="I529" i="6" s="1"/>
  <c r="F529" i="6"/>
  <c r="H528" i="6"/>
  <c r="J528" i="6" s="1"/>
  <c r="I528" i="6" s="1"/>
  <c r="F528" i="6"/>
  <c r="H527" i="6"/>
  <c r="J527" i="6" s="1"/>
  <c r="I527" i="6" s="1"/>
  <c r="F527" i="6"/>
  <c r="H526" i="6"/>
  <c r="J526" i="6" s="1"/>
  <c r="I526" i="6" s="1"/>
  <c r="F526" i="6"/>
  <c r="H525" i="6"/>
  <c r="H523" i="6"/>
  <c r="J523" i="6" s="1"/>
  <c r="I523" i="6" s="1"/>
  <c r="E523" i="6"/>
  <c r="F523" i="6" s="1"/>
  <c r="H522" i="6"/>
  <c r="J522" i="6" s="1"/>
  <c r="I522" i="6" s="1"/>
  <c r="E522" i="6"/>
  <c r="F522" i="6" s="1"/>
  <c r="H521" i="6"/>
  <c r="J521" i="6" s="1"/>
  <c r="I521" i="6" s="1"/>
  <c r="E521" i="6"/>
  <c r="F521" i="6" s="1"/>
  <c r="H520" i="6"/>
  <c r="J520" i="6" s="1"/>
  <c r="I520" i="6" s="1"/>
  <c r="E520" i="6"/>
  <c r="F520" i="6" s="1"/>
  <c r="H519" i="6"/>
  <c r="J519" i="6" s="1"/>
  <c r="I519" i="6" s="1"/>
  <c r="E519" i="6"/>
  <c r="F519" i="6" s="1"/>
  <c r="H517" i="6"/>
  <c r="J517" i="6" s="1"/>
  <c r="I517" i="6" s="1"/>
  <c r="D517" i="6"/>
  <c r="E517" i="6" s="1"/>
  <c r="H516" i="6"/>
  <c r="J516" i="6" s="1"/>
  <c r="I516" i="6" s="1"/>
  <c r="F516" i="6"/>
  <c r="H515" i="6"/>
  <c r="J515" i="6" s="1"/>
  <c r="I515" i="6" s="1"/>
  <c r="D515" i="6"/>
  <c r="E515" i="6" s="1"/>
  <c r="H514" i="6"/>
  <c r="J514" i="6" s="1"/>
  <c r="I514" i="6" s="1"/>
  <c r="D514" i="6"/>
  <c r="E514" i="6" s="1"/>
  <c r="H513" i="6"/>
  <c r="J513" i="6" s="1"/>
  <c r="I513" i="6" s="1"/>
  <c r="D513" i="6"/>
  <c r="E513" i="6" s="1"/>
  <c r="H512" i="6"/>
  <c r="J512" i="6" s="1"/>
  <c r="I512" i="6" s="1"/>
  <c r="D512" i="6"/>
  <c r="E512" i="6" s="1"/>
  <c r="F511" i="6"/>
  <c r="G511" i="6" s="1"/>
  <c r="H511" i="6" s="1"/>
  <c r="J511" i="6" s="1"/>
  <c r="I511" i="6" s="1"/>
  <c r="H510" i="6"/>
  <c r="J510" i="6" s="1"/>
  <c r="I510" i="6" s="1"/>
  <c r="D510" i="6"/>
  <c r="E510" i="6" s="1"/>
  <c r="H509" i="6"/>
  <c r="J509" i="6" s="1"/>
  <c r="I509" i="6" s="1"/>
  <c r="D509" i="6"/>
  <c r="E509" i="6" s="1"/>
  <c r="H508" i="6"/>
  <c r="J508" i="6" s="1"/>
  <c r="I508" i="6" s="1"/>
  <c r="D508" i="6"/>
  <c r="E508" i="6" s="1"/>
  <c r="H507" i="6"/>
  <c r="J507" i="6" s="1"/>
  <c r="I507" i="6" s="1"/>
  <c r="D507" i="6"/>
  <c r="E507" i="6" s="1"/>
  <c r="E504" i="6"/>
  <c r="F504" i="6" s="1"/>
  <c r="G504" i="6" s="1"/>
  <c r="H504" i="6" s="1"/>
  <c r="J504" i="6" s="1"/>
  <c r="I504" i="6" s="1"/>
  <c r="H503" i="6"/>
  <c r="J503" i="6" s="1"/>
  <c r="I503" i="6" s="1"/>
  <c r="D503" i="6"/>
  <c r="E503" i="6" s="1"/>
  <c r="H502" i="6"/>
  <c r="J502" i="6" s="1"/>
  <c r="I502" i="6" s="1"/>
  <c r="F502" i="6"/>
  <c r="H501" i="6"/>
  <c r="J501" i="6" s="1"/>
  <c r="I501" i="6" s="1"/>
  <c r="F501" i="6"/>
  <c r="H500" i="6"/>
  <c r="J500" i="6" s="1"/>
  <c r="I500" i="6" s="1"/>
  <c r="F500" i="6"/>
  <c r="H498" i="6"/>
  <c r="J498" i="6" s="1"/>
  <c r="I498" i="6" s="1"/>
  <c r="D498" i="6"/>
  <c r="E498" i="6" s="1"/>
  <c r="H497" i="6"/>
  <c r="J497" i="6" s="1"/>
  <c r="I497" i="6" s="1"/>
  <c r="D497" i="6"/>
  <c r="E497" i="6" s="1"/>
  <c r="H496" i="6"/>
  <c r="J496" i="6" s="1"/>
  <c r="I496" i="6" s="1"/>
  <c r="D496" i="6"/>
  <c r="E496" i="6" s="1"/>
  <c r="H495" i="6"/>
  <c r="J495" i="6" s="1"/>
  <c r="I495" i="6" s="1"/>
  <c r="D495" i="6"/>
  <c r="E495" i="6" s="1"/>
  <c r="H494" i="6"/>
  <c r="J494" i="6" s="1"/>
  <c r="I494" i="6" s="1"/>
  <c r="D494" i="6"/>
  <c r="E494" i="6" s="1"/>
  <c r="H493" i="6"/>
  <c r="J493" i="6" s="1"/>
  <c r="I493" i="6" s="1"/>
  <c r="D493" i="6"/>
  <c r="E493" i="6" s="1"/>
  <c r="H492" i="6"/>
  <c r="J492" i="6" s="1"/>
  <c r="I492" i="6" s="1"/>
  <c r="D492" i="6"/>
  <c r="E492" i="6" s="1"/>
  <c r="H491" i="6"/>
  <c r="J491" i="6" s="1"/>
  <c r="I491" i="6" s="1"/>
  <c r="D491" i="6"/>
  <c r="E491" i="6" s="1"/>
  <c r="H490" i="6"/>
  <c r="J490" i="6" s="1"/>
  <c r="I490" i="6" s="1"/>
  <c r="D490" i="6"/>
  <c r="E490" i="6" s="1"/>
  <c r="H489" i="6"/>
  <c r="J489" i="6" s="1"/>
  <c r="I489" i="6" s="1"/>
  <c r="D489" i="6"/>
  <c r="E489" i="6" s="1"/>
  <c r="H488" i="6"/>
  <c r="J488" i="6" s="1"/>
  <c r="I488" i="6" s="1"/>
  <c r="D488" i="6"/>
  <c r="E488" i="6" s="1"/>
  <c r="H487" i="6"/>
  <c r="J487" i="6" s="1"/>
  <c r="I487" i="6" s="1"/>
  <c r="D487" i="6"/>
  <c r="E487" i="6" s="1"/>
  <c r="H486" i="6"/>
  <c r="J486" i="6" s="1"/>
  <c r="I486" i="6" s="1"/>
  <c r="D486" i="6"/>
  <c r="E486" i="6" s="1"/>
  <c r="H485" i="6"/>
  <c r="J485" i="6" s="1"/>
  <c r="I485" i="6" s="1"/>
  <c r="D485" i="6"/>
  <c r="E485" i="6" s="1"/>
  <c r="H484" i="6"/>
  <c r="J484" i="6" s="1"/>
  <c r="I484" i="6" s="1"/>
  <c r="D484" i="6"/>
  <c r="E484" i="6" s="1"/>
  <c r="H483" i="6"/>
  <c r="J483" i="6" s="1"/>
  <c r="I483" i="6" s="1"/>
  <c r="D483" i="6"/>
  <c r="E483" i="6" s="1"/>
  <c r="H482" i="6"/>
  <c r="J482" i="6" s="1"/>
  <c r="I482" i="6" s="1"/>
  <c r="D482" i="6"/>
  <c r="E482" i="6" s="1"/>
  <c r="H481" i="6"/>
  <c r="J481" i="6" s="1"/>
  <c r="I481" i="6" s="1"/>
  <c r="D481" i="6"/>
  <c r="E481" i="6" s="1"/>
  <c r="H480" i="6"/>
  <c r="J480" i="6" s="1"/>
  <c r="I480" i="6" s="1"/>
  <c r="D480" i="6"/>
  <c r="E480" i="6" s="1"/>
  <c r="H479" i="6"/>
  <c r="J479" i="6" s="1"/>
  <c r="I479" i="6" s="1"/>
  <c r="D479" i="6"/>
  <c r="E479" i="6" s="1"/>
  <c r="H478" i="6"/>
  <c r="J478" i="6" s="1"/>
  <c r="I478" i="6" s="1"/>
  <c r="D478" i="6"/>
  <c r="E478" i="6" s="1"/>
  <c r="H477" i="6"/>
  <c r="J477" i="6" s="1"/>
  <c r="I477" i="6" s="1"/>
  <c r="D477" i="6"/>
  <c r="E477" i="6" s="1"/>
  <c r="H476" i="6"/>
  <c r="J476" i="6" s="1"/>
  <c r="I476" i="6" s="1"/>
  <c r="D476" i="6"/>
  <c r="E476" i="6" s="1"/>
  <c r="H473" i="6"/>
  <c r="J473" i="6" s="1"/>
  <c r="I473" i="6" s="1"/>
  <c r="F473" i="6"/>
  <c r="H472" i="6"/>
  <c r="J472" i="6" s="1"/>
  <c r="I472" i="6" s="1"/>
  <c r="F472" i="6"/>
  <c r="H471" i="6"/>
  <c r="J471" i="6" s="1"/>
  <c r="I471" i="6" s="1"/>
  <c r="E471" i="6"/>
  <c r="F471" i="6" s="1"/>
  <c r="H470" i="6"/>
  <c r="J470" i="6" s="1"/>
  <c r="I470" i="6" s="1"/>
  <c r="F470" i="6"/>
  <c r="H469" i="6"/>
  <c r="J469" i="6" s="1"/>
  <c r="I469" i="6" s="1"/>
  <c r="E469" i="6"/>
  <c r="F469" i="6" s="1"/>
  <c r="H468" i="6"/>
  <c r="J468" i="6" s="1"/>
  <c r="I468" i="6" s="1"/>
  <c r="D468" i="6"/>
  <c r="E468" i="6" s="1"/>
  <c r="H467" i="6"/>
  <c r="J467" i="6" s="1"/>
  <c r="I467" i="6" s="1"/>
  <c r="D467" i="6"/>
  <c r="E467" i="6" s="1"/>
  <c r="H466" i="6"/>
  <c r="J466" i="6" s="1"/>
  <c r="I466" i="6" s="1"/>
  <c r="D466" i="6"/>
  <c r="E466" i="6" s="1"/>
  <c r="H465" i="6"/>
  <c r="J465" i="6" s="1"/>
  <c r="I465" i="6" s="1"/>
  <c r="D465" i="6"/>
  <c r="E465" i="6" s="1"/>
  <c r="H464" i="6"/>
  <c r="J464" i="6" s="1"/>
  <c r="I464" i="6" s="1"/>
  <c r="D464" i="6"/>
  <c r="E464" i="6" s="1"/>
  <c r="H463" i="6"/>
  <c r="J463" i="6" s="1"/>
  <c r="I463" i="6" s="1"/>
  <c r="F463" i="6"/>
  <c r="H462" i="6"/>
  <c r="J462" i="6" s="1"/>
  <c r="I462" i="6" s="1"/>
  <c r="E462" i="6"/>
  <c r="H461" i="6"/>
  <c r="J461" i="6" s="1"/>
  <c r="I461" i="6" s="1"/>
  <c r="D461" i="6"/>
  <c r="E461" i="6" s="1"/>
  <c r="H460" i="6"/>
  <c r="J460" i="6" s="1"/>
  <c r="I460" i="6" s="1"/>
  <c r="D460" i="6"/>
  <c r="E460" i="6" s="1"/>
  <c r="H459" i="6"/>
  <c r="J459" i="6" s="1"/>
  <c r="I459" i="6" s="1"/>
  <c r="D459" i="6"/>
  <c r="E459" i="6" s="1"/>
  <c r="H458" i="6"/>
  <c r="J458" i="6" s="1"/>
  <c r="I458" i="6" s="1"/>
  <c r="D458" i="6"/>
  <c r="E458" i="6" s="1"/>
  <c r="H457" i="6"/>
  <c r="J457" i="6" s="1"/>
  <c r="I457" i="6" s="1"/>
  <c r="D457" i="6"/>
  <c r="E457" i="6" s="1"/>
  <c r="H456" i="6"/>
  <c r="J456" i="6" s="1"/>
  <c r="I456" i="6" s="1"/>
  <c r="D456" i="6"/>
  <c r="E456" i="6" s="1"/>
  <c r="H455" i="6"/>
  <c r="J455" i="6" s="1"/>
  <c r="I455" i="6" s="1"/>
  <c r="D455" i="6"/>
  <c r="E455" i="6" s="1"/>
  <c r="H454" i="6"/>
  <c r="J454" i="6" s="1"/>
  <c r="I454" i="6" s="1"/>
  <c r="D454" i="6"/>
  <c r="E454" i="6" s="1"/>
  <c r="H453" i="6"/>
  <c r="J453" i="6" s="1"/>
  <c r="I453" i="6" s="1"/>
  <c r="D453" i="6"/>
  <c r="E453" i="6" s="1"/>
  <c r="H452" i="6"/>
  <c r="J452" i="6" s="1"/>
  <c r="I452" i="6" s="1"/>
  <c r="D452" i="6"/>
  <c r="E452" i="6" s="1"/>
  <c r="H451" i="6"/>
  <c r="J451" i="6" s="1"/>
  <c r="I451" i="6" s="1"/>
  <c r="D451" i="6"/>
  <c r="E451" i="6" s="1"/>
  <c r="H447" i="6"/>
  <c r="J447" i="6" s="1"/>
  <c r="I447" i="6" s="1"/>
  <c r="F447" i="6"/>
  <c r="H446" i="6"/>
  <c r="J446" i="6" s="1"/>
  <c r="I446" i="6" s="1"/>
  <c r="E446" i="6"/>
  <c r="F446" i="6" s="1"/>
  <c r="H445" i="6"/>
  <c r="J445" i="6" s="1"/>
  <c r="I445" i="6" s="1"/>
  <c r="D445" i="6"/>
  <c r="E445" i="6" s="1"/>
  <c r="H444" i="6"/>
  <c r="J444" i="6" s="1"/>
  <c r="I444" i="6" s="1"/>
  <c r="E444" i="6"/>
  <c r="F444" i="6" s="1"/>
  <c r="H443" i="6"/>
  <c r="J443" i="6" s="1"/>
  <c r="I443" i="6" s="1"/>
  <c r="D443" i="6"/>
  <c r="E443" i="6" s="1"/>
  <c r="H442" i="6"/>
  <c r="J442" i="6" s="1"/>
  <c r="I442" i="6" s="1"/>
  <c r="E442" i="6"/>
  <c r="F442" i="6" s="1"/>
  <c r="H441" i="6"/>
  <c r="J441" i="6" s="1"/>
  <c r="I441" i="6" s="1"/>
  <c r="F441" i="6"/>
  <c r="H440" i="6"/>
  <c r="J440" i="6" s="1"/>
  <c r="I440" i="6" s="1"/>
  <c r="E440" i="6"/>
  <c r="F440" i="6" s="1"/>
  <c r="H439" i="6"/>
  <c r="J439" i="6" s="1"/>
  <c r="I439" i="6" s="1"/>
  <c r="E439" i="6"/>
  <c r="F439" i="6" s="1"/>
  <c r="H438" i="6"/>
  <c r="J438" i="6" s="1"/>
  <c r="I438" i="6" s="1"/>
  <c r="E438" i="6"/>
  <c r="F438" i="6" s="1"/>
  <c r="H437" i="6"/>
  <c r="J437" i="6" s="1"/>
  <c r="I437" i="6" s="1"/>
  <c r="D437" i="6"/>
  <c r="E437" i="6" s="1"/>
  <c r="H436" i="6"/>
  <c r="J436" i="6" s="1"/>
  <c r="I436" i="6" s="1"/>
  <c r="D436" i="6"/>
  <c r="E436" i="6" s="1"/>
  <c r="H435" i="6"/>
  <c r="J435" i="6" s="1"/>
  <c r="I435" i="6" s="1"/>
  <c r="E435" i="6"/>
  <c r="F435" i="6" s="1"/>
  <c r="H433" i="6"/>
  <c r="J433" i="6" s="1"/>
  <c r="I433" i="6" s="1"/>
  <c r="D433" i="6"/>
  <c r="E433" i="6" s="1"/>
  <c r="H432" i="6"/>
  <c r="J432" i="6" s="1"/>
  <c r="I432" i="6" s="1"/>
  <c r="D432" i="6"/>
  <c r="E432" i="6" s="1"/>
  <c r="H431" i="6"/>
  <c r="J431" i="6" s="1"/>
  <c r="I431" i="6" s="1"/>
  <c r="D431" i="6"/>
  <c r="E431" i="6" s="1"/>
  <c r="H430" i="6"/>
  <c r="J430" i="6" s="1"/>
  <c r="I430" i="6" s="1"/>
  <c r="D430" i="6"/>
  <c r="E430" i="6" s="1"/>
  <c r="H429" i="6"/>
  <c r="J429" i="6" s="1"/>
  <c r="I429" i="6" s="1"/>
  <c r="D429" i="6"/>
  <c r="E429" i="6" s="1"/>
  <c r="H428" i="6"/>
  <c r="J428" i="6" s="1"/>
  <c r="I428" i="6" s="1"/>
  <c r="D428" i="6"/>
  <c r="E428" i="6" s="1"/>
  <c r="H427" i="6"/>
  <c r="J427" i="6" s="1"/>
  <c r="I427" i="6" s="1"/>
  <c r="D427" i="6"/>
  <c r="E427" i="6" s="1"/>
  <c r="H426" i="6"/>
  <c r="J426" i="6" s="1"/>
  <c r="I426" i="6" s="1"/>
  <c r="D426" i="6"/>
  <c r="E426" i="6" s="1"/>
  <c r="H425" i="6"/>
  <c r="J425" i="6" s="1"/>
  <c r="I425" i="6" s="1"/>
  <c r="D425" i="6"/>
  <c r="E425" i="6" s="1"/>
  <c r="H424" i="6"/>
  <c r="J424" i="6" s="1"/>
  <c r="I424" i="6" s="1"/>
  <c r="D424" i="6"/>
  <c r="E424" i="6" s="1"/>
  <c r="H423" i="6"/>
  <c r="J423" i="6" s="1"/>
  <c r="I423" i="6" s="1"/>
  <c r="D423" i="6"/>
  <c r="E423" i="6" s="1"/>
  <c r="H422" i="6"/>
  <c r="J422" i="6" s="1"/>
  <c r="I422" i="6" s="1"/>
  <c r="F422" i="6"/>
  <c r="H421" i="6"/>
  <c r="J421" i="6" s="1"/>
  <c r="I421" i="6" s="1"/>
  <c r="F421" i="6"/>
  <c r="H420" i="6"/>
  <c r="J420" i="6" s="1"/>
  <c r="I420" i="6" s="1"/>
  <c r="D420" i="6"/>
  <c r="E420" i="6" s="1"/>
  <c r="H419" i="6"/>
  <c r="J419" i="6" s="1"/>
  <c r="I419" i="6" s="1"/>
  <c r="D419" i="6"/>
  <c r="E419" i="6" s="1"/>
  <c r="H418" i="6"/>
  <c r="J418" i="6" s="1"/>
  <c r="I418" i="6" s="1"/>
  <c r="D418" i="6"/>
  <c r="E418" i="6" s="1"/>
  <c r="H417" i="6"/>
  <c r="J417" i="6" s="1"/>
  <c r="I417" i="6" s="1"/>
  <c r="D417" i="6"/>
  <c r="E417" i="6" s="1"/>
  <c r="H416" i="6"/>
  <c r="J416" i="6" s="1"/>
  <c r="I416" i="6" s="1"/>
  <c r="D416" i="6"/>
  <c r="E416" i="6" s="1"/>
  <c r="H415" i="6"/>
  <c r="J415" i="6" s="1"/>
  <c r="I415" i="6" s="1"/>
  <c r="D415" i="6"/>
  <c r="E415" i="6" s="1"/>
  <c r="H414" i="6"/>
  <c r="J414" i="6" s="1"/>
  <c r="I414" i="6" s="1"/>
  <c r="D414" i="6"/>
  <c r="E414" i="6" s="1"/>
  <c r="H413" i="6"/>
  <c r="J413" i="6" s="1"/>
  <c r="I413" i="6" s="1"/>
  <c r="F413" i="6"/>
  <c r="H412" i="6"/>
  <c r="J412" i="6" s="1"/>
  <c r="I412" i="6" s="1"/>
  <c r="D412" i="6"/>
  <c r="E412" i="6" s="1"/>
  <c r="H408" i="6"/>
  <c r="J408" i="6" s="1"/>
  <c r="I408" i="6" s="1"/>
  <c r="E408" i="6"/>
  <c r="F408" i="6" s="1"/>
  <c r="H406" i="6"/>
  <c r="J406" i="6" s="1"/>
  <c r="I406" i="6" s="1"/>
  <c r="F406" i="6"/>
  <c r="H405" i="6"/>
  <c r="J405" i="6" s="1"/>
  <c r="I405" i="6" s="1"/>
  <c r="F405" i="6"/>
  <c r="H404" i="6"/>
  <c r="J404" i="6" s="1"/>
  <c r="I404" i="6" s="1"/>
  <c r="F404" i="6"/>
  <c r="H403" i="6"/>
  <c r="J403" i="6" s="1"/>
  <c r="I403" i="6" s="1"/>
  <c r="F403" i="6"/>
  <c r="H402" i="6"/>
  <c r="J402" i="6" s="1"/>
  <c r="I402" i="6" s="1"/>
  <c r="E402" i="6"/>
  <c r="F402" i="6" s="1"/>
  <c r="H401" i="6"/>
  <c r="J401" i="6" s="1"/>
  <c r="I401" i="6" s="1"/>
  <c r="E401" i="6"/>
  <c r="F401" i="6" s="1"/>
  <c r="H400" i="6"/>
  <c r="J400" i="6" s="1"/>
  <c r="I400" i="6" s="1"/>
  <c r="E400" i="6"/>
  <c r="F400" i="6" s="1"/>
  <c r="H399" i="6"/>
  <c r="J399" i="6" s="1"/>
  <c r="I399" i="6" s="1"/>
  <c r="E399" i="6"/>
  <c r="F399" i="6" s="1"/>
  <c r="H398" i="6"/>
  <c r="E398" i="6"/>
  <c r="F398" i="6" s="1"/>
  <c r="H395" i="6"/>
  <c r="J395" i="6" s="1"/>
  <c r="I395" i="6" s="1"/>
  <c r="D395" i="6"/>
  <c r="E395" i="6" s="1"/>
  <c r="H394" i="6"/>
  <c r="J394" i="6" s="1"/>
  <c r="I394" i="6" s="1"/>
  <c r="E394" i="6"/>
  <c r="F394" i="6" s="1"/>
  <c r="H393" i="6"/>
  <c r="J393" i="6" s="1"/>
  <c r="I393" i="6" s="1"/>
  <c r="E393" i="6"/>
  <c r="F393" i="6" s="1"/>
  <c r="H392" i="6"/>
  <c r="J392" i="6" s="1"/>
  <c r="I392" i="6" s="1"/>
  <c r="E392" i="6"/>
  <c r="F392" i="6" s="1"/>
  <c r="H391" i="6"/>
  <c r="J391" i="6" s="1"/>
  <c r="I391" i="6" s="1"/>
  <c r="D391" i="6"/>
  <c r="E391" i="6" s="1"/>
  <c r="H390" i="6"/>
  <c r="J390" i="6" s="1"/>
  <c r="I390" i="6" s="1"/>
  <c r="D390" i="6"/>
  <c r="E390" i="6" s="1"/>
  <c r="H389" i="6"/>
  <c r="J389" i="6" s="1"/>
  <c r="I389" i="6" s="1"/>
  <c r="D389" i="6"/>
  <c r="E389" i="6" s="1"/>
  <c r="H388" i="6"/>
  <c r="J388" i="6" s="1"/>
  <c r="I388" i="6" s="1"/>
  <c r="D388" i="6"/>
  <c r="E388" i="6" s="1"/>
  <c r="H387" i="6"/>
  <c r="J387" i="6" s="1"/>
  <c r="I387" i="6" s="1"/>
  <c r="E387" i="6"/>
  <c r="F387" i="6" s="1"/>
  <c r="H386" i="6"/>
  <c r="J386" i="6" s="1"/>
  <c r="I386" i="6" s="1"/>
  <c r="D386" i="6"/>
  <c r="E386" i="6" s="1"/>
  <c r="H385" i="6"/>
  <c r="J385" i="6" s="1"/>
  <c r="I385" i="6" s="1"/>
  <c r="D385" i="6"/>
  <c r="E385" i="6" s="1"/>
  <c r="H384" i="6"/>
  <c r="J384" i="6" s="1"/>
  <c r="I384" i="6" s="1"/>
  <c r="E384" i="6"/>
  <c r="F384" i="6" s="1"/>
  <c r="H383" i="6"/>
  <c r="J383" i="6" s="1"/>
  <c r="I383" i="6" s="1"/>
  <c r="E383" i="6"/>
  <c r="F383" i="6" s="1"/>
  <c r="H382" i="6"/>
  <c r="J382" i="6" s="1"/>
  <c r="I382" i="6" s="1"/>
  <c r="E382" i="6"/>
  <c r="F382" i="6" s="1"/>
  <c r="H381" i="6"/>
  <c r="J381" i="6" s="1"/>
  <c r="I381" i="6" s="1"/>
  <c r="D381" i="6"/>
  <c r="E381" i="6" s="1"/>
  <c r="H380" i="6"/>
  <c r="J380" i="6" s="1"/>
  <c r="I380" i="6" s="1"/>
  <c r="D380" i="6"/>
  <c r="E380" i="6" s="1"/>
  <c r="H379" i="6"/>
  <c r="J379" i="6" s="1"/>
  <c r="I379" i="6" s="1"/>
  <c r="D379" i="6"/>
  <c r="E379" i="6" s="1"/>
  <c r="H377" i="6"/>
  <c r="J377" i="6" s="1"/>
  <c r="I377" i="6" s="1"/>
  <c r="E377" i="6"/>
  <c r="F377" i="6" s="1"/>
  <c r="H376" i="6"/>
  <c r="J376" i="6" s="1"/>
  <c r="I376" i="6" s="1"/>
  <c r="E376" i="6"/>
  <c r="F376" i="6" s="1"/>
  <c r="H373" i="6"/>
  <c r="J373" i="6" s="1"/>
  <c r="I373" i="6" s="1"/>
  <c r="D373" i="6"/>
  <c r="E373" i="6" s="1"/>
  <c r="H372" i="6"/>
  <c r="J372" i="6" s="1"/>
  <c r="I372" i="6" s="1"/>
  <c r="D372" i="6"/>
  <c r="E372" i="6" s="1"/>
  <c r="H371" i="6"/>
  <c r="J371" i="6" s="1"/>
  <c r="I371" i="6" s="1"/>
  <c r="D371" i="6"/>
  <c r="E371" i="6" s="1"/>
  <c r="H370" i="6"/>
  <c r="J370" i="6" s="1"/>
  <c r="I370" i="6" s="1"/>
  <c r="D370" i="6"/>
  <c r="E370" i="6" s="1"/>
  <c r="H369" i="6"/>
  <c r="J369" i="6" s="1"/>
  <c r="I369" i="6" s="1"/>
  <c r="H368" i="6"/>
  <c r="J368" i="6" s="1"/>
  <c r="I368" i="6" s="1"/>
  <c r="D368" i="6"/>
  <c r="E368" i="6" s="1"/>
  <c r="H367" i="6"/>
  <c r="J367" i="6" s="1"/>
  <c r="I367" i="6" s="1"/>
  <c r="D367" i="6"/>
  <c r="E367" i="6" s="1"/>
  <c r="H366" i="6"/>
  <c r="J366" i="6" s="1"/>
  <c r="I366" i="6" s="1"/>
  <c r="D366" i="6"/>
  <c r="E366" i="6" s="1"/>
  <c r="H365" i="6"/>
  <c r="J365" i="6" s="1"/>
  <c r="I365" i="6" s="1"/>
  <c r="D365" i="6"/>
  <c r="E365" i="6" s="1"/>
  <c r="H364" i="6"/>
  <c r="J364" i="6" s="1"/>
  <c r="I364" i="6" s="1"/>
  <c r="D364" i="6"/>
  <c r="E364" i="6" s="1"/>
  <c r="H363" i="6"/>
  <c r="J363" i="6" s="1"/>
  <c r="I363" i="6" s="1"/>
  <c r="D363" i="6"/>
  <c r="E363" i="6" s="1"/>
  <c r="H362" i="6"/>
  <c r="J362" i="6" s="1"/>
  <c r="I362" i="6" s="1"/>
  <c r="D362" i="6"/>
  <c r="E362" i="6" s="1"/>
  <c r="H361" i="6"/>
  <c r="J361" i="6" s="1"/>
  <c r="I361" i="6" s="1"/>
  <c r="D361" i="6"/>
  <c r="E361" i="6" s="1"/>
  <c r="H360" i="6"/>
  <c r="J360" i="6" s="1"/>
  <c r="I360" i="6" s="1"/>
  <c r="D360" i="6"/>
  <c r="E360" i="6" s="1"/>
  <c r="H358" i="6"/>
  <c r="J358" i="6" s="1"/>
  <c r="I358" i="6" s="1"/>
  <c r="D358" i="6"/>
  <c r="E358" i="6" s="1"/>
  <c r="H357" i="6"/>
  <c r="J357" i="6" s="1"/>
  <c r="I357" i="6" s="1"/>
  <c r="D357" i="6"/>
  <c r="E357" i="6" s="1"/>
  <c r="H356" i="6"/>
  <c r="J356" i="6" s="1"/>
  <c r="I356" i="6" s="1"/>
  <c r="E356" i="6"/>
  <c r="F356" i="6" s="1"/>
  <c r="H355" i="6"/>
  <c r="J355" i="6" s="1"/>
  <c r="I355" i="6" s="1"/>
  <c r="D355" i="6"/>
  <c r="E355" i="6" s="1"/>
  <c r="H354" i="6"/>
  <c r="J354" i="6" s="1"/>
  <c r="I354" i="6" s="1"/>
  <c r="E354" i="6"/>
  <c r="F354" i="6" s="1"/>
  <c r="H353" i="6"/>
  <c r="J353" i="6" s="1"/>
  <c r="I353" i="6" s="1"/>
  <c r="E353" i="6"/>
  <c r="F353" i="6" s="1"/>
  <c r="H350" i="6"/>
  <c r="J350" i="6" s="1"/>
  <c r="I350" i="6" s="1"/>
  <c r="D350" i="6"/>
  <c r="E350" i="6" s="1"/>
  <c r="H349" i="6"/>
  <c r="J349" i="6" s="1"/>
  <c r="I349" i="6" s="1"/>
  <c r="D349" i="6"/>
  <c r="E349" i="6" s="1"/>
  <c r="H348" i="6"/>
  <c r="J348" i="6" s="1"/>
  <c r="I348" i="6" s="1"/>
  <c r="D348" i="6"/>
  <c r="E348" i="6" s="1"/>
  <c r="H347" i="6"/>
  <c r="J347" i="6" s="1"/>
  <c r="I347" i="6" s="1"/>
  <c r="D347" i="6"/>
  <c r="E347" i="6" s="1"/>
  <c r="H346" i="6"/>
  <c r="J346" i="6" s="1"/>
  <c r="I346" i="6" s="1"/>
  <c r="D346" i="6"/>
  <c r="E346" i="6" s="1"/>
  <c r="H345" i="6"/>
  <c r="J345" i="6" s="1"/>
  <c r="I345" i="6" s="1"/>
  <c r="D345" i="6"/>
  <c r="E345" i="6" s="1"/>
  <c r="H344" i="6"/>
  <c r="J344" i="6" s="1"/>
  <c r="I344" i="6" s="1"/>
  <c r="D344" i="6"/>
  <c r="E344" i="6" s="1"/>
  <c r="H343" i="6"/>
  <c r="J343" i="6" s="1"/>
  <c r="I343" i="6" s="1"/>
  <c r="D343" i="6"/>
  <c r="E343" i="6" s="1"/>
  <c r="H342" i="6"/>
  <c r="J342" i="6" s="1"/>
  <c r="I342" i="6" s="1"/>
  <c r="D342" i="6"/>
  <c r="E342" i="6" s="1"/>
  <c r="H341" i="6"/>
  <c r="J341" i="6" s="1"/>
  <c r="I341" i="6" s="1"/>
  <c r="D341" i="6"/>
  <c r="E341" i="6" s="1"/>
  <c r="H340" i="6"/>
  <c r="J340" i="6" s="1"/>
  <c r="I340" i="6" s="1"/>
  <c r="D340" i="6"/>
  <c r="E340" i="6" s="1"/>
  <c r="H339" i="6"/>
  <c r="J339" i="6" s="1"/>
  <c r="I339" i="6" s="1"/>
  <c r="D339" i="6"/>
  <c r="E339" i="6" s="1"/>
  <c r="H338" i="6"/>
  <c r="J338" i="6" s="1"/>
  <c r="I338" i="6" s="1"/>
  <c r="D338" i="6"/>
  <c r="E338" i="6" s="1"/>
  <c r="H337" i="6"/>
  <c r="J337" i="6" s="1"/>
  <c r="I337" i="6" s="1"/>
  <c r="D337" i="6"/>
  <c r="E337" i="6" s="1"/>
  <c r="H336" i="6"/>
  <c r="J336" i="6" s="1"/>
  <c r="I336" i="6" s="1"/>
  <c r="D336" i="6"/>
  <c r="E336" i="6" s="1"/>
  <c r="H335" i="6"/>
  <c r="J335" i="6" s="1"/>
  <c r="I335" i="6" s="1"/>
  <c r="D335" i="6"/>
  <c r="E335" i="6" s="1"/>
  <c r="H334" i="6"/>
  <c r="J334" i="6" s="1"/>
  <c r="I334" i="6" s="1"/>
  <c r="D334" i="6"/>
  <c r="E334" i="6" s="1"/>
  <c r="H333" i="6"/>
  <c r="J333" i="6" s="1"/>
  <c r="I333" i="6" s="1"/>
  <c r="D333" i="6"/>
  <c r="E333" i="6" s="1"/>
  <c r="H332" i="6"/>
  <c r="J332" i="6" s="1"/>
  <c r="I332" i="6" s="1"/>
  <c r="D332" i="6"/>
  <c r="E332" i="6" s="1"/>
  <c r="H331" i="6"/>
  <c r="J331" i="6" s="1"/>
  <c r="I331" i="6" s="1"/>
  <c r="D331" i="6"/>
  <c r="E331" i="6" s="1"/>
  <c r="H330" i="6"/>
  <c r="J330" i="6" s="1"/>
  <c r="I330" i="6" s="1"/>
  <c r="D330" i="6"/>
  <c r="E330" i="6" s="1"/>
  <c r="H329" i="6"/>
  <c r="J329" i="6" s="1"/>
  <c r="I329" i="6" s="1"/>
  <c r="E329" i="6"/>
  <c r="F329" i="6" s="1"/>
  <c r="H328" i="6"/>
  <c r="J328" i="6" s="1"/>
  <c r="I328" i="6" s="1"/>
  <c r="D328" i="6"/>
  <c r="E328" i="6" s="1"/>
  <c r="H325" i="6"/>
  <c r="J325" i="6" s="1"/>
  <c r="I325" i="6" s="1"/>
  <c r="D325" i="6"/>
  <c r="E325" i="6" s="1"/>
  <c r="H324" i="6"/>
  <c r="J324" i="6" s="1"/>
  <c r="I324" i="6" s="1"/>
  <c r="D324" i="6"/>
  <c r="E324" i="6" s="1"/>
  <c r="H323" i="6"/>
  <c r="J323" i="6" s="1"/>
  <c r="I323" i="6" s="1"/>
  <c r="D323" i="6"/>
  <c r="E323" i="6" s="1"/>
  <c r="H322" i="6"/>
  <c r="J322" i="6" s="1"/>
  <c r="I322" i="6" s="1"/>
  <c r="D322" i="6"/>
  <c r="E322" i="6" s="1"/>
  <c r="H321" i="6"/>
  <c r="J321" i="6" s="1"/>
  <c r="I321" i="6" s="1"/>
  <c r="D321" i="6"/>
  <c r="E321" i="6" s="1"/>
  <c r="H320" i="6"/>
  <c r="J320" i="6" s="1"/>
  <c r="I320" i="6" s="1"/>
  <c r="D320" i="6"/>
  <c r="E320" i="6" s="1"/>
  <c r="H319" i="6"/>
  <c r="J319" i="6" s="1"/>
  <c r="I319" i="6" s="1"/>
  <c r="D319" i="6"/>
  <c r="E319" i="6" s="1"/>
  <c r="H318" i="6"/>
  <c r="J318" i="6" s="1"/>
  <c r="I318" i="6" s="1"/>
  <c r="D318" i="6"/>
  <c r="E318" i="6" s="1"/>
  <c r="H317" i="6"/>
  <c r="J317" i="6" s="1"/>
  <c r="I317" i="6" s="1"/>
  <c r="D317" i="6"/>
  <c r="E317" i="6" s="1"/>
  <c r="H316" i="6"/>
  <c r="J316" i="6" s="1"/>
  <c r="I316" i="6" s="1"/>
  <c r="D316" i="6"/>
  <c r="E316" i="6" s="1"/>
  <c r="H315" i="6"/>
  <c r="J315" i="6" s="1"/>
  <c r="I315" i="6" s="1"/>
  <c r="D315" i="6"/>
  <c r="E315" i="6" s="1"/>
  <c r="H314" i="6"/>
  <c r="J314" i="6" s="1"/>
  <c r="I314" i="6" s="1"/>
  <c r="D314" i="6"/>
  <c r="E314" i="6" s="1"/>
  <c r="H313" i="6"/>
  <c r="J313" i="6" s="1"/>
  <c r="I313" i="6" s="1"/>
  <c r="D313" i="6"/>
  <c r="E313" i="6" s="1"/>
  <c r="H312" i="6"/>
  <c r="J312" i="6" s="1"/>
  <c r="I312" i="6" s="1"/>
  <c r="D312" i="6"/>
  <c r="E312" i="6" s="1"/>
  <c r="H311" i="6"/>
  <c r="J311" i="6" s="1"/>
  <c r="I311" i="6" s="1"/>
  <c r="D311" i="6"/>
  <c r="E311" i="6" s="1"/>
  <c r="H310" i="6"/>
  <c r="J310" i="6" s="1"/>
  <c r="I310" i="6" s="1"/>
  <c r="D310" i="6"/>
  <c r="E310" i="6" s="1"/>
  <c r="H309" i="6"/>
  <c r="J309" i="6" s="1"/>
  <c r="I309" i="6" s="1"/>
  <c r="D309" i="6"/>
  <c r="E309" i="6" s="1"/>
  <c r="H308" i="6"/>
  <c r="J308" i="6" s="1"/>
  <c r="I308" i="6" s="1"/>
  <c r="D308" i="6"/>
  <c r="E308" i="6" s="1"/>
  <c r="H307" i="6"/>
  <c r="J307" i="6" s="1"/>
  <c r="I307" i="6" s="1"/>
  <c r="D307" i="6"/>
  <c r="E307" i="6" s="1"/>
  <c r="H306" i="6"/>
  <c r="J306" i="6" s="1"/>
  <c r="I306" i="6" s="1"/>
  <c r="D306" i="6"/>
  <c r="E306" i="6" s="1"/>
  <c r="H305" i="6"/>
  <c r="J305" i="6" s="1"/>
  <c r="I305" i="6" s="1"/>
  <c r="D305" i="6"/>
  <c r="E305" i="6" s="1"/>
  <c r="H304" i="6"/>
  <c r="J304" i="6" s="1"/>
  <c r="I304" i="6" s="1"/>
  <c r="D304" i="6"/>
  <c r="E304" i="6" s="1"/>
  <c r="H303" i="6"/>
  <c r="J303" i="6" s="1"/>
  <c r="I303" i="6" s="1"/>
  <c r="D303" i="6"/>
  <c r="E303" i="6" s="1"/>
  <c r="H301" i="6"/>
  <c r="J301" i="6" s="1"/>
  <c r="I301" i="6" s="1"/>
  <c r="H300" i="6"/>
  <c r="J300" i="6" s="1"/>
  <c r="I300" i="6" s="1"/>
  <c r="H299" i="6"/>
  <c r="J299" i="6" s="1"/>
  <c r="I299" i="6" s="1"/>
  <c r="H298" i="6"/>
  <c r="J298" i="6" s="1"/>
  <c r="I298" i="6" s="1"/>
  <c r="H297" i="6"/>
  <c r="J297" i="6" s="1"/>
  <c r="I297" i="6" s="1"/>
  <c r="H296" i="6"/>
  <c r="J296" i="6" s="1"/>
  <c r="I296" i="6" s="1"/>
  <c r="H295" i="6"/>
  <c r="J295" i="6" s="1"/>
  <c r="I295" i="6" s="1"/>
  <c r="H294" i="6"/>
  <c r="J294" i="6" s="1"/>
  <c r="I294" i="6" s="1"/>
  <c r="H293" i="6"/>
  <c r="J293" i="6" s="1"/>
  <c r="I293" i="6" s="1"/>
  <c r="H292" i="6"/>
  <c r="J292" i="6" s="1"/>
  <c r="I292" i="6" s="1"/>
  <c r="H291" i="6"/>
  <c r="J291" i="6" s="1"/>
  <c r="I291" i="6" s="1"/>
  <c r="H290" i="6"/>
  <c r="J290" i="6" s="1"/>
  <c r="I290" i="6" s="1"/>
  <c r="H289" i="6"/>
  <c r="J289" i="6" s="1"/>
  <c r="I289" i="6" s="1"/>
  <c r="H288" i="6"/>
  <c r="J288" i="6" s="1"/>
  <c r="I288" i="6" s="1"/>
  <c r="H286" i="6"/>
  <c r="J286" i="6" s="1"/>
  <c r="I286" i="6" s="1"/>
  <c r="D286" i="6"/>
  <c r="E286" i="6" s="1"/>
  <c r="H285" i="6"/>
  <c r="J285" i="6" s="1"/>
  <c r="I285" i="6" s="1"/>
  <c r="D285" i="6"/>
  <c r="E285" i="6" s="1"/>
  <c r="H284" i="6"/>
  <c r="J284" i="6" s="1"/>
  <c r="I284" i="6" s="1"/>
  <c r="D284" i="6"/>
  <c r="E284" i="6" s="1"/>
  <c r="H283" i="6"/>
  <c r="J283" i="6" s="1"/>
  <c r="I283" i="6" s="1"/>
  <c r="D283" i="6"/>
  <c r="E283" i="6" s="1"/>
  <c r="H281" i="6"/>
  <c r="J281" i="6" s="1"/>
  <c r="I281" i="6" s="1"/>
  <c r="D281" i="6"/>
  <c r="E281" i="6" s="1"/>
  <c r="H280" i="6"/>
  <c r="J280" i="6" s="1"/>
  <c r="I280" i="6" s="1"/>
  <c r="D280" i="6"/>
  <c r="E280" i="6" s="1"/>
  <c r="H279" i="6"/>
  <c r="J279" i="6" s="1"/>
  <c r="I279" i="6" s="1"/>
  <c r="D279" i="6"/>
  <c r="E279" i="6" s="1"/>
  <c r="H277" i="6"/>
  <c r="J277" i="6" s="1"/>
  <c r="I277" i="6" s="1"/>
  <c r="D277" i="6"/>
  <c r="E277" i="6" s="1"/>
  <c r="H276" i="6"/>
  <c r="J276" i="6" s="1"/>
  <c r="I276" i="6" s="1"/>
  <c r="D276" i="6"/>
  <c r="E276" i="6" s="1"/>
  <c r="H275" i="6"/>
  <c r="J275" i="6" s="1"/>
  <c r="I275" i="6" s="1"/>
  <c r="D275" i="6"/>
  <c r="E275" i="6" s="1"/>
  <c r="H274" i="6"/>
  <c r="J274" i="6" s="1"/>
  <c r="I274" i="6" s="1"/>
  <c r="D274" i="6"/>
  <c r="E274" i="6" s="1"/>
  <c r="H273" i="6"/>
  <c r="J273" i="6" s="1"/>
  <c r="I273" i="6" s="1"/>
  <c r="D273" i="6"/>
  <c r="E273" i="6" s="1"/>
  <c r="H272" i="6"/>
  <c r="J272" i="6" s="1"/>
  <c r="I272" i="6" s="1"/>
  <c r="D272" i="6"/>
  <c r="E272" i="6" s="1"/>
  <c r="H271" i="6"/>
  <c r="J271" i="6" s="1"/>
  <c r="I271" i="6" s="1"/>
  <c r="D271" i="6"/>
  <c r="E271" i="6" s="1"/>
  <c r="H270" i="6"/>
  <c r="J270" i="6" s="1"/>
  <c r="I270" i="6" s="1"/>
  <c r="D270" i="6"/>
  <c r="E270" i="6" s="1"/>
  <c r="H269" i="6"/>
  <c r="J269" i="6" s="1"/>
  <c r="I269" i="6" s="1"/>
  <c r="D269" i="6"/>
  <c r="E269" i="6" s="1"/>
  <c r="H268" i="6"/>
  <c r="J268" i="6" s="1"/>
  <c r="I268" i="6" s="1"/>
  <c r="D268" i="6"/>
  <c r="E268" i="6" s="1"/>
  <c r="H267" i="6"/>
  <c r="J267" i="6" s="1"/>
  <c r="I267" i="6" s="1"/>
  <c r="D267" i="6"/>
  <c r="E267" i="6" s="1"/>
  <c r="H266" i="6"/>
  <c r="J266" i="6" s="1"/>
  <c r="I266" i="6" s="1"/>
  <c r="D266" i="6"/>
  <c r="E266" i="6" s="1"/>
  <c r="H264" i="6"/>
  <c r="J264" i="6" s="1"/>
  <c r="I264" i="6" s="1"/>
  <c r="E264" i="6"/>
  <c r="F264" i="6" s="1"/>
  <c r="H263" i="6"/>
  <c r="J263" i="6" s="1"/>
  <c r="I263" i="6" s="1"/>
  <c r="E263" i="6"/>
  <c r="F263" i="6" s="1"/>
  <c r="H262" i="6"/>
  <c r="J262" i="6" s="1"/>
  <c r="I262" i="6" s="1"/>
  <c r="D262" i="6"/>
  <c r="E262" i="6" s="1"/>
  <c r="H261" i="6"/>
  <c r="J261" i="6" s="1"/>
  <c r="I261" i="6" s="1"/>
  <c r="D261" i="6"/>
  <c r="E261" i="6" s="1"/>
  <c r="H259" i="6"/>
  <c r="J259" i="6" s="1"/>
  <c r="I259" i="6" s="1"/>
  <c r="D259" i="6"/>
  <c r="E259" i="6" s="1"/>
  <c r="H258" i="6"/>
  <c r="J258" i="6" s="1"/>
  <c r="I258" i="6" s="1"/>
  <c r="D258" i="6"/>
  <c r="E258" i="6" s="1"/>
  <c r="H257" i="6"/>
  <c r="J257" i="6" s="1"/>
  <c r="I257" i="6" s="1"/>
  <c r="D257" i="6"/>
  <c r="E257" i="6" s="1"/>
  <c r="H255" i="6"/>
  <c r="J255" i="6" s="1"/>
  <c r="I255" i="6" s="1"/>
  <c r="D255" i="6"/>
  <c r="E255" i="6" s="1"/>
  <c r="H254" i="6"/>
  <c r="J254" i="6" s="1"/>
  <c r="I254" i="6" s="1"/>
  <c r="D254" i="6"/>
  <c r="E254" i="6" s="1"/>
  <c r="H253" i="6"/>
  <c r="J253" i="6" s="1"/>
  <c r="I253" i="6" s="1"/>
  <c r="D253" i="6"/>
  <c r="E253" i="6" s="1"/>
  <c r="H252" i="6"/>
  <c r="J252" i="6" s="1"/>
  <c r="I252" i="6" s="1"/>
  <c r="D252" i="6"/>
  <c r="E252" i="6" s="1"/>
  <c r="H251" i="6"/>
  <c r="J251" i="6" s="1"/>
  <c r="I251" i="6" s="1"/>
  <c r="D251" i="6"/>
  <c r="E251" i="6" s="1"/>
  <c r="H250" i="6"/>
  <c r="J250" i="6" s="1"/>
  <c r="I250" i="6" s="1"/>
  <c r="D250" i="6"/>
  <c r="E250" i="6" s="1"/>
  <c r="H248" i="6"/>
  <c r="J248" i="6" s="1"/>
  <c r="I248" i="6" s="1"/>
  <c r="D248" i="6"/>
  <c r="E248" i="6" s="1"/>
  <c r="H247" i="6"/>
  <c r="J247" i="6" s="1"/>
  <c r="I247" i="6" s="1"/>
  <c r="E247" i="6"/>
  <c r="F247" i="6" s="1"/>
  <c r="H246" i="6"/>
  <c r="J246" i="6" s="1"/>
  <c r="I246" i="6" s="1"/>
  <c r="E246" i="6"/>
  <c r="F246" i="6" s="1"/>
  <c r="H245" i="6"/>
  <c r="J245" i="6" s="1"/>
  <c r="I245" i="6" s="1"/>
  <c r="E245" i="6"/>
  <c r="F245" i="6" s="1"/>
  <c r="H244" i="6"/>
  <c r="J244" i="6" s="1"/>
  <c r="I244" i="6" s="1"/>
  <c r="D244" i="6"/>
  <c r="E244" i="6" s="1"/>
  <c r="H243" i="6"/>
  <c r="J243" i="6" s="1"/>
  <c r="I243" i="6" s="1"/>
  <c r="D243" i="6"/>
  <c r="E243" i="6" s="1"/>
  <c r="H241" i="6"/>
  <c r="J241" i="6" s="1"/>
  <c r="I241" i="6" s="1"/>
  <c r="D241" i="6"/>
  <c r="E241" i="6" s="1"/>
  <c r="H240" i="6"/>
  <c r="J240" i="6" s="1"/>
  <c r="I240" i="6" s="1"/>
  <c r="D240" i="6"/>
  <c r="E240" i="6" s="1"/>
  <c r="F239" i="6"/>
  <c r="G239" i="6" s="1"/>
  <c r="H239" i="6" s="1"/>
  <c r="J239" i="6" s="1"/>
  <c r="I239" i="6" s="1"/>
  <c r="H238" i="6"/>
  <c r="J238" i="6" s="1"/>
  <c r="I238" i="6" s="1"/>
  <c r="D238" i="6"/>
  <c r="E238" i="6" s="1"/>
  <c r="H237" i="6"/>
  <c r="J237" i="6" s="1"/>
  <c r="I237" i="6" s="1"/>
  <c r="D237" i="6"/>
  <c r="E237" i="6" s="1"/>
  <c r="H236" i="6"/>
  <c r="J236" i="6" s="1"/>
  <c r="I236" i="6" s="1"/>
  <c r="D236" i="6"/>
  <c r="E236" i="6" s="1"/>
  <c r="H235" i="6"/>
  <c r="J235" i="6" s="1"/>
  <c r="I235" i="6" s="1"/>
  <c r="D235" i="6"/>
  <c r="E235" i="6" s="1"/>
  <c r="H234" i="6"/>
  <c r="J234" i="6" s="1"/>
  <c r="I234" i="6" s="1"/>
  <c r="D234" i="6"/>
  <c r="E234" i="6" s="1"/>
  <c r="H233" i="6"/>
  <c r="J233" i="6" s="1"/>
  <c r="I233" i="6" s="1"/>
  <c r="D233" i="6"/>
  <c r="E233" i="6" s="1"/>
  <c r="H232" i="6"/>
  <c r="J232" i="6" s="1"/>
  <c r="I232" i="6" s="1"/>
  <c r="D232" i="6"/>
  <c r="E232" i="6" s="1"/>
  <c r="H231" i="6"/>
  <c r="J231" i="6" s="1"/>
  <c r="I231" i="6" s="1"/>
  <c r="D231" i="6"/>
  <c r="E231" i="6" s="1"/>
  <c r="H229" i="6"/>
  <c r="J229" i="6" s="1"/>
  <c r="I229" i="6" s="1"/>
  <c r="D229" i="6"/>
  <c r="E229" i="6" s="1"/>
  <c r="H228" i="6"/>
  <c r="J228" i="6" s="1"/>
  <c r="I228" i="6" s="1"/>
  <c r="D228" i="6"/>
  <c r="E228" i="6" s="1"/>
  <c r="H227" i="6"/>
  <c r="J227" i="6" s="1"/>
  <c r="I227" i="6" s="1"/>
  <c r="D227" i="6"/>
  <c r="E227" i="6" s="1"/>
  <c r="H226" i="6"/>
  <c r="J226" i="6" s="1"/>
  <c r="I226" i="6" s="1"/>
  <c r="D226" i="6"/>
  <c r="E226" i="6" s="1"/>
  <c r="H225" i="6"/>
  <c r="J225" i="6" s="1"/>
  <c r="I225" i="6" s="1"/>
  <c r="D225" i="6"/>
  <c r="E225" i="6" s="1"/>
  <c r="H224" i="6"/>
  <c r="J224" i="6" s="1"/>
  <c r="I224" i="6" s="1"/>
  <c r="D224" i="6"/>
  <c r="E224" i="6" s="1"/>
  <c r="H223" i="6"/>
  <c r="J223" i="6" s="1"/>
  <c r="I223" i="6" s="1"/>
  <c r="D223" i="6"/>
  <c r="E223" i="6" s="1"/>
  <c r="H222" i="6"/>
  <c r="J222" i="6" s="1"/>
  <c r="I222" i="6" s="1"/>
  <c r="D222" i="6"/>
  <c r="E222" i="6" s="1"/>
  <c r="H221" i="6"/>
  <c r="J221" i="6" s="1"/>
  <c r="I221" i="6" s="1"/>
  <c r="H220" i="6"/>
  <c r="J220" i="6" s="1"/>
  <c r="I220" i="6" s="1"/>
  <c r="H218" i="6"/>
  <c r="J218" i="6" s="1"/>
  <c r="I218" i="6" s="1"/>
  <c r="H216" i="6"/>
  <c r="J216" i="6" s="1"/>
  <c r="I216" i="6" s="1"/>
  <c r="E216" i="6"/>
  <c r="F216" i="6" s="1"/>
  <c r="H215" i="6"/>
  <c r="J215" i="6" s="1"/>
  <c r="I215" i="6" s="1"/>
  <c r="E215" i="6"/>
  <c r="F215" i="6" s="1"/>
  <c r="H214" i="6"/>
  <c r="J214" i="6" s="1"/>
  <c r="I214" i="6" s="1"/>
  <c r="E214" i="6"/>
  <c r="F214" i="6" s="1"/>
  <c r="H213" i="6"/>
  <c r="J213" i="6" s="1"/>
  <c r="I213" i="6" s="1"/>
  <c r="E213" i="6"/>
  <c r="F213" i="6" s="1"/>
  <c r="H212" i="6"/>
  <c r="J212" i="6" s="1"/>
  <c r="I212" i="6" s="1"/>
  <c r="E212" i="6"/>
  <c r="F212" i="6" s="1"/>
  <c r="H211" i="6"/>
  <c r="J211" i="6" s="1"/>
  <c r="I211" i="6" s="1"/>
  <c r="E211" i="6"/>
  <c r="F211" i="6" s="1"/>
  <c r="H210" i="6"/>
  <c r="J210" i="6" s="1"/>
  <c r="I210" i="6" s="1"/>
  <c r="D210" i="6"/>
  <c r="E210" i="6" s="1"/>
  <c r="H208" i="6"/>
  <c r="J208" i="6" s="1"/>
  <c r="I208" i="6" s="1"/>
  <c r="D208" i="6"/>
  <c r="E208" i="6" s="1"/>
  <c r="H207" i="6"/>
  <c r="J207" i="6" s="1"/>
  <c r="I207" i="6" s="1"/>
  <c r="D207" i="6"/>
  <c r="E207" i="6" s="1"/>
  <c r="H206" i="6"/>
  <c r="J206" i="6" s="1"/>
  <c r="I206" i="6" s="1"/>
  <c r="D206" i="6"/>
  <c r="E206" i="6" s="1"/>
  <c r="H205" i="6"/>
  <c r="J205" i="6" s="1"/>
  <c r="I205" i="6" s="1"/>
  <c r="D205" i="6"/>
  <c r="E205" i="6" s="1"/>
  <c r="H204" i="6"/>
  <c r="J204" i="6" s="1"/>
  <c r="I204" i="6" s="1"/>
  <c r="D204" i="6"/>
  <c r="E204" i="6" s="1"/>
  <c r="H203" i="6"/>
  <c r="J203" i="6" s="1"/>
  <c r="I203" i="6" s="1"/>
  <c r="D203" i="6"/>
  <c r="E203" i="6" s="1"/>
  <c r="H202" i="6"/>
  <c r="J202" i="6" s="1"/>
  <c r="I202" i="6" s="1"/>
  <c r="D202" i="6"/>
  <c r="E202" i="6" s="1"/>
  <c r="H200" i="6"/>
  <c r="J200" i="6" s="1"/>
  <c r="I200" i="6" s="1"/>
  <c r="E200" i="6"/>
  <c r="F200" i="6" s="1"/>
  <c r="H199" i="6"/>
  <c r="J199" i="6" s="1"/>
  <c r="I199" i="6" s="1"/>
  <c r="E199" i="6"/>
  <c r="F199" i="6" s="1"/>
  <c r="H198" i="6"/>
  <c r="J198" i="6" s="1"/>
  <c r="I198" i="6" s="1"/>
  <c r="E198" i="6"/>
  <c r="F198" i="6" s="1"/>
  <c r="H197" i="6"/>
  <c r="J197" i="6" s="1"/>
  <c r="I197" i="6" s="1"/>
  <c r="D197" i="6"/>
  <c r="E197" i="6" s="1"/>
  <c r="H196" i="6"/>
  <c r="J196" i="6" s="1"/>
  <c r="I196" i="6" s="1"/>
  <c r="E196" i="6"/>
  <c r="F196" i="6" s="1"/>
  <c r="H195" i="6"/>
  <c r="J195" i="6" s="1"/>
  <c r="I195" i="6" s="1"/>
  <c r="D195" i="6"/>
  <c r="E195" i="6" s="1"/>
  <c r="H194" i="6"/>
  <c r="J194" i="6" s="1"/>
  <c r="I194" i="6" s="1"/>
  <c r="D194" i="6"/>
  <c r="E194" i="6" s="1"/>
  <c r="H193" i="6"/>
  <c r="J193" i="6" s="1"/>
  <c r="I193" i="6" s="1"/>
  <c r="D193" i="6"/>
  <c r="E193" i="6" s="1"/>
  <c r="H192" i="6"/>
  <c r="J192" i="6" s="1"/>
  <c r="I192" i="6" s="1"/>
  <c r="D192" i="6"/>
  <c r="E192" i="6" s="1"/>
  <c r="H191" i="6"/>
  <c r="J191" i="6" s="1"/>
  <c r="I191" i="6" s="1"/>
  <c r="D191" i="6"/>
  <c r="E191" i="6" s="1"/>
  <c r="H188" i="6"/>
  <c r="J188" i="6" s="1"/>
  <c r="I188" i="6" s="1"/>
  <c r="E188" i="6"/>
  <c r="F188" i="6" s="1"/>
  <c r="H187" i="6"/>
  <c r="J187" i="6" s="1"/>
  <c r="I187" i="6" s="1"/>
  <c r="D187" i="6"/>
  <c r="E187" i="6" s="1"/>
  <c r="H186" i="6"/>
  <c r="J186" i="6" s="1"/>
  <c r="I186" i="6" s="1"/>
  <c r="D186" i="6"/>
  <c r="E186" i="6" s="1"/>
  <c r="H184" i="6"/>
  <c r="J184" i="6" s="1"/>
  <c r="I184" i="6" s="1"/>
  <c r="H183" i="6"/>
  <c r="J183" i="6" s="1"/>
  <c r="I183" i="6" s="1"/>
  <c r="D183" i="6"/>
  <c r="E183" i="6" s="1"/>
  <c r="H182" i="6"/>
  <c r="J182" i="6" s="1"/>
  <c r="I182" i="6" s="1"/>
  <c r="H181" i="6"/>
  <c r="J181" i="6" s="1"/>
  <c r="I181" i="6" s="1"/>
  <c r="H178" i="6"/>
  <c r="J178" i="6" s="1"/>
  <c r="I178" i="6" s="1"/>
  <c r="H177" i="6"/>
  <c r="J177" i="6" s="1"/>
  <c r="I177" i="6" s="1"/>
  <c r="H176" i="6"/>
  <c r="J176" i="6" s="1"/>
  <c r="I176" i="6" s="1"/>
  <c r="D176" i="6"/>
  <c r="E176" i="6" s="1"/>
  <c r="H175" i="6"/>
  <c r="J175" i="6" s="1"/>
  <c r="I175" i="6" s="1"/>
  <c r="D175" i="6"/>
  <c r="E175" i="6" s="1"/>
  <c r="H174" i="6"/>
  <c r="J174" i="6" s="1"/>
  <c r="I174" i="6" s="1"/>
  <c r="D174" i="6"/>
  <c r="E174" i="6" s="1"/>
  <c r="H173" i="6"/>
  <c r="J173" i="6" s="1"/>
  <c r="I173" i="6" s="1"/>
  <c r="D173" i="6"/>
  <c r="E173" i="6" s="1"/>
  <c r="H171" i="6"/>
  <c r="J171" i="6" s="1"/>
  <c r="I171" i="6" s="1"/>
  <c r="D171" i="6"/>
  <c r="E171" i="6" s="1"/>
  <c r="H170" i="6"/>
  <c r="J170" i="6" s="1"/>
  <c r="I170" i="6" s="1"/>
  <c r="D170" i="6"/>
  <c r="E170" i="6" s="1"/>
  <c r="H169" i="6"/>
  <c r="J169" i="6" s="1"/>
  <c r="I169" i="6" s="1"/>
  <c r="E169" i="6"/>
  <c r="F169" i="6" s="1"/>
  <c r="H168" i="6"/>
  <c r="J168" i="6" s="1"/>
  <c r="I168" i="6" s="1"/>
  <c r="E168" i="6"/>
  <c r="F168" i="6" s="1"/>
  <c r="H167" i="6"/>
  <c r="J167" i="6" s="1"/>
  <c r="I167" i="6" s="1"/>
  <c r="D167" i="6"/>
  <c r="E167" i="6" s="1"/>
  <c r="H166" i="6"/>
  <c r="J166" i="6" s="1"/>
  <c r="I166" i="6" s="1"/>
  <c r="D166" i="6"/>
  <c r="E166" i="6" s="1"/>
  <c r="H165" i="6"/>
  <c r="J165" i="6" s="1"/>
  <c r="I165" i="6" s="1"/>
  <c r="D165" i="6"/>
  <c r="E165" i="6" s="1"/>
  <c r="H164" i="6"/>
  <c r="J164" i="6" s="1"/>
  <c r="I164" i="6" s="1"/>
  <c r="D164" i="6"/>
  <c r="E164" i="6" s="1"/>
  <c r="H163" i="6"/>
  <c r="J163" i="6" s="1"/>
  <c r="I163" i="6" s="1"/>
  <c r="D163" i="6"/>
  <c r="E163" i="6" s="1"/>
  <c r="H162" i="6"/>
  <c r="J162" i="6" s="1"/>
  <c r="I162" i="6" s="1"/>
  <c r="D162" i="6"/>
  <c r="E162" i="6" s="1"/>
  <c r="H161" i="6"/>
  <c r="J161" i="6" s="1"/>
  <c r="I161" i="6" s="1"/>
  <c r="D161" i="6"/>
  <c r="E161" i="6" s="1"/>
  <c r="H160" i="6"/>
  <c r="J160" i="6" s="1"/>
  <c r="I160" i="6" s="1"/>
  <c r="D160" i="6"/>
  <c r="E160" i="6" s="1"/>
  <c r="H159" i="6"/>
  <c r="J159" i="6" s="1"/>
  <c r="I159" i="6" s="1"/>
  <c r="D159" i="6"/>
  <c r="E159" i="6" s="1"/>
  <c r="H158" i="6"/>
  <c r="J158" i="6" s="1"/>
  <c r="I158" i="6" s="1"/>
  <c r="D158" i="6"/>
  <c r="E158" i="6" s="1"/>
  <c r="H157" i="6"/>
  <c r="J157" i="6" s="1"/>
  <c r="I157" i="6" s="1"/>
  <c r="D157" i="6"/>
  <c r="E157" i="6" s="1"/>
  <c r="H156" i="6"/>
  <c r="J156" i="6" s="1"/>
  <c r="I156" i="6" s="1"/>
  <c r="E156" i="6"/>
  <c r="F156" i="6" s="1"/>
  <c r="H155" i="6"/>
  <c r="J155" i="6" s="1"/>
  <c r="I155" i="6" s="1"/>
  <c r="D155" i="6"/>
  <c r="E155" i="6" s="1"/>
  <c r="H154" i="6"/>
  <c r="J154" i="6" s="1"/>
  <c r="I154" i="6" s="1"/>
  <c r="D154" i="6"/>
  <c r="E154" i="6" s="1"/>
  <c r="H153" i="6"/>
  <c r="J153" i="6" s="1"/>
  <c r="I153" i="6" s="1"/>
  <c r="D153" i="6"/>
  <c r="E153" i="6" s="1"/>
  <c r="H152" i="6"/>
  <c r="J152" i="6" s="1"/>
  <c r="I152" i="6" s="1"/>
  <c r="D152" i="6"/>
  <c r="E152" i="6" s="1"/>
  <c r="H151" i="6"/>
  <c r="J151" i="6" s="1"/>
  <c r="I151" i="6" s="1"/>
  <c r="D151" i="6"/>
  <c r="E151" i="6" s="1"/>
  <c r="H150" i="6"/>
  <c r="J150" i="6" s="1"/>
  <c r="I150" i="6" s="1"/>
  <c r="D150" i="6"/>
  <c r="E150" i="6" s="1"/>
  <c r="H149" i="6"/>
  <c r="J149" i="6" s="1"/>
  <c r="I149" i="6" s="1"/>
  <c r="D149" i="6"/>
  <c r="E149" i="6" s="1"/>
  <c r="H148" i="6"/>
  <c r="J148" i="6" s="1"/>
  <c r="I148" i="6" s="1"/>
  <c r="D148" i="6"/>
  <c r="E148" i="6" s="1"/>
  <c r="H147" i="6"/>
  <c r="J147" i="6" s="1"/>
  <c r="I147" i="6" s="1"/>
  <c r="D147" i="6"/>
  <c r="E147" i="6" s="1"/>
  <c r="H146" i="6"/>
  <c r="J146" i="6" s="1"/>
  <c r="I146" i="6" s="1"/>
  <c r="D146" i="6"/>
  <c r="E146" i="6" s="1"/>
  <c r="H145" i="6"/>
  <c r="J145" i="6" s="1"/>
  <c r="I145" i="6" s="1"/>
  <c r="D145" i="6"/>
  <c r="E145" i="6" s="1"/>
  <c r="H143" i="6"/>
  <c r="J143" i="6" s="1"/>
  <c r="I143" i="6" s="1"/>
  <c r="F143" i="6"/>
  <c r="H142" i="6"/>
  <c r="J142" i="6" s="1"/>
  <c r="I142" i="6" s="1"/>
  <c r="F142" i="6"/>
  <c r="H140" i="6"/>
  <c r="J140" i="6" s="1"/>
  <c r="I140" i="6" s="1"/>
  <c r="H139" i="6"/>
  <c r="J139" i="6" s="1"/>
  <c r="I139" i="6" s="1"/>
  <c r="H138" i="6"/>
  <c r="J138" i="6" s="1"/>
  <c r="I138" i="6" s="1"/>
  <c r="H137" i="6"/>
  <c r="J137" i="6" s="1"/>
  <c r="I137" i="6" s="1"/>
  <c r="H136" i="6"/>
  <c r="J136" i="6" s="1"/>
  <c r="I136" i="6" s="1"/>
  <c r="H135" i="6"/>
  <c r="J135" i="6" s="1"/>
  <c r="I135" i="6" s="1"/>
  <c r="H134" i="6"/>
  <c r="J134" i="6" s="1"/>
  <c r="I134" i="6" s="1"/>
  <c r="H133" i="6"/>
  <c r="J133" i="6" s="1"/>
  <c r="I133" i="6" s="1"/>
  <c r="H132" i="6"/>
  <c r="J132" i="6" s="1"/>
  <c r="I132" i="6" s="1"/>
  <c r="H131" i="6"/>
  <c r="J131" i="6" s="1"/>
  <c r="I131" i="6" s="1"/>
  <c r="H130" i="6"/>
  <c r="J130" i="6" s="1"/>
  <c r="I130" i="6" s="1"/>
  <c r="H129" i="6"/>
  <c r="J129" i="6" s="1"/>
  <c r="I129" i="6" s="1"/>
  <c r="H127" i="6"/>
  <c r="J127" i="6" s="1"/>
  <c r="I127" i="6" s="1"/>
  <c r="H126" i="6"/>
  <c r="J126" i="6" s="1"/>
  <c r="I126" i="6" s="1"/>
  <c r="H125" i="6"/>
  <c r="J125" i="6" s="1"/>
  <c r="I125" i="6" s="1"/>
  <c r="H124" i="6"/>
  <c r="J124" i="6" s="1"/>
  <c r="I124" i="6" s="1"/>
  <c r="H123" i="6"/>
  <c r="J123" i="6" s="1"/>
  <c r="I123" i="6" s="1"/>
  <c r="H122" i="6"/>
  <c r="J122" i="6" s="1"/>
  <c r="I122" i="6" s="1"/>
  <c r="H121" i="6"/>
  <c r="J121" i="6" s="1"/>
  <c r="I121" i="6" s="1"/>
  <c r="H120" i="6"/>
  <c r="J120" i="6" s="1"/>
  <c r="I120" i="6" s="1"/>
  <c r="H119" i="6"/>
  <c r="J119" i="6" s="1"/>
  <c r="I119" i="6" s="1"/>
  <c r="H118" i="6"/>
  <c r="J118" i="6" s="1"/>
  <c r="I118" i="6" s="1"/>
  <c r="H117" i="6"/>
  <c r="J117" i="6" s="1"/>
  <c r="I117" i="6" s="1"/>
  <c r="H116" i="6"/>
  <c r="J116" i="6" s="1"/>
  <c r="I116" i="6" s="1"/>
  <c r="H115" i="6"/>
  <c r="J115" i="6" s="1"/>
  <c r="I115" i="6" s="1"/>
  <c r="H114" i="6"/>
  <c r="J114" i="6" s="1"/>
  <c r="I114" i="6" s="1"/>
  <c r="H112" i="6"/>
  <c r="J112" i="6" s="1"/>
  <c r="I112" i="6" s="1"/>
  <c r="H111" i="6"/>
  <c r="J111" i="6" s="1"/>
  <c r="I111" i="6" s="1"/>
  <c r="H110" i="6"/>
  <c r="J110" i="6" s="1"/>
  <c r="I110" i="6" s="1"/>
  <c r="H109" i="6"/>
  <c r="J109" i="6" s="1"/>
  <c r="I109" i="6" s="1"/>
  <c r="H108" i="6"/>
  <c r="J108" i="6" s="1"/>
  <c r="I108" i="6" s="1"/>
  <c r="H107" i="6"/>
  <c r="J107" i="6" s="1"/>
  <c r="I107" i="6" s="1"/>
  <c r="H106" i="6"/>
  <c r="J106" i="6" s="1"/>
  <c r="I106" i="6" s="1"/>
  <c r="H105" i="6"/>
  <c r="J105" i="6" s="1"/>
  <c r="I105" i="6" s="1"/>
  <c r="H104" i="6"/>
  <c r="J104" i="6" s="1"/>
  <c r="I104" i="6" s="1"/>
  <c r="E104" i="6"/>
  <c r="F104" i="6" s="1"/>
  <c r="H103" i="6"/>
  <c r="J103" i="6" s="1"/>
  <c r="I103" i="6" s="1"/>
  <c r="H102" i="6"/>
  <c r="J102" i="6" s="1"/>
  <c r="I102" i="6" s="1"/>
  <c r="H101" i="6"/>
  <c r="J101" i="6" s="1"/>
  <c r="I101" i="6" s="1"/>
  <c r="H100" i="6"/>
  <c r="J100" i="6" s="1"/>
  <c r="I100" i="6" s="1"/>
  <c r="H99" i="6"/>
  <c r="J99" i="6" s="1"/>
  <c r="I99" i="6" s="1"/>
  <c r="H98" i="6"/>
  <c r="J98" i="6" s="1"/>
  <c r="I98" i="6" s="1"/>
  <c r="H97" i="6"/>
  <c r="J97" i="6" s="1"/>
  <c r="I97" i="6" s="1"/>
  <c r="H96" i="6"/>
  <c r="J96" i="6" s="1"/>
  <c r="I96" i="6" s="1"/>
  <c r="F96" i="6"/>
  <c r="H95" i="6"/>
  <c r="J95" i="6" s="1"/>
  <c r="I95" i="6" s="1"/>
  <c r="H94" i="6"/>
  <c r="J94" i="6" s="1"/>
  <c r="I94" i="6" s="1"/>
  <c r="H93" i="6"/>
  <c r="J93" i="6" s="1"/>
  <c r="I93" i="6" s="1"/>
  <c r="H92" i="6"/>
  <c r="J92" i="6" s="1"/>
  <c r="I92" i="6" s="1"/>
  <c r="H91" i="6"/>
  <c r="J91" i="6" s="1"/>
  <c r="I91" i="6" s="1"/>
  <c r="H90" i="6"/>
  <c r="J90" i="6" s="1"/>
  <c r="I90" i="6" s="1"/>
  <c r="H89" i="6"/>
  <c r="J89" i="6" s="1"/>
  <c r="I89" i="6" s="1"/>
  <c r="H88" i="6"/>
  <c r="J88" i="6" s="1"/>
  <c r="I88" i="6" s="1"/>
  <c r="H87" i="6"/>
  <c r="J87" i="6" s="1"/>
  <c r="I87" i="6" s="1"/>
  <c r="H86" i="6"/>
  <c r="J86" i="6" s="1"/>
  <c r="I86" i="6" s="1"/>
  <c r="H85" i="6"/>
  <c r="J85" i="6" s="1"/>
  <c r="I85" i="6" s="1"/>
  <c r="H84" i="6"/>
  <c r="J84" i="6" s="1"/>
  <c r="I84" i="6" s="1"/>
  <c r="H83" i="6"/>
  <c r="J83" i="6" s="1"/>
  <c r="I83" i="6" s="1"/>
  <c r="H82" i="6"/>
  <c r="J82" i="6" s="1"/>
  <c r="I82" i="6" s="1"/>
  <c r="H81" i="6"/>
  <c r="J81" i="6" s="1"/>
  <c r="I81" i="6" s="1"/>
  <c r="H80" i="6"/>
  <c r="J80" i="6" s="1"/>
  <c r="I80" i="6" s="1"/>
  <c r="H79" i="6"/>
  <c r="J79" i="6" s="1"/>
  <c r="I79" i="6" s="1"/>
  <c r="H78" i="6"/>
  <c r="J78" i="6" s="1"/>
  <c r="I78" i="6" s="1"/>
  <c r="H77" i="6"/>
  <c r="J77" i="6" s="1"/>
  <c r="I77" i="6" s="1"/>
  <c r="H76" i="6"/>
  <c r="J76" i="6" s="1"/>
  <c r="I76" i="6" s="1"/>
  <c r="H75" i="6"/>
  <c r="J75" i="6" s="1"/>
  <c r="I75" i="6" s="1"/>
  <c r="H72" i="6"/>
  <c r="J72" i="6" s="1"/>
  <c r="I72" i="6" s="1"/>
  <c r="H71" i="6"/>
  <c r="J71" i="6" s="1"/>
  <c r="I71" i="6" s="1"/>
  <c r="H70" i="6"/>
  <c r="J70" i="6" s="1"/>
  <c r="I70" i="6" s="1"/>
  <c r="H69" i="6"/>
  <c r="J69" i="6" s="1"/>
  <c r="I69" i="6" s="1"/>
  <c r="H66" i="6"/>
  <c r="J66" i="6" s="1"/>
  <c r="I66" i="6" s="1"/>
  <c r="H65" i="6"/>
  <c r="J65" i="6" s="1"/>
  <c r="I65" i="6" s="1"/>
  <c r="H64" i="6"/>
  <c r="J64" i="6" s="1"/>
  <c r="I64" i="6" s="1"/>
  <c r="H63" i="6"/>
  <c r="J63" i="6" s="1"/>
  <c r="I63" i="6" s="1"/>
  <c r="H62" i="6"/>
  <c r="J62" i="6" s="1"/>
  <c r="I62" i="6" s="1"/>
  <c r="D62" i="6"/>
  <c r="E62" i="6" s="1"/>
  <c r="G60" i="6"/>
  <c r="H60" i="6" s="1"/>
  <c r="J60" i="6" s="1"/>
  <c r="I60" i="6" s="1"/>
  <c r="G59" i="6"/>
  <c r="H59" i="6" s="1"/>
  <c r="J59" i="6" s="1"/>
  <c r="I59" i="6" s="1"/>
  <c r="G58" i="6"/>
  <c r="H58" i="6" s="1"/>
  <c r="J58" i="6" s="1"/>
  <c r="I58" i="6" s="1"/>
  <c r="G56" i="6"/>
  <c r="H56" i="6" s="1"/>
  <c r="J56" i="6" s="1"/>
  <c r="I56" i="6" s="1"/>
  <c r="G55" i="6"/>
  <c r="H55" i="6" s="1"/>
  <c r="J55" i="6" s="1"/>
  <c r="I55" i="6" s="1"/>
  <c r="G54" i="6"/>
  <c r="H54" i="6" s="1"/>
  <c r="J54" i="6" s="1"/>
  <c r="I54" i="6" s="1"/>
  <c r="H52" i="6"/>
  <c r="J52" i="6" s="1"/>
  <c r="I52" i="6" s="1"/>
  <c r="H51" i="6"/>
  <c r="J51" i="6" s="1"/>
  <c r="I51" i="6" s="1"/>
  <c r="E51" i="6"/>
  <c r="F51" i="6" s="1"/>
  <c r="H49" i="6"/>
  <c r="J49" i="6" s="1"/>
  <c r="I49" i="6" s="1"/>
  <c r="D49" i="6"/>
  <c r="E49" i="6" s="1"/>
  <c r="H48" i="6"/>
  <c r="J48" i="6" s="1"/>
  <c r="I48" i="6" s="1"/>
  <c r="D48" i="6"/>
  <c r="E48" i="6" s="1"/>
  <c r="H47" i="6"/>
  <c r="J47" i="6" s="1"/>
  <c r="I47" i="6" s="1"/>
  <c r="E47" i="6"/>
  <c r="H45" i="6"/>
  <c r="J45" i="6" s="1"/>
  <c r="I45" i="6" s="1"/>
  <c r="D45" i="6"/>
  <c r="E45" i="6" s="1"/>
  <c r="H44" i="6"/>
  <c r="J44" i="6" s="1"/>
  <c r="I44" i="6" s="1"/>
  <c r="D44" i="6"/>
  <c r="E44" i="6" s="1"/>
  <c r="H43" i="6"/>
  <c r="J43" i="6" s="1"/>
  <c r="I43" i="6" s="1"/>
  <c r="D43" i="6"/>
  <c r="E43" i="6" s="1"/>
  <c r="H42" i="6"/>
  <c r="J42" i="6" s="1"/>
  <c r="I42" i="6" s="1"/>
  <c r="D42" i="6"/>
  <c r="E42" i="6" s="1"/>
  <c r="H41" i="6"/>
  <c r="J41" i="6" s="1"/>
  <c r="I41" i="6" s="1"/>
  <c r="D41" i="6"/>
  <c r="E41" i="6" s="1"/>
  <c r="H40" i="6"/>
  <c r="J40" i="6" s="1"/>
  <c r="I40" i="6" s="1"/>
  <c r="D40" i="6"/>
  <c r="E40" i="6" s="1"/>
  <c r="H39" i="6"/>
  <c r="J39" i="6" s="1"/>
  <c r="I39" i="6" s="1"/>
  <c r="D39" i="6"/>
  <c r="E39" i="6" s="1"/>
  <c r="H38" i="6"/>
  <c r="J38" i="6" s="1"/>
  <c r="I38" i="6" s="1"/>
  <c r="D38" i="6"/>
  <c r="E38" i="6" s="1"/>
  <c r="H37" i="6"/>
  <c r="J37" i="6" s="1"/>
  <c r="I37" i="6" s="1"/>
  <c r="D37" i="6"/>
  <c r="E37" i="6" s="1"/>
  <c r="H35" i="6"/>
  <c r="J35" i="6" s="1"/>
  <c r="I35" i="6" s="1"/>
  <c r="D35" i="6"/>
  <c r="E35" i="6" s="1"/>
  <c r="H34" i="6"/>
  <c r="J34" i="6" s="1"/>
  <c r="I34" i="6" s="1"/>
  <c r="D34" i="6"/>
  <c r="E34" i="6" s="1"/>
  <c r="H33" i="6"/>
  <c r="J33" i="6" s="1"/>
  <c r="I33" i="6" s="1"/>
  <c r="D33" i="6"/>
  <c r="E33" i="6" s="1"/>
  <c r="H32" i="6"/>
  <c r="J32" i="6" s="1"/>
  <c r="I32" i="6" s="1"/>
  <c r="D32" i="6"/>
  <c r="E32" i="6" s="1"/>
  <c r="H31" i="6"/>
  <c r="J31" i="6" s="1"/>
  <c r="I31" i="6" s="1"/>
  <c r="D31" i="6"/>
  <c r="E31" i="6" s="1"/>
  <c r="H30" i="6"/>
  <c r="J30" i="6" s="1"/>
  <c r="I30" i="6" s="1"/>
  <c r="D30" i="6"/>
  <c r="E30" i="6" s="1"/>
  <c r="H29" i="6"/>
  <c r="J29" i="6" s="1"/>
  <c r="I29" i="6" s="1"/>
  <c r="D29" i="6"/>
  <c r="E29" i="6" s="1"/>
  <c r="H28" i="6"/>
  <c r="J28" i="6" s="1"/>
  <c r="I28" i="6" s="1"/>
  <c r="D28" i="6"/>
  <c r="E28" i="6" s="1"/>
  <c r="H27" i="6"/>
  <c r="J27" i="6" s="1"/>
  <c r="I27" i="6" s="1"/>
  <c r="D27" i="6"/>
  <c r="E27" i="6" s="1"/>
  <c r="H26" i="6"/>
  <c r="J26" i="6" s="1"/>
  <c r="I26" i="6" s="1"/>
  <c r="D26" i="6"/>
  <c r="E26" i="6" s="1"/>
  <c r="H25" i="6"/>
  <c r="J25" i="6" s="1"/>
  <c r="I25" i="6" s="1"/>
  <c r="D25" i="6"/>
  <c r="E25" i="6" s="1"/>
  <c r="H24" i="6"/>
  <c r="J24" i="6" s="1"/>
  <c r="I24" i="6" s="1"/>
  <c r="D24" i="6"/>
  <c r="E24" i="6" s="1"/>
  <c r="H23" i="6"/>
  <c r="J23" i="6" s="1"/>
  <c r="I23" i="6" s="1"/>
  <c r="D23" i="6"/>
  <c r="E23" i="6" s="1"/>
  <c r="H22" i="6"/>
  <c r="J22" i="6" s="1"/>
  <c r="I22" i="6" s="1"/>
  <c r="D22" i="6"/>
  <c r="E22" i="6" s="1"/>
  <c r="H21" i="6"/>
  <c r="J21" i="6" s="1"/>
  <c r="I21" i="6" s="1"/>
  <c r="D21" i="6"/>
  <c r="E21" i="6" s="1"/>
  <c r="H20" i="6"/>
  <c r="J20" i="6" s="1"/>
  <c r="I20" i="6" s="1"/>
  <c r="D20" i="6"/>
  <c r="E20" i="6" s="1"/>
  <c r="H19" i="6"/>
  <c r="J19" i="6" s="1"/>
  <c r="I19" i="6" s="1"/>
  <c r="D19" i="6"/>
  <c r="E19" i="6" s="1"/>
  <c r="H18" i="6"/>
  <c r="J18" i="6" s="1"/>
  <c r="I18" i="6" s="1"/>
  <c r="D18" i="6"/>
  <c r="E18" i="6" s="1"/>
  <c r="H17" i="6"/>
  <c r="J17" i="6" s="1"/>
  <c r="I17" i="6" s="1"/>
  <c r="D17" i="6"/>
  <c r="E17" i="6" s="1"/>
  <c r="H16" i="6"/>
  <c r="J16" i="6" s="1"/>
  <c r="I16" i="6" s="1"/>
  <c r="D16" i="6"/>
  <c r="E16" i="6" s="1"/>
  <c r="H15" i="6"/>
  <c r="J15" i="6" s="1"/>
  <c r="I15" i="6" s="1"/>
  <c r="D15" i="6"/>
  <c r="E15" i="6" s="1"/>
  <c r="H14" i="6"/>
  <c r="J14" i="6" s="1"/>
  <c r="I14" i="6" s="1"/>
  <c r="D14" i="6"/>
  <c r="E14" i="6" s="1"/>
  <c r="H13" i="6"/>
  <c r="J13" i="6" s="1"/>
  <c r="I13" i="6" s="1"/>
  <c r="D13" i="6"/>
  <c r="E13" i="6" s="1"/>
  <c r="H12" i="6"/>
  <c r="J12" i="6" s="1"/>
  <c r="I12" i="6" s="1"/>
  <c r="D12" i="6"/>
  <c r="E12" i="6" s="1"/>
  <c r="H11" i="6"/>
  <c r="J11" i="6" s="1"/>
  <c r="I11" i="6" s="1"/>
  <c r="D11" i="6"/>
  <c r="E11" i="6" s="1"/>
  <c r="H10" i="6"/>
  <c r="J10" i="6" s="1"/>
  <c r="I10" i="6" s="1"/>
  <c r="D10" i="6"/>
  <c r="E10" i="6" s="1"/>
  <c r="H9" i="6"/>
  <c r="J9" i="6" s="1"/>
  <c r="I9" i="6" s="1"/>
  <c r="D9" i="6"/>
  <c r="E9" i="6" s="1"/>
  <c r="H8" i="6"/>
  <c r="J8" i="6" s="1"/>
  <c r="I8" i="6" s="1"/>
  <c r="D8" i="6"/>
  <c r="E8" i="6" s="1"/>
  <c r="H7" i="6"/>
  <c r="J7" i="6" s="1"/>
  <c r="I7" i="6" s="1"/>
  <c r="D7" i="6"/>
  <c r="E7" i="6" s="1"/>
  <c r="H6" i="6"/>
  <c r="J6" i="6" s="1"/>
  <c r="I6" i="6" s="1"/>
  <c r="D6" i="6"/>
  <c r="E6" i="6" s="1"/>
  <c r="J398" i="6" l="1"/>
  <c r="I398" i="6" s="1"/>
</calcChain>
</file>

<file path=xl/comments1.xml><?xml version="1.0" encoding="utf-8"?>
<comments xmlns="http://schemas.openxmlformats.org/spreadsheetml/2006/main">
  <authors>
    <author>enahal</author>
    <author>carlosdileo</author>
    <author>cdileo</author>
  </authors>
  <commentList>
    <comment ref="J1" authorId="0" shapeId="0">
      <text>
        <r>
          <rPr>
            <b/>
            <sz val="8"/>
            <color indexed="81"/>
            <rFont val="Tahoma"/>
            <family val="2"/>
          </rPr>
          <t>enahal:</t>
        </r>
        <r>
          <rPr>
            <sz val="8"/>
            <color indexed="81"/>
            <rFont val="Tahoma"/>
            <family val="2"/>
          </rPr>
          <t xml:space="preserve">
Eliminar cuando se cree la hoja "Para Imprimir"</t>
        </r>
      </text>
    </comment>
    <comment ref="F731" authorId="1" shapeId="0">
      <text>
        <r>
          <rPr>
            <b/>
            <sz val="8"/>
            <color indexed="81"/>
            <rFont val="Tahoma"/>
            <family val="2"/>
          </rPr>
          <t>MODIFICACION PARTICULAR QUE SUFRIO EL PROYECTO. EL MONTO ORIGINAL ERA $447.98</t>
        </r>
      </text>
    </comment>
    <comment ref="I731" authorId="0" shapeId="0">
      <text>
        <r>
          <rPr>
            <b/>
            <sz val="8"/>
            <color indexed="81"/>
            <rFont val="Tahoma"/>
            <family val="2"/>
          </rPr>
          <t>enahal:</t>
        </r>
        <r>
          <rPr>
            <sz val="8"/>
            <color indexed="81"/>
            <rFont val="Tahoma"/>
            <family val="2"/>
          </rPr>
          <t xml:space="preserve">
Modificación 2018.</t>
        </r>
      </text>
    </comment>
    <comment ref="D766" authorId="2" shapeId="0">
      <text>
        <r>
          <rPr>
            <b/>
            <sz val="8"/>
            <color indexed="81"/>
            <rFont val="Tahoma"/>
            <family val="2"/>
          </rPr>
          <t>cdileo:</t>
        </r>
        <r>
          <rPr>
            <sz val="8"/>
            <color indexed="81"/>
            <rFont val="Tahoma"/>
            <family val="2"/>
          </rPr>
          <t xml:space="preserve">
MODIFICADO POR ORD. Nº 9970, ERA $7000 PASO A $700</t>
        </r>
      </text>
    </comment>
    <comment ref="E766" authorId="2" shapeId="0">
      <text>
        <r>
          <rPr>
            <b/>
            <sz val="8"/>
            <color indexed="81"/>
            <rFont val="Tahoma"/>
            <family val="2"/>
          </rPr>
          <t>2015:</t>
        </r>
        <r>
          <rPr>
            <sz val="8"/>
            <color indexed="81"/>
            <rFont val="Tahoma"/>
            <family val="2"/>
          </rPr>
          <t xml:space="preserve"> SE AUMENTO EL MINIMO A $7.000 PERO LOS COMERCIOS PRESENTARON EXPTE PIEDIENDO QUE LO BAJEMOS. QUEDO EN $ 700.</t>
        </r>
        <r>
          <rPr>
            <b/>
            <sz val="8"/>
            <color indexed="81"/>
            <rFont val="Tahoma"/>
            <family val="2"/>
          </rPr>
          <t xml:space="preserve">
2016: </t>
        </r>
        <r>
          <rPr>
            <sz val="8"/>
            <color indexed="81"/>
            <rFont val="Tahoma"/>
            <family val="2"/>
          </rPr>
          <t>AUMENTE EL 40%</t>
        </r>
      </text>
    </comment>
    <comment ref="E767" authorId="2" shapeId="0">
      <text>
        <r>
          <rPr>
            <b/>
            <sz val="8"/>
            <color indexed="81"/>
            <rFont val="Tahoma"/>
            <family val="2"/>
          </rPr>
          <t xml:space="preserve">2015: </t>
        </r>
        <r>
          <rPr>
            <sz val="8"/>
            <color indexed="81"/>
            <rFont val="Tahoma"/>
            <family val="2"/>
          </rPr>
          <t>SE AUMENTO EL MINIMO A $7.000 PERO LOS COMERCIOS PRESENTARON EXPTE PIEDIENDO QUE LO BAJEMOS. QUEDO EN $ 700.</t>
        </r>
        <r>
          <rPr>
            <b/>
            <sz val="8"/>
            <color indexed="81"/>
            <rFont val="Tahoma"/>
            <family val="2"/>
          </rPr>
          <t xml:space="preserve">
2016: </t>
        </r>
        <r>
          <rPr>
            <sz val="8"/>
            <color indexed="81"/>
            <rFont val="Tahoma"/>
            <family val="2"/>
          </rPr>
          <t xml:space="preserve">AUMENTE EL 40% MINIMO </t>
        </r>
      </text>
    </comment>
  </commentList>
</comments>
</file>

<file path=xl/sharedStrings.xml><?xml version="1.0" encoding="utf-8"?>
<sst xmlns="http://schemas.openxmlformats.org/spreadsheetml/2006/main" count="1894" uniqueCount="1062">
  <si>
    <t>ACTIVIDADES PRIMARIAS</t>
  </si>
  <si>
    <t>7,00‰</t>
  </si>
  <si>
    <t>CULTIVO DE ARROZ, TRIGO, MAÍZ, SOJA Y CEREALES FORRAJEROS, OLEAGINOSAS, SEMILLAS</t>
  </si>
  <si>
    <t>CULTIVO DE PAPA, BATATA Y MANDIOCA</t>
  </si>
  <si>
    <t>CULTIVO DE TOMATE</t>
  </si>
  <si>
    <t>CULTIVO DE BULBOS, BROTES, RAÍCES Y HORTALIZAS DE FRUTOS N.C.P. (INCLUYE AJÍ, AJO, ALCAPARRA, BERENJENA, CEBOLLA, CALABAZA, ESPÁRRAGO, FRUTILLA, MELÓN, PEPINO, PIMIENTO, SANDÍA, ZANAHORIA, ZAPALLO, ZAPALLITO)</t>
  </si>
  <si>
    <t>CULTIVO DE HORTALIZAS DE HOJA Y DE OTRAS HORTALIZAS FRESCAS (INCLUYE ACELGA, APIO, CEBOLLA DE VERO, CHOCLO, COLES, ESPINACA, LECHUGA, PEREJIL, RADICHETA, REPOLLO)</t>
  </si>
  <si>
    <t>CULTIVO DE LEGUMBRES FRESCAS (INCLUYE ARVEJA, CHAUCHA, HABA, LUPINO, POROTO)</t>
  </si>
  <si>
    <t>CULTIVO DE LEGUMBRES SECAS (INCLUYE ARVEJA, GARBANZO, HABA, LENTEJA, POROTO)</t>
  </si>
  <si>
    <t>CULTIVO DE FLORES</t>
  </si>
  <si>
    <t>CULTIVO DE PLANTAS ORNAMENTALES</t>
  </si>
  <si>
    <t>CULTIVO DE MANZANA Y PERA</t>
  </si>
  <si>
    <t>CULTIVO DE FRUTAS DE PEPITA N.C.P. (INCLUYE MEMBRILLO, NÍSPERO)</t>
  </si>
  <si>
    <t>CULTIVO DE FRUTAS DE CAROZO (INCLUYE CEREZA, CIRUELA, DAMASCO, DURAZNO, MELÓN)</t>
  </si>
  <si>
    <t>CULTIVO DE FRUTAS CÍTRICAS (INCLUYE BERGAMOTA, LIMA, LIMÓN, MANDARINA, NARANJA, POMELO, KINOTO)</t>
  </si>
  <si>
    <t>CULTIVO DE NUECES Y FRUTAS SECAS (INCLUYE ALMENDRA, AVELLANA, CASTAÑA, NUEZ, PISTACHO)</t>
  </si>
  <si>
    <t>CULTIVO DE FRUTAS N.C.P. (INCLUYE ANANÁ, BANANA, HIGO, KIWI, MAMÓN, PALTA, UVA DE MESA)</t>
  </si>
  <si>
    <t>CULTIVO DE ALGODÓN</t>
  </si>
  <si>
    <t>CULTIVO DE PLANTAS PARA LA OBTENCIÓN DE FIBRAS N.C.P. (INCLUYE ABACÁ, CÁÑAMO, FORMIO, LINO TEXTIL, MAÍZ DE GUINEA, RAMIO, YUTE)</t>
  </si>
  <si>
    <t>CULTIVO DE CAÑA DE AZÚCAR</t>
  </si>
  <si>
    <t>CULTIVO DE PLANTAS SACARÍFERAS N.C.P. (INCLUYE REMOLACHA AZUCARERA)</t>
  </si>
  <si>
    <t>CULTIVO DE VID PARA VINIFICAR</t>
  </si>
  <si>
    <t>CULTIVO DE TÉ, YERBA MATE Y OTRAS PLANTAS CUYAS HOJAS SE UTILIZAN P/PREPARAR BEBIDAS (INFUSIONES)</t>
  </si>
  <si>
    <t>CULTIVO DE TABACO</t>
  </si>
  <si>
    <t>CULTIVO DE ESPECIAS (DE HOJA, DE SEMILLA, DE FLOR Y DE FRUTO) Y DE PLANTAS AROMÁTICAS Y MEDICINALES</t>
  </si>
  <si>
    <t>CULTIVOS INDUSTRIALES N.C.P. (INCLUYE OLIVO PARA CONSERVA, PALMITOS)</t>
  </si>
  <si>
    <t>PRODUCCIÓN DE SEMILLAS HÍBRIDAS DE CEREALES Y OLEAGINOSAS</t>
  </si>
  <si>
    <t>PRODUCCIÓN DE SEMILLAS VARIETALES O AUTO FECUNDADAS DE CEREALES, OLEAGINOSAS Y FORRAJERAS</t>
  </si>
  <si>
    <t>PRODUCCIÓN DE SEMILLAS DE HORTALIZAS Y LEGUMBRES, FLORES Y PLANTAS ORNAMENTALES Y ÁRBOLES FRUTALES</t>
  </si>
  <si>
    <t>PRODUCCIÓN DE SEMILLAS DE CULTIVOS AGRÍCOLAS N.C.P.</t>
  </si>
  <si>
    <t>PRODUCCIÓN DE OTRAS FORMAS DE PROPAGACIÓN DE CULTIVOS AGRÍCOLAS (INCLUYE GAJOS, BULBOS, ESTACAS ENRAIZADAS O NO, ESQUEJES, PLANTINES)</t>
  </si>
  <si>
    <t>CULTIVOS N.C.P.</t>
  </si>
  <si>
    <t>CRÍA DE ANIMALES</t>
  </si>
  <si>
    <t>CRÍA DE GANADO (INCLUYE OVINO, BOVINO, EQUINO, CAPRINO, PORCINO)</t>
  </si>
  <si>
    <t>CRÍA DE AVES PARA PRODUCCIÓN DE CARNE</t>
  </si>
  <si>
    <t>CRÍA DE AVES PARA PRODUCCIÓN DE HUEVOS</t>
  </si>
  <si>
    <t>PRODUCCIÓN DE HUEVOS</t>
  </si>
  <si>
    <t>APICULTURA (INCLUYE LA PRODUCCIÓN DE MIEL, JALEA REAL, POLEN, PROPÓLEO)</t>
  </si>
  <si>
    <t>CRÍA DE ANIMALES PARA LA OBTENCIÓN DE PIELES Y CUEROS</t>
  </si>
  <si>
    <t>CRÍA DE ANIMALES PARA LA OBTENCIÓN DE PELOS</t>
  </si>
  <si>
    <t>CRÍA DE ANIMALES PARA LA OBTENCIÓN DE PLUMAS</t>
  </si>
  <si>
    <t>CRÍA DE ANIMALES Y OBTENCIÓN DE PRODUCTOS DE ORIGEN ANIMAL, N.C.P. (INCLUYE CIERVO, CONEJO -EXCEPTO PARA PELOS-, GATO, GUSANO DE SEDA, LOMBRIZ, PÁJARO, PERRO, RANA, ANIMALES PARA EXPERIMENTACIÓN, CARACOLES VIVOS, FRESCOS, CONGELADOS Y SECOS -EXCEPTO MARINO-, CERA DE INSECTOS EXCEPTO LA DE ABEJA)</t>
  </si>
  <si>
    <t>SERVICIOS AGRÍCOLAS Y PECUARIOS</t>
  </si>
  <si>
    <t>7,00%</t>
  </si>
  <si>
    <t>SERVICIOS AGROPECUARIOS NO CLASIFICADOS EN OTRA PARTE</t>
  </si>
  <si>
    <t xml:space="preserve">INSEMINACIÓN ARTIFICIAL Y SERVICIOS N.C.P. PARA MEJORAR LA REPRODUCCIÓN DE LOS ANIMALES Y EL RENDIMIENTO DE SUS PRODUCTOS </t>
  </si>
  <si>
    <t>SERVICIOS CONTRATISTAS DE MANO DE OBRA PECUARIA (INCLUYE ARREO, CASTRACIÓN DE AVES, ESQUILA DE OVEJAS, RECOLECCIÓN DE ESTIÉRCOL)</t>
  </si>
  <si>
    <t>SILVICULTURA, EXTRACCIÓN DE MADERA Y VIVEROS</t>
  </si>
  <si>
    <t>VIVEROS</t>
  </si>
  <si>
    <t>SERVICIOS FORESTALES</t>
  </si>
  <si>
    <t>EXPLOTACIÓN DE MINAS DE CARBÓN, PETRÓLEO CRUDO Y GAS NATURAL</t>
  </si>
  <si>
    <t>EXTRACCIÓN Y AGLOMERACIÓN DE CARBÓN (INCLUYE LA PRODUCCIÓN DE HULLA NO AGLOMERADA, ANTRACITA, CARBÓN BITUMINOSO NO AGLOMERADO, BRIQUETAS, OVOIDES Y COMBUSTIBLES SÓLIDOS ANÁLOGOS A BASE DE HULLA)</t>
  </si>
  <si>
    <t>EXTRACCIÓN DE PETRÓLEO CRUDO Y GAS NATURAL (INCLUYE GAS NATURAL LICUADO Y GASEOSO, ARENAS ALQUITRANÍFERAS, ESQUISTOS BITUMINOSOS O LUTITAS, ACEITES DE PETRÓLEO Y DE MINERALES BITUMINOSOS, PETRÓLEO, COQUE DE PETRÓLEO)</t>
  </si>
  <si>
    <t>ACTIVIDADES DE SERVICIOS RELACIONADAS CON LA EXTRACCIÓN DE PETRÓLEO Y GAS, EXCEPTO LAS ACTIVIDADES DE PROSPECCIÓN</t>
  </si>
  <si>
    <t>EXTRACCIÓN DE MINERALES METÁLICOS</t>
  </si>
  <si>
    <t>EXTRACCIÓN DE MINERALES Y CONCENTRADOS DE URANIO Y TORIO</t>
  </si>
  <si>
    <t>EXTRACCIÓN DE MINERALES DE HIERRO (INCLUYE HEMATITAS, LIMONITAS, MAGNETITAS, SIDERITA)</t>
  </si>
  <si>
    <t>EXTRACCIÓN DE MINERALES METALÍFEROS NO FERROSOS, EXCEPTO MINERALES DE URANIO Y TORIO (INCLUYE ALUMINIO, COBRE, ESTAÑO, MANGANESO, NÍQUEL, ORO, PLATA, PLOMO, VOLFRAMIO, ANTIMONIO, BISMUTO, CINC, MOLIBDENO, TITANIO, CIRCONIO, NIOBIO, TÁNTALO, VANADIO, CROMO, COBALTO)</t>
  </si>
  <si>
    <t>EXTRACCIÓN DE PIEDRA, PIEDRA CALIZA, ARCILLA Y ARENA</t>
  </si>
  <si>
    <t>10,00‰</t>
  </si>
  <si>
    <t>EXTRACCIÓN DE TIERRA</t>
  </si>
  <si>
    <t>EXTRACCIÓN DE ROCAS ORNAMENTALES (INCLUYE ARENISCAS, CUARCITA, DOLOMITA, GRANITO, MÁRMOL, PIEDRA LAJA, PIZARRA, PÓRFIDO, SERPENTINA)</t>
  </si>
  <si>
    <t>EXTRACCIÓN DE PIEDRA CALIZA Y YESO (INCLUYE CALIZA, CASTINA, CONCHILLA, RIOLITA, YESO NATURAL, ANHIDRITA)</t>
  </si>
  <si>
    <t>EXTRACCIÓN DE ARENAS, CANTO RODADO Y TRITURADOS PÉTREOS (INCLUYE ARENA PARA CONSTRUCCIÓN, ARENA SILÍCEA, OTRAS ARENAS NATURALES, CANTO RODADO, DOLOMITA TRITURADA, GRANITO TRITURADO, PIEDRA PARTIDA Y OTROS TRITURADOS PÉTREOS)</t>
  </si>
  <si>
    <t>EXTRACCIÓN DE ARCILLA Y CAOLÍN (INCLUYE ANDALUCITA, ARCILLAS, BENTONITA, CAOLÍN, PIROFILITA, SILIMANITA, MULITA, TIERRA DE CHAMOTA O DE DINAS)</t>
  </si>
  <si>
    <t>EXTRACCIÓN DE MINERALES PARA LA FABRICACIÓN DE ABONOS EXCEPTO TURBA (INCLUYE GUANO, SILVITA, SILVINITA Y OTRAS SALES DE POTASIO NATURALES)</t>
  </si>
  <si>
    <t>EXTRACCIÓN DE MINERALES PARA LA FABRICACIÓN DE PRODUCTOS QUÍMICOS (INCLUYE AZUFRE, BORACITA E HIDROBORACITA, CALCITA, CELESTINA, COLEMANITA, FLUORITA, LITIO Y SALES DE LITIO NATURALES, SULFATO DE ALUMINIO, SULFATO DE HIERRO, SULFATO DE MAGNESIO, SULFATO DE SODIO, OCRES, TINKAL, ULEXITA, ASFALTITA, LATERITA)</t>
  </si>
  <si>
    <t>EXPLOTACIÓN DE MINAS Y CANTERAS N.C.P. (INCLUYE AMIANTO, BARITINA, CUARZO, DIATOMITA, PIEDRA PÓMEZ, ÁGATA, AGUA MARINA, AMATISTA, CRISTAL DE ROCA, RODOCROSITA, TOPACIO, CORINDÓN, FELDESPATO, MICA, ZEOLITA, PERLITA, GRANULADO VOLCÁNICO, PUZOLANA, TOBA, TALCO, VERMICULITA, TOSCA, GRAFITO)</t>
  </si>
  <si>
    <t>ACTIVIDADES INDUSTRIALES</t>
  </si>
  <si>
    <t>FABRICACIÓN DE PRODUCTOS ALIMENTARIOS</t>
  </si>
  <si>
    <t>MATANZA DE GANADO</t>
  </si>
  <si>
    <t>FRIGORÍFICOS, MATANZA DE GANADO, PREPARACIÓN Y CONSERVACIÓN DE SUS CARNES</t>
  </si>
  <si>
    <t xml:space="preserve">SALADO Y PELADO DE CUEROS. SALADEROS Y PELADEROS DE CUERO </t>
  </si>
  <si>
    <t>MATANZA, PREPARACIÓN, ELABORACIÓN Y CONSERVACIÓN DE CARNES DE AVES</t>
  </si>
  <si>
    <t>FÁBRICA DE CHACINADOS. ELABORACIÓN DE FIAMBRES, EMBUTIDOS Y PREPARADOS A BASE DE CARNE</t>
  </si>
  <si>
    <t>MATANZA, PREPARACIÓN Y CONSERVACIÓN DE ANIMALES DE LA CAZA</t>
  </si>
  <si>
    <t>ELABORACIÓN DE PESCADOS DE MAR, CRUSTÁCEOS Y OTROS PRODUCTOS MARINOS ENVASADO Y CONSERVACIÓN</t>
  </si>
  <si>
    <t xml:space="preserve">ELABORACIÓN DE PESCADOS DE RÍO, LAGUNAS Y OTROS PRODUCTOS PLUVIALES Y LACUSTRES. ENVASADO Y CONSERVACIÓN </t>
  </si>
  <si>
    <t>ELABORACIÓN DE ACEITES Y HARINAS DE PESCADO Y OTROS ANIMALES MARINOS</t>
  </si>
  <si>
    <t>ELABORACIÓN, ENVASADO Y CONSERVACIÓN DE FRUTAS Y LEGUMBRES</t>
  </si>
  <si>
    <t>ELABORACIÓN, ENVASADO Y CONSERVACIÓN DE JUGOS DE FRUTAS NATURALES O ARTIFICIALES</t>
  </si>
  <si>
    <t>ELABORACIÓN Y ENVASADO DE DULCES, MERMELADAS Y JALEAS</t>
  </si>
  <si>
    <t>ELABORACIÓN DE FRUTAS, HORTALIZAS Y LEGUMBRES CONGELADAS</t>
  </si>
  <si>
    <t>ELABORACIÓN Y ENVASADO DE CONSERVAS, CALDOS CONCENTRADOS Y OTROS ALIMENTOS DESHIDRATADOS</t>
  </si>
  <si>
    <t>ELABORACIÓN, ENVASADO Y CONSERVACIÓN DE FRUTAS, LEGUMBRES Y HORTALIZAS N.C.P. (INCLUYE LA ELABORACIÓN DE SÉMOLA DE HORTALIZAS Y LEGUMBRES)</t>
  </si>
  <si>
    <t>ELABORACIÓN DE ACEITES Y GRASAS VEGETALES Y SUBPRODUCTOS</t>
  </si>
  <si>
    <t>ELABORACIÓN, PASTEURIZACIÓN Y HOMOGENEIZACIÓN DE LECHE (INCLUIDA LA CONDENSADA Y EN POLVO)</t>
  </si>
  <si>
    <t>FABRICACIÓN DE QUESOS</t>
  </si>
  <si>
    <t>FÁBRICA INDUSTRIAL DE HELADOS</t>
  </si>
  <si>
    <t>ELABORACIÓN ARTESANAL DE HELADOS</t>
  </si>
  <si>
    <t>FABRICACIÓN DE PRODUCTOS LÁCTEOS NO CLASIFICADOS EN OTRA PARTE (INCLUYE CREMAS, YOGURES, MANTECAS)</t>
  </si>
  <si>
    <t>ELABORACIÓN ARTESANAL DE ALIMENTOS SIN LOCAL DE ATENCIÓN, SIN EMPLEADOS</t>
  </si>
  <si>
    <t>MOLIENDA DE TRIGO</t>
  </si>
  <si>
    <t>DESCASCARAMIENTO, PULIDO, LIMPIEZA Y MOLIENDA DE ARROZ</t>
  </si>
  <si>
    <t>MOLIENDA DE CEREALES (EXCEPTO TRIGO), LEGUMBRES, OTRAS PREPARACIONES Y MOLIENDAS N.C.P.</t>
  </si>
  <si>
    <t>ELABORACIÓN DE ALMIDONES Y PRODUCTOS DERIVADOS DEL ALMIDÓN (INCLUYE LA ELABORACIÓN DE GLUCOSA Y GLUTEN)</t>
  </si>
  <si>
    <t>ELABORACIÓN DE ALIMENTOS PREPARADOS PARA ANIMALES</t>
  </si>
  <si>
    <t>FABRICACIÓN DE GALLETITAS Y BIZCOCHOS Y OTROS PRODUCTOS SECOS DE PANADERÍAS</t>
  </si>
  <si>
    <t>FABRICACIÓN DE PAN Y PRODUCTOS DE PANIFICACIÓN. PANIFICADORAS</t>
  </si>
  <si>
    <t>HORNEADO DE PAN</t>
  </si>
  <si>
    <t>FABRICACIÓN DE MASAS Y DEMÁS PRODUCTOS DE PASTELERÍA (CONFITERÍAS)</t>
  </si>
  <si>
    <t>ELABORACIÓN DE PRODUCTOS DE PANADERÍA N.C.P. (INCLUYE LA ELABORACIÓN DE CHURROS, PREPIZZAS, MASAS FRITAS, DE HOJALDRE, EN ESTABLECIMIENTOS DE HASTA 10 OCUPADOS)</t>
  </si>
  <si>
    <t>REFINACIÓN Y FRACCIONAMIENTO DE AZÚCAR</t>
  </si>
  <si>
    <t>FABRICACIÓN Y REFINACIÓN DE AZÚCAR NO CLASIFICADA EN OTRA PARTE</t>
  </si>
  <si>
    <t>ELABORACIÓN DE CACAO, CHOCOLATE, BOMBONES Y OTROS PRODUCTOS SIMILARES A BASE DE CACAO</t>
  </si>
  <si>
    <t>ELABORACIÓN DE CARAMELOS, GOLOSINAS Y OTROS PRODUCTOS DE CONFITERÍAS N.C.P.</t>
  </si>
  <si>
    <t>ELABORACIÓN DE PASTAS FRESCAS</t>
  </si>
  <si>
    <t>FABRICACIÓN DE PASTAS SECAS</t>
  </si>
  <si>
    <t>ELABORACIÓN DE PRODUCTOS ALIMENTARIOS DIVERSOS</t>
  </si>
  <si>
    <t>ELABORACIÓN DE ALIMENTOS DE CEREALES</t>
  </si>
  <si>
    <t>TOSTADO, TORRADO Y MOLIENDA DE CAFÉ</t>
  </si>
  <si>
    <t>ELABORACIÓN DE ESPECIES</t>
  </si>
  <si>
    <t>ELABORACIÓN DE TÉ</t>
  </si>
  <si>
    <t>ELABORACIÓN Y MOLIENDA DE YERBA MATE (INCLUYE CONCENTRADOS)</t>
  </si>
  <si>
    <t>ELABORACIÓN DE EXTRACTOS, JARABES Y CONCENTRADOS</t>
  </si>
  <si>
    <t>ELABORACIÓN DE VINAGRE</t>
  </si>
  <si>
    <t>REFINACIÓN Y MOLIENDA DE SAL</t>
  </si>
  <si>
    <t>ELABORACIÓN DE CONCENTRADOS: CAFÉ, TÉ</t>
  </si>
  <si>
    <t>PROCESADORES DE PAPAS (PELADERO, LAVADERO, INCLUYENDO ELABORACIÓN DE PURÉ, HARINA Y ESCAMAS)</t>
  </si>
  <si>
    <t>ELABORACIÓN DE PRODUCTOS DIETÉTICOS</t>
  </si>
  <si>
    <t>ELABORACIÓN DE PRODUCTOS ALIMENTICIOS N.C.P. (INCLUYE LA ELABORACIÓN DE POLVOS PARA PREPARAR POSTRES Y GELATINAS, LEVADURA, PRODUCTOS PARA COPETÍN, SAL DE MESA, MAYONESA, MOSTAZA)</t>
  </si>
  <si>
    <t>FÁBRICA DE MILANESAS Y HAMBURGUESAS</t>
  </si>
  <si>
    <t>FÁBRICA DE SÁNDWICHES</t>
  </si>
  <si>
    <t>INDUSTRIAS DE BEBIDAS</t>
  </si>
  <si>
    <t>8,00‰</t>
  </si>
  <si>
    <t>DESTILACIÓN DE ALCOHOL ETÍLICO</t>
  </si>
  <si>
    <t>DESTILACIÓN DE ALCOHOLES EXCEPTO EL ETÍLICO</t>
  </si>
  <si>
    <t>DESTILACIÓN, RECTIFICACIÓN Y MEZCLA DE BEBIDAS ALCOHÓLICAS (INCLUYE WHISKY, COÑAC, RON)</t>
  </si>
  <si>
    <t>ELABORACIÓN DE VINOS</t>
  </si>
  <si>
    <t>ELABORACIÓN DE SIDRAS Y BEBIDAS FERMENTADAS EXCEPTO LAS MALTEADAS</t>
  </si>
  <si>
    <t>9,00‰</t>
  </si>
  <si>
    <t>ELABORACIÓN DE MALTA, CERVEZA Y BEBIDAS MALTEADAS</t>
  </si>
  <si>
    <t>EMBOTELLAMIENTO DE AGUAS NATURALES Y MINERALES</t>
  </si>
  <si>
    <t>ELABORACIÓN DE SODA</t>
  </si>
  <si>
    <t>ELABORACIÓN DE BEBIDAS NO ALCOHÓLICAS (INCLUYE BEBIDAS REFRESCANTES, GASEOSAS, EXCEPTO JUGOS O JARABES PARA DILUIR)</t>
  </si>
  <si>
    <t xml:space="preserve">FABRICACIÓN DE HIELO NATURAL </t>
  </si>
  <si>
    <t>ELABORACIÓN DE JUGOS ENVASADOS PARA DILUIR</t>
  </si>
  <si>
    <t>ELABORACIÓN DE BEBIDAS N.C.P.</t>
  </si>
  <si>
    <t>INDUSTRIA DEL TABACO</t>
  </si>
  <si>
    <t>12,00‰</t>
  </si>
  <si>
    <t>FABRICACIÓN DE CIGARRILLOS</t>
  </si>
  <si>
    <t>FABRICACIÓN DE OTROS PRODUCTOS DE TABACO</t>
  </si>
  <si>
    <t>FABRICACIÓN DE TEXTILES</t>
  </si>
  <si>
    <t>PREPARACIÓN DE FIBRAS DE ALGODÓN (INCLUYE DESMOTADO)</t>
  </si>
  <si>
    <t>PREPARACIÓN DE FIBRAS TEXTILES VEGETALES EXCEPTO ALGODÓN</t>
  </si>
  <si>
    <t>LAVADO Y LIMPIEZA DE LANA. LAVADERO</t>
  </si>
  <si>
    <t>LAVANDERÍA Y TINTORERÍA INDUSTRIAL</t>
  </si>
  <si>
    <t>HILADOS DE LANA. HILANDERÍA DE LANA Y SUS MEZCLAS</t>
  </si>
  <si>
    <t>HILADOS DE ALGODÓN. HILANDERÍA DE ALGODÓN Y SUS MEZCLAS</t>
  </si>
  <si>
    <t>HILANDERÍA DE FIBRAS TEXTILES (EXCEPTO ALGODÓN Y LANA)</t>
  </si>
  <si>
    <t>TEJIDO DE LANA. TEJEDURÍA DE LANA</t>
  </si>
  <si>
    <t>TEJIDO DE ALGODÓN. TEJEDURÍA DE ALGODÓN</t>
  </si>
  <si>
    <t>TEJIDO DE FIBRAS SINTÉTICAS Y SEDA (EXCLUIDO FABRICACIÓN DE MEDIAS. TEJEDURÍA)</t>
  </si>
  <si>
    <t>TEJIDO DE FIBRAS TEXTILES NO CLASIFICADOS EN OTRA PARTE</t>
  </si>
  <si>
    <t>TERMINADO ARTESANAL DE TEXTILES Y CALZADOS SIN LOCAL DE ATENCIÓN, SIN EMPLEADOS</t>
  </si>
  <si>
    <t>ACABADO DE TEXTILES (INCLUYE BLANQUEO, TEÑIDO Y ESTAMPADO)</t>
  </si>
  <si>
    <t>FABRICACIÓN DE FRAZADAS, MANTAS, COLCHAS, COBERTORES</t>
  </si>
  <si>
    <t>FABRICACIÓN DE ROPA PARA CAMA Y MANTELERÍA</t>
  </si>
  <si>
    <t>FABRICACIÓN DE ARTÍCULOS DE LONA Y SUCEDÁNEOS DE LONA</t>
  </si>
  <si>
    <t>FABRICACIÓN DE BOLSAS DE MATERIALES TEXTILES PARA PRODUCTOS A GRANEL</t>
  </si>
  <si>
    <t>FABRICACIÓN DE ARTÍCULOS CONFECCIONADOS CON MATERIALES TEXTILES. N.C.P. (EXCEPTO PRENDAS DE VESTIR)</t>
  </si>
  <si>
    <t>FABRICACIÓN DE TAPICES Y ALFOMBRAS</t>
  </si>
  <si>
    <t>FABRICACIÓN DE SOGAS, CABLES, CORDELES Y ARTÍCULOS CONEXOS DE CÁÑAMO, SISAL, LINO Y OTRAS FIBRAS NATURALES</t>
  </si>
  <si>
    <t>FABRICACIÓN DE CORTINAS. CORTINERÍAS</t>
  </si>
  <si>
    <t>FABRICACIÓN DE MEDIAS</t>
  </si>
  <si>
    <t>FABRICACIÓN DE TEJIDOS Y ARTÍCULOS DE PUNTO</t>
  </si>
  <si>
    <t>TEJIDOS ARTESANALES SIN LOCAL DE ATENCIÓN, SIN EMPLEADOS</t>
  </si>
  <si>
    <t>COSTURERA CON SUPERFICIE MENOR A 100 M2</t>
  </si>
  <si>
    <t>FÁBRICA DE TEXTILES EN GENERAL</t>
  </si>
  <si>
    <t>FÁBRICA DE ESTROPAJOS</t>
  </si>
  <si>
    <t>FABRICACIÓN DE PRENDAS DE VESTIR EXCEPTO CALZADOS</t>
  </si>
  <si>
    <t>CONFECCIÓN DE IMPERMEABLES Y PILOTOS</t>
  </si>
  <si>
    <t>FABRICACIÓN DE ACCESORIOS DE VESTIR EXCEPTO DE CUERO</t>
  </si>
  <si>
    <t>CONFECCIÓN DE PRENDAS DE VESTIR (EXCEPTO LAS DE PIEL, DE CUERO Y SUCEDÁNEOS, PILOTOS E IMPERMEABLES). INCLUYE ROPA INTERIOR, PRENDAS DE DORMIR Y PLAYA, INDUMENTARIA DE TRABAJO, UNIFORMES, GUARDAPOLVOS, ROPA DE BEBÉ Y NIÑO</t>
  </si>
  <si>
    <t>FABRICACIÓN DE ACCESORIOS DE VESTIR DE CUERO</t>
  </si>
  <si>
    <t>CONFECCIÓN DE PRENDA DE VESTIR DE CUERO</t>
  </si>
  <si>
    <t>CONFECCIÓN DE PRENDAS DE VESTIR DE PIEL Y SUCEDÁNEOS</t>
  </si>
  <si>
    <t>PREPARACIÓN, DECOLORACIÓN Y TEÑIDO DE PIELES</t>
  </si>
  <si>
    <t>CONFECCIÓN DE ARTÍCULOS DE PIEL (EXCLUIDAS LAS PRENDAS DE VESTIR)</t>
  </si>
  <si>
    <t>CURTIDO, ACABADO, REPUJADO, CHAROLADO Y TERMINADO DEL CUERO. CURTIEMBRES Y TALLERES DE ACABADO</t>
  </si>
  <si>
    <t>FABRICACIÓN DE PRODUCTOS DE CUERO Y SUCEDÁNEOS DE CUERO (EXCEPTO CALZADO Y PRENDAS VESTIR). INCLUYE MALETAS, BOLSOS DE MANO Y SIMILARES, ARTÍCULOS DE TALABARTERÍA Y DE CUERO N.C.P.</t>
  </si>
  <si>
    <t>FABRICACIÓN DE CALZADO DE CUERO, INCLUYENDO EL ORTOPÉDICO</t>
  </si>
  <si>
    <t>FABRICACIÓN DE CALZADO DE TELA Y OTROS MATERIALES (EXCLUIDO DE CAUCHO VULCANIZADO O MOLDEADO,DE MADERA O DE PLÁSTICOS)</t>
  </si>
  <si>
    <t>FABRICACIÓN DE PARTES O ACCESORIOS DEL CALZADO</t>
  </si>
  <si>
    <t>ASERRADEROS. PREPARACIÓN Y CONSERVACIÓN DE MADERAS (EXCEPTO LAS TERCIADAS Y CONGLOMERADAS)</t>
  </si>
  <si>
    <t>FABRICACIÓN DE MADERAS TERCIADAS, ENCHAPADAS O CONGLOMERADAS, TABLEROS O PANELES</t>
  </si>
  <si>
    <t>FABRICACIÓN DE PUERTAS, VENTANAS Y ESTRUCTURAS DE MADERA PARA LA CONSTRUCCIÓN. CARPINTERÍA DE OBRAS</t>
  </si>
  <si>
    <t>FABRICACIÓN DE VIVIENDAS PREFABRICADAS DE MADERA</t>
  </si>
  <si>
    <t>FABRICACIÓN DE ENVASES, RECIPIENTES Y EMBALAJES DE MADERA (BARRILES, TAMBORES, CAJA)</t>
  </si>
  <si>
    <t>FABRICACIÓN DE ARTÍCULOS DE CESTERÍA, CAÑA Y MIMBRE</t>
  </si>
  <si>
    <t>FABRICACIÓN DE ATAÚDES</t>
  </si>
  <si>
    <t xml:space="preserve">FABRICACIÓN DE ARTÍCULOS DE MADERA EN TORNERÍAS </t>
  </si>
  <si>
    <t>FABRICACIÓN DE PRODUCTOS DE CORCHO</t>
  </si>
  <si>
    <t>FABRICACIÓN DE PRODUCTOS DE MADERA, DE CORCHO, CAÑA Y MIMBRE NO CLASIFICADOS EN OTRA PARTE</t>
  </si>
  <si>
    <t>FABRICACIÓN DE PAPEL Y PRODUCTOS DE PAPEL</t>
  </si>
  <si>
    <t>FABRICACIÓN DE PULPA DE MADERA</t>
  </si>
  <si>
    <t>FABRICACIÓN DE PAPEL Y CARTÓN</t>
  </si>
  <si>
    <t>FABRICACIÓN DE ENVASES DE PAPEL</t>
  </si>
  <si>
    <t>FABRICACIÓN DE ENVASES DE CARTÓN</t>
  </si>
  <si>
    <t>FABRICACIÓN DE ARTÍCULOS DE PAPEL Y CARTÓN N.C.P.</t>
  </si>
  <si>
    <t>FABRICACIÓN DE ARTÍCULOS DE PULPA, PAPEL Y CARTÓN NO CLASIFICADOS EN OTRA PARTE</t>
  </si>
  <si>
    <t>TALLER DE ENROLLADO, BOBINADO Y ENFARDADO DE PAPEL</t>
  </si>
  <si>
    <t>IMPRENTAS, EDITORIALES E INDUSTRIAS CONEXAS</t>
  </si>
  <si>
    <t>EDICIÓN DE LIBROS Y PUBLICACIONES. EDITORIALES CON TALLERES PROPIOS</t>
  </si>
  <si>
    <t>EDITORIAL DE DIARIOS, PERIÓDICOS Y REVISTAS</t>
  </si>
  <si>
    <t>EDITORIALES SIN IMPRENTA</t>
  </si>
  <si>
    <t>EDICIÓN N.C.P.</t>
  </si>
  <si>
    <t>IMPRESIÓN DE DIARIOS Y REVISTAS</t>
  </si>
  <si>
    <t>IMPRESIÓN Y ENCUADERNACIÓN (EXCEPTO DIARIOS Y REVISTAS)</t>
  </si>
  <si>
    <t>SERVICIOS RELACIONADOS CON LA IMPRENTA (ELECTROTIPIA, COMPOSICIÓN DE TIPO, GRABADO)</t>
  </si>
  <si>
    <t>FABRICACIÓN DE PRODUCTOS DIVERSOS DERIVADOS DEL PETRÓLEO Y CARBÓN</t>
  </si>
  <si>
    <t>FABRICACIÓN DE PRODUCTOS DIVERSOS DERIVADOS DEL PETRÓLEO Y DEL CARBÓN EXCEPTO LA REFINACIÓN DE PETRÓLEO</t>
  </si>
  <si>
    <t>FABRICACIÓN DE SUSTANCIAS QUÍMICAS INDUSTRIALES BÁSICAS</t>
  </si>
  <si>
    <t>FABRICACIÓN DE GASES COMPRIMIDOS Y LICUADOS, EXCEPTO LOS DE USO DOMÉSTICO</t>
  </si>
  <si>
    <t>FABRICACIÓN DE GASES COMPRIMIDOS Y LICUADOS PARA USO DOMÉSTICO</t>
  </si>
  <si>
    <t>FABRICACIÓN DE TANINO Y CURTIENTES NATURALES O SINTÉTICOS</t>
  </si>
  <si>
    <t>FABRICACIÓN DE HIELO SECO</t>
  </si>
  <si>
    <t>FABRICACIÓN DE MATERIAS QUÍMICAS INORGÁNICAS BÁSICAS N.C.P.</t>
  </si>
  <si>
    <t>FABRICACIÓN DE MATERIAS QUÍMICAS ORGÁNICAS BÁSICAS N.C.P. (INCLUYE LA FABRICACIÓN DE ALCOHOLES EXCEPTO EL ETÍLICO, SUSTANCIAS QUÍMICAS PARA ELABORACIÓN DE SUSTANCIAS PLÁSTICAS)</t>
  </si>
  <si>
    <t>FABRICACIÓN DE ABONOS Y FERTILIZANTES (INCLUYE LOS BIOLÓGICOS)</t>
  </si>
  <si>
    <t>FABRICACIÓN DE RESINAS Y CAUCHOS SINTÉTICOS</t>
  </si>
  <si>
    <t>FABRICACIÓN DE MATERIALES PLÁSTICOS</t>
  </si>
  <si>
    <t>FABRICACIÓN DE FIBRAS ARTIFICIALES NO CLASIFICADOS EN OTRA PARTE EXCEPTO VIDRIO</t>
  </si>
  <si>
    <t>FABRICACIÓN DE PRODUCTOS QUÍMICOS DIVERSOS</t>
  </si>
  <si>
    <t>FABRICACIÓN DE PLAGUICIDAS (INCLUYE LOS BIOLÓGICOS)</t>
  </si>
  <si>
    <t>FABRICACIÓN DE PINTURAS, BARNICES, LACAS, ESMALTES Y PRODUCTOS SIMILARES Y CONEXOS (EXCEPTO TINTAS)</t>
  </si>
  <si>
    <t>FABRICACIÓN DE MEDICAMENTOS PARA USO HUMANO, PRODUCTOS FARMACÉUTICOS Y MEDICINALES (EXCEPTO PRODUCTOS VETERINARIOS)</t>
  </si>
  <si>
    <t>ELABORACIÓN DE PRODUCTOS MEDICINALES PARA ANIMALES (INCLUYE VACUNAS, SUEROS Y SIMILARES DE USO VETERINARIO)</t>
  </si>
  <si>
    <t>FABRICACIÓN DE PREPARADOS PARA LA LIMPIEZA, PULIDO Y SANEAMIENTO</t>
  </si>
  <si>
    <t>FABRICACIÓN DE JABONES Y DETERGENTES</t>
  </si>
  <si>
    <t>FABRICACIÓN DE PERFUMES, COSMÉTICOS Y OTROS PRODUCTOS DE HIGIENE Y TOCADOR</t>
  </si>
  <si>
    <t>FABRICACIÓN DE TINTAS Y NEGRO DE HUMO (INCLUYE TINTAS DE IMPRENTA)</t>
  </si>
  <si>
    <t>FABRICACIÓN DE EXPLOSIVOS, MUNICIONES Y PRODUCTOS DE PIROTECNIA</t>
  </si>
  <si>
    <t>FABRICACIÓN DE COLAS, ADHESIVOS, APRESTOS Y CEMENTO (EXCEPTO LOS ODONTOLÓGICOS) OBTENIDOS DE SUSTANCIAS MINERALES Y VEGETALES</t>
  </si>
  <si>
    <t>FABRICACIÓN DE PRODUCTOS QUÍMICOS N.C.P. (INCLUYE ACEITES ESENCIALES)</t>
  </si>
  <si>
    <t>FABRICACIÓN DE PRODUCTOS DE CAUCHO</t>
  </si>
  <si>
    <t>FABRICACIÓN DE CALZADO DE CAUCHO</t>
  </si>
  <si>
    <t>FABRICACIÓN DE CÁMARAS Y CUBIERTAS</t>
  </si>
  <si>
    <t>RECAUCHUTAJE Y VULCANIZACIÓN DE CUBIERTAS</t>
  </si>
  <si>
    <t>FABRICACIÓN DE PRODUCTOS DE CAUCHO DESTINADOS A LA INDUSTRIA AUTOMOTOR (EXCEPTO CÁMARAS Y CUBIERTAS)</t>
  </si>
  <si>
    <t>FABRICACIÓN DE JUEGOS Y JUGUETES DE CAUCHO</t>
  </si>
  <si>
    <t>FABRICACIÓN DE PRODUCTOS DE CAUCHO N.C.P.</t>
  </si>
  <si>
    <t>FABRICACIÓN DE PRODUCTOS PLÁSTICOS DIVERSOS</t>
  </si>
  <si>
    <t>FÁBRICA DE BOLSAS DE POLIETILENO</t>
  </si>
  <si>
    <t>FABRICACIÓN DE ENVASES DE PLÁSTICO</t>
  </si>
  <si>
    <t>FABRICACIÓN DE JUGUETES, JUEGOS Y CALZADOS PLÁSTICOS</t>
  </si>
  <si>
    <t>FABRICACIÓN DE MOSAICOS, BALDOSAS, REVESTIMIENTOS DE PAREDES PISOS, DE PRODUCTOS PLÁSTICOS</t>
  </si>
  <si>
    <t>FABRICACIÓN DE PRODUCTOS PLÁSTICOS N.C.P.</t>
  </si>
  <si>
    <t>FABRICACIÓN DE MUEBLES DE PLÁSTICO, SUS PARTES Y ACCESORIOS</t>
  </si>
  <si>
    <t>FABRICACIÓN DE VIDRIO Y PRODUCTOS DE VIDRIO</t>
  </si>
  <si>
    <t>FABRICACIÓN DE VIDRIOS PLANOS Y TEMPLADOS</t>
  </si>
  <si>
    <t>FABRICACIÓN DE ESPEJOS Y VITRALES</t>
  </si>
  <si>
    <t>FABRICACIÓN DE ARTÍCULOS DE VIDRIO Y CRISTAL EXCEPTO ESPEJOS Y VITRALES</t>
  </si>
  <si>
    <t>FABRICACIÓN DE OBJETOS DE BARRO, LOZA, PORCELANA Y CERÁMICA</t>
  </si>
  <si>
    <t>FABRICACIÓN DE ARTEFACTOS SANITARIOS DE BARRO, LOZA, PORCELANA Y CERÁMICA</t>
  </si>
  <si>
    <t>FABRICACIÓN DE OBJETOS DE BARRO, LOZA, PORCELANA Y CERÁMICA PARA USO INDUSTRIAL Y DE LABORATORIO</t>
  </si>
  <si>
    <t>FABRICACIÓN DE OBJETOS DE BARRO, LOZA, PORCELANA Y CERÁMICA PARA USO DOMÉSTICO (EXCEPTO ARTEFACTOS SANITARIOS)</t>
  </si>
  <si>
    <t>FABRICACIÓN DE OBJETOS DE BARRO, LOZA, PORCELANA Y CERÁMICA N.C.P. (EXCEPTO REFRACTARIOS, LADRILLOS Y REVESTIMIENTOS PARA PISOS Y PAREDES)</t>
  </si>
  <si>
    <t>FABRICACIÓN DE OTROS PRODUCTOS MINERALES NO METÁLICOS</t>
  </si>
  <si>
    <t>FABRICACIÓN DE MATERIAL REFRACTARIO</t>
  </si>
  <si>
    <t>FABRICACIÓN DE LADRILLOS Y BLOQUES</t>
  </si>
  <si>
    <t>FABRICACIÓN DE REVESTIMIENTOS CERÁMICOS PARA PISOS Y PAREDES</t>
  </si>
  <si>
    <t>FABRICACIÓN DE PRODUCTOS DE ARCILLA Y CERÁMICA NO REFRACTARIA PARA USO ESTRUCTURAL</t>
  </si>
  <si>
    <t xml:space="preserve">FABRICACIÓN DE CEMENTO </t>
  </si>
  <si>
    <t>ELABORACIÓN DE YESO</t>
  </si>
  <si>
    <t>FABRICACIÓN DE CAL</t>
  </si>
  <si>
    <t>FABRICACIÓN DE MOSAICOS, BALDOSAS, REVESTIMIENTOS DE PAREDES Y PISOS (EXCLUIDOS LOS CERÁMICOS Y PLÁSTICOS)</t>
  </si>
  <si>
    <t>FABRICACIÓN DE ARTÍCULOS DE CEMENTO Y FIBROCEMENTO (EXCEPTO LADRILLOS)</t>
  </si>
  <si>
    <t>FABRICACIÓN DE PREMOLDEADOS PARA LA CONSTRUCCIÓN (INCLUYE VIVIENDAS PREMOLDEADAS)</t>
  </si>
  <si>
    <t>FABRICACIÓN DE PRODUCTOS DE PIEDRA, MÁRMOL Y GRANITO (INCLUYE CORTE Y TALLADO)</t>
  </si>
  <si>
    <t>FABRICACIÓN DE PRODUCTOS MINERALES NO METÁLICOS N.C.P.</t>
  </si>
  <si>
    <t>INDUSTRIAS BÁSICAS DE HIERRO Y ACERO</t>
  </si>
  <si>
    <t>FUNDICIÓN EN HORNOS Y ACERÍAS. PRODUCCIÓN DE LINGOTES, PLANCHAS O BARRAS</t>
  </si>
  <si>
    <t>LAMINACIÓN Y ESTIRADO. LAMINADORAS. CORTES, DOBLADO Y PLEGADO DE CHAPAS /O ACEROS</t>
  </si>
  <si>
    <t>FABRICACIÓN EN INDUSTRIAS BÁSICAS DE PRODUCTOS DE HIERRO Y ACERO N.C.P. (INCLUYE ALAMBRE, CAÑERÍAS, TUBERÍAS) EN GENERAL</t>
  </si>
  <si>
    <t>ELABORACIÓN DE ALUMINIO PRIMARIO Y SEMIELABORADOS DE ALUMINIO</t>
  </si>
  <si>
    <t>PRODUCCIÓN DE METALES NO FERROSOS N.C.P. Y SUS SEMIELABORADOS</t>
  </si>
  <si>
    <t>FUNDICIÓN DE HIERRO Y ACERO</t>
  </si>
  <si>
    <t>FUNDICIÓN DE METALES NO FERROSOS</t>
  </si>
  <si>
    <t>FABRICACIÓN DE PRODUCTOS METÁLICOS EXCEPTO MAQUINARIA Y EQUIPOS</t>
  </si>
  <si>
    <t>FABRICACIÓN DE PRODUCTOS DE CARPINTERÍA METÁLICA</t>
  </si>
  <si>
    <t>FABRICACIÓN DE ESTRUCTURAS METÁLICAS PARA LA CONSTRUCCIÓN</t>
  </si>
  <si>
    <t>MONTAJES INDUSTRIALES</t>
  </si>
  <si>
    <t>FABRICACIÓN DE TANQUES Y DEPÓSITOS METÁLICOS</t>
  </si>
  <si>
    <t>FABRICACIÓN DE CALDERAS Y GENERADORES DE VAPOR</t>
  </si>
  <si>
    <t>GALVANOPLASTÍA, ESMALTADO, Y OTROS PROCESOS SIMILARES EN METALES, INCLUYENDO PULVIMETALURGIA, INCLUYE ESTAMPADO, PRENSADO, FORJADO Y LAMINADO DE METALES</t>
  </si>
  <si>
    <t>FABRICACIÓN DE HERRAMIENTAS MANUALES Y SUS ACCESORIOS (PARA USO GENERAL, PLOMERÍA, ALBAÑILERÍA, INCLUYENDO LAS DE CAMPO Y JARDÍN)</t>
  </si>
  <si>
    <t>FABRICACIÓN DE CUCHILLERÍA, VAJILLA, UTENSILIOS Y BATERÍAS DE COCINA</t>
  </si>
  <si>
    <t>FABRICACIÓN DE CERRADURAS, LLAVES, HERRAJES Y OTROS ARTÍCULOS DE FERRETERÍA INCLUYENDO CLAVOS Y BULONES</t>
  </si>
  <si>
    <t>FABRICACIÓN DE ENVASES METÁLICOS, INCLUYENDO BRONCE, LATÓN, ALUMINIO, HOJALATA</t>
  </si>
  <si>
    <t>FABRICACIÓN DE TEJIDOS DE ALAMBRE</t>
  </si>
  <si>
    <t>FABRICACIÓN DE CAJAS DE SEGURIDAD</t>
  </si>
  <si>
    <t>FABRICACIÓN DE PRODUCTOS METÁLICOS DE TORNERÍA Y MATRICERÍA</t>
  </si>
  <si>
    <t>FABRICACIÓN DE PRODUCTOS METÁLICOS N.C.P.</t>
  </si>
  <si>
    <t>FABRICACIÓN Y REPARACIÓN DE MAQUINARIA EXCEPTO LA ELÉCTRICA</t>
  </si>
  <si>
    <t>FABRICACIÓN Y REPARACIÓN DE MOTORES Y TURBINAS, INCLUYENDO MÁQUINAS DE VAPOR (EXCEPTO DE MOTOCICLETAS, AUTOMOTORES Y NAVES)</t>
  </si>
  <si>
    <t xml:space="preserve">FABRICACIÓN Y REPARACIÓN DE BOMBAS, COMPRESORES Y MAQUINARIA O EQUIPOS SIMILARES </t>
  </si>
  <si>
    <t>FABRICACIÓN DE VÁLVULAS, GRIFOS Y ACCESORIOS DE CAÑERÍAS</t>
  </si>
  <si>
    <t>FABRICACIÓN DE HORNOS, HOGARES, ESTUFAS Y CALEFACTORES INDUSTRIALES (EXCLUIDOS LOS ELÉCTRICOS)</t>
  </si>
  <si>
    <t>FABRICACIÓN Y REPARACIÓN DE ASCENSORES, ESCALERAS MECÁNICAS, MONTACARGAS</t>
  </si>
  <si>
    <t xml:space="preserve">FABRICACIÓN Y REPARACIÓN DE MAQUINARIA Y EQUIPOS PARA LA INDUSTRIA EN GENERAL N.C.P. </t>
  </si>
  <si>
    <t>FABRICACIÓN Y REPARACIÓN DE MAQUINARIA Y EQUIPO PARA USO VIAL</t>
  </si>
  <si>
    <t>FABRICACIÓN Y REPARACIÓN DE MÁQUINAS Y EQUIPOS N.C.P. (EXCEPTO LA MAQUINARIA ELÉCTRICA)</t>
  </si>
  <si>
    <t>FABRICACIÓN Y REPARACIÓN DE ACCESORIOS DE MÁQUINAS Y EQUIPOS N.C.P. (EXCEPTO LOS ELÉCTRICOS)</t>
  </si>
  <si>
    <t>FABRICACIÓN Y REPARACIÓN DE TRACTORES</t>
  </si>
  <si>
    <t>FABRICACIÓN Y REPARACIÓN DE MAQUINARIA AGROPECUARIA Y FORESTAL (EXCEPTO TRACTORES)</t>
  </si>
  <si>
    <t>FABRICACIÓN Y REPARACIÓN DE MAQUINARIA Y EQUIPO PARA TRABAJAR LOS METALES, INCLUYENDO MÁQUINAS HERRAMIENTA Y MÁQUINAS PARA METALURGIA</t>
  </si>
  <si>
    <t>FABRICACIÓN Y REPARACIÓN DE MAQUINARIA Y EQUIPO PARA LA INDUSTRIA MINERA, PETROLERA Y CANTERAS</t>
  </si>
  <si>
    <t>FABRICACIÓN Y REPARACIÓN DE MAQUINARIA Y EQUIPO PARA LA CONSTRUCCIÓN</t>
  </si>
  <si>
    <t>FABRICACIÓN Y REPARACIÓN DE MAQUINARIA PARA LA ELABORACIÓN Y ENVASES DE PRODUCTOS ALIMENTICIOS, BEBIDAS Y TABACO</t>
  </si>
  <si>
    <t>FABRICACIÓN Y REPARACIÓN DE MAQUINARIA Y EQUIPO PARA LA INDUSTRIA TEXTIL, PRENDAS DE VESTIR Y CUERO</t>
  </si>
  <si>
    <t>FABRICACIÓN Y REPARACIÓN DE ARMAS (EXCEPTO MUNICIONES)</t>
  </si>
  <si>
    <t>FABRICACIÓN Y REPARACIÓN DE MAQUINARIA Y EQUIPO PARA LA INDUSTRIA DEL PAPEL Y LAS ARTES GRÁFICAS</t>
  </si>
  <si>
    <t>FABRICACIÓN Y REPARACIÓN DE BÁSCULAS, BALANZAS Y DINAMÓMETROS, EXCEPTO LOS CIENTÍFICOS PARA USO DE LABORATORIO</t>
  </si>
  <si>
    <t>FABRICACIÓN Y REPARACIÓN DE MAQUINARIA Y EQUIPO PARA TRABAJAR LA MADERA</t>
  </si>
  <si>
    <t>FABRICACIÓN Y REPARACIÓN DE MÁQUINAS Y EQUIPOS DE REFRIGERACIÓN</t>
  </si>
  <si>
    <t>FABRICACIÓN Y REPARACIÓN DE COCINAS, CALEFONES, ESTUFAS Y CALEFACTORES DE USO DOMÉSTICO, NO ELÉCTRICOS</t>
  </si>
  <si>
    <t xml:space="preserve">FABRICACIÓN DE ARTEFACTOS PARA ILUMINACIÓN METÁLICOS, EXCEPTO LOS ELÉCTRICOS </t>
  </si>
  <si>
    <t>FABRICACIÓN DE HELADERAS, FREEZERS, LAVARROPAS Y SECARROPAS</t>
  </si>
  <si>
    <t>FABRICACIÓN Y REPARACIÓN DE MÁQUINAS DE COSER Y TEJER</t>
  </si>
  <si>
    <t>FABRICACIÓN DE VENTILADORES Y EXTRACTORES DE AIRE, ASPIRADORAS Y OTROS APARATOS SEMEJANTES</t>
  </si>
  <si>
    <t>FABRICACIÓN Y REPARACIÓN DE ACONDICIONADORES DE AIRE</t>
  </si>
  <si>
    <t>FABRICACIÓN DE ENCERADORAS, PULIDORAS, BATIDORAS, LICUADORAS Y OTROS APARATOS SEMEJANTES</t>
  </si>
  <si>
    <t>FABRICACIÓN DE PLANCHAS, CALEFACTORES, HORNOS ELÉCTRICOS, MICROONDAS Y OTROS APARATOS GENERADORES DE CALOR</t>
  </si>
  <si>
    <t>FABRICACIÓN DE APARATOS Y SUMINISTROS ELÉCTRICOS NO CLASIFICADOS EN OTRA PARTE (INCLUYE ACCESORIOS ELÉCTRICOS)</t>
  </si>
  <si>
    <t>FABRICACIÓN DE APARATOS Y ACCESORIOS ELÉCTRICOS DE USO DOMÉSTICO NO CLASIFICADOS EN OTRA PARTE</t>
  </si>
  <si>
    <t>FABRICACIÓN Y REPARACIÓN DE MÁQUINAS Y APARATOS INDUSTRIALES ELÉCTRICOS NO CLASIFICADOS EN OTRA PARTE</t>
  </si>
  <si>
    <t>FABRICACIÓN Y REPARACIÓN DE EQUIPOS DE COMPUTACIÓN</t>
  </si>
  <si>
    <t>FABRICACIÓN Y REPARACIÓN DE MAQUINARIA DE OFICINA, CÁLCULO, CONTABILIDAD, MÁQUINAS DE ESCRIBIR, CAJAS REGISTRADORAS</t>
  </si>
  <si>
    <t>FABRICACIÓN Y REPARACIÓN DE MOTORES ELÉCTRICOS, TRANSFORMADORES Y GENERADORES</t>
  </si>
  <si>
    <t>FABRICACIÓN Y REPARACIÓN DE EQUIPOS DE DISTRIBUCIÓN Y TRANSMISIÓN DE ELECTRICIDAD</t>
  </si>
  <si>
    <t xml:space="preserve">FABRICACIÓN DE CONDUCTORES ELÉCTRICOS </t>
  </si>
  <si>
    <t>FABRICACIÓN DE ACUMULADORES Y PILAS ELÉCTRICAS</t>
  </si>
  <si>
    <t>FABRICACIÓN DE ARTEFACTOS ELÉCTRICOS PARA LA ILUMINACIÓN</t>
  </si>
  <si>
    <t>FABRICACIÓN DE LÁMPARAS Y TUBOS ELÉCTRICOS</t>
  </si>
  <si>
    <t>FABRICACIÓN DE TRANSMISORES DE RADIO Y TELEVISIÓN Y APARATOS DE TELEFONÍA Y TELEGRAFÍA CON HILOS</t>
  </si>
  <si>
    <t>FABRICACIÓN DE BOBINAS, ARRANQUES, BUJÍAS Y OTROS EQUIPOS Y APARATOS ELÉCTRICOS PARA MOTORES DE COMBUSTIÓN INTERNA</t>
  </si>
  <si>
    <t>FABRICACIÓN DE EQUIPOS Y APARATOS DE COMUNICACIONES</t>
  </si>
  <si>
    <t>FABRICACIÓN DE RECEPTORES DE RADIO, TELEVISIÓN, GRABACIÓN Y REPRODUCCIÓN DE IMÁGENES GRABADAS Y SONIDO</t>
  </si>
  <si>
    <t>FABRICACIÓN Y GRABACIÓN DE DISCOS Y CINTAS MAGNETOFÓNICAS</t>
  </si>
  <si>
    <t>FABRICACIÓN DE PIEZAS Y SUMINISTROS UTILIZADOS ESPECIALMENTE PARA APARATOS DE RADIO Y TELEVISIÓN</t>
  </si>
  <si>
    <t>FABRICACIÓN Y REPARACIÓN E INSTRUMENTOS Y APARATOS DE CIRUGÍA, MEDICINA, ODONTOLOGÍA, ORTOPEDIA, SUS PARTES Y ACCESORIOS</t>
  </si>
  <si>
    <t>FABRICACIÓN DE APARATOS Y ACCESORIOS PARA FOTOGRAFÍA</t>
  </si>
  <si>
    <t>FABRICACIÓN DE LENTES Y ARTÍCULOS OFTÁLMICOS</t>
  </si>
  <si>
    <t>FABRICACIÓN DE INSTRUMENTOS DE ÓPTICA</t>
  </si>
  <si>
    <t>FABRICACIÓN Y ARMADO DE RELOJES (INCLUYE FABRICACIÓN DE PIEZAS Y CAJAS PARA RELOJES Y MECANISMOS SIMILARES)</t>
  </si>
  <si>
    <t>FABRICACIÓN DE EQUIPOS DE TRANSPORTE</t>
  </si>
  <si>
    <t>FABRICACIÓN DE MOTORES PARA AUTOMÓVILES, CAMIONES Y OTROS VEHÍCULOS PARA TRANSPORTE DE CARGA Y PASAJEROS (EXCLUIDOS MOTOS Y SIMILARES)</t>
  </si>
  <si>
    <t>FABRICACIÓN Y ARMADO DE VEHÍCULOS AUTOMOTORES</t>
  </si>
  <si>
    <t>FABRICACIÓN DE REMOLQUES Y SEMIRREMOLQUES</t>
  </si>
  <si>
    <t>FABRICACIÓN Y ARMADO DE CARROCERÍAS PARA AUTOMÓVILES, CAMIONES Y OTROS VEHÍCULOS PARA TRANSPORTE DE CARGA Y PASAJEROS (INCLUYE CASAS RODANTES)</t>
  </si>
  <si>
    <t>FABRICACIÓN DE REPUESTOS, PIEZAS Y ACCESORIOS PARA VEHÍCULOS AUTOMOTORES</t>
  </si>
  <si>
    <t>RECTIFICACIÓN DE MOTORES</t>
  </si>
  <si>
    <t>CONSTRUCCIÓN DE MOTORES Y PIEZAS PARA NAVÍOS</t>
  </si>
  <si>
    <t>CONSTRUCCIÓN Y REPARACIÓN DE EMBARCACIONES, INCLUYE BUQUES, YATES, VELEROS, BOTES, ASTILLEROS</t>
  </si>
  <si>
    <t>CONSTRUCCIÓN DE MAQUINARIA Y EQUIPO FERROVIARIO (INCLUYE LOCOMOTORAS Y MATERIAL RODANTE)</t>
  </si>
  <si>
    <t>FABRICACIÓN DE AERONAVES, PLANEADORES Y SIMILARES, SUS COMPONENTES, REPUESTOS Y ACCESORIOS</t>
  </si>
  <si>
    <t>FABRICACIÓN DE MOTOCICLETAS, VEHÍCULOS SIMILARES Y SUS PARTES, INCLUYENDO EL MOTOR</t>
  </si>
  <si>
    <t>FABRICACIÓN Y ARMADO DE BICICLETAS Y RODADOS SIMILARES</t>
  </si>
  <si>
    <t>FABRICACIÓN DE MATERIAL DE TRANSPORTE NO CLASIFICADO EN OTRA PARTE</t>
  </si>
  <si>
    <t>FABRICACIÓN Y REPARACIÓN DE GRÚAS Y EQUIPAMIENTO DE TRANSPORTE MECÁNICO</t>
  </si>
  <si>
    <t>FABRICACIÓN DE MUEBLES, SUS PARTES Y ACCESORIOS, EXCEPTO METÁLICOS Y PLÁSTICOS</t>
  </si>
  <si>
    <t>FABRICACIÓN DE ACCESORIOS PARA MUEBLES</t>
  </si>
  <si>
    <t>OTRAS INDUSTRIAS MANUFACTURERAS</t>
  </si>
  <si>
    <t>ELABORACIÓN DE ACEITES Y GRASAS ANIMALES NO COMESTIBLES</t>
  </si>
  <si>
    <t>FABRICACIÓN DE COLCHONES, SOMMIERS, ALMOHADONES Y ALMOHADAS</t>
  </si>
  <si>
    <t>FABRICACIÓN DE JOYAS Y ARTÍCULOS CONEXOS</t>
  </si>
  <si>
    <t>FABRICACIÓN DE OBJETOS DE PLATERÍA Y ENCHAPADOS</t>
  </si>
  <si>
    <t>FABRICACIÓN DE INSTRUMENTOS DE MÚSICA</t>
  </si>
  <si>
    <t>FABRICACIÓN DE EQUIPOS Y APARATOS PARA DEPORTE, ATLETISMO Y CAMPING</t>
  </si>
  <si>
    <t>FABRICACIÓN DE JUEGOS Y JUGUETES (EXCEPTO LOS DE CAUCHO Y PLÁSTICO)</t>
  </si>
  <si>
    <t>FABRICACIÓN DE LÁPICES, LAPICERAS, BOLÍGRAFOS, PLUMAS ESTILOGRÁFICAS Y ARTÍCULOS SIMILARES PARA OFICINA</t>
  </si>
  <si>
    <t>FABRICACIÓN DE CEPILLOS, PINCELES Y ESCOBAS</t>
  </si>
  <si>
    <t xml:space="preserve">7,00‰ </t>
  </si>
  <si>
    <t>FABRICACIÓN DE FÓSFOROS</t>
  </si>
  <si>
    <t>FABRICACIÓN DE PARAGUAS</t>
  </si>
  <si>
    <t>FABRICACIÓN DE EQUIPOS Y ARTÍCULOS PARA GASTRONOMÍA</t>
  </si>
  <si>
    <t>FABRICACIÓN DE ARTÍCULOS NO CLASIFICADOS EN OTRA PARTE</t>
  </si>
  <si>
    <t>RECICLAMIENTO DE DESPERDICIOS Y DESECHOS METÁLICOS</t>
  </si>
  <si>
    <t>RECICLAMIENTO DE DESPERDICIOS Y DESECHOS NO METÁLICOS</t>
  </si>
  <si>
    <t>DESARROLLO DE SOFTWARE</t>
  </si>
  <si>
    <t>FABRICACIÓN Y ARMADO DE LETREROS Y ANUNCIOS PUBLICITARIOS</t>
  </si>
  <si>
    <t>ELECTRICIDAD, GAS Y SIMILARES</t>
  </si>
  <si>
    <t>ELECTRICIDAD, GAS Y VAPOR</t>
  </si>
  <si>
    <t>PRODUCCIÓN Y DISTRIBUCIÓN DE GAS NATURAL</t>
  </si>
  <si>
    <t>PRODUCCIÓN Y DISTRIBUCIÓN DE GASES NO CLASIFICADOS EN OTRA PARTE</t>
  </si>
  <si>
    <t>SUMINISTRO DE VAPOR Y AGUA CALIENTE</t>
  </si>
  <si>
    <t>CAPTACIÓN, PURIFICACIÓN Y DISTRIBUCIÓN DE AGUA</t>
  </si>
  <si>
    <t>CONSTRUCCIÓN</t>
  </si>
  <si>
    <t>EXCAVACIÓN Y DEMOLICIÓN DE EDIFICIOS Y SUS PARTES</t>
  </si>
  <si>
    <t>PERFORACIÓN Y SONDEO (EXCEPTO PERFORACIÓN DE POZOS DE PETRÓLEO, DE GAS, DE MINAS E HIDRÁULICOS Y PROSPECCIÓN DE YACIMIENTOS DE PETRÓLEO)</t>
  </si>
  <si>
    <t>MOVIMIENTO DE SUELOS Y PREPARACIÓN DE TERRENOS PARA OBRAS N.C.P. (INCLUYE EL DRENAJE, REMOCIÓN DE ROCAS, EXCAVACIÓN DE ZANJAS PARA SERVICIOS PÚBLICOS, ALCANTARILLADO URBANO Y PARA CONSTRUCCIONES DIVERSAS, MOVIMIENTOS DE TIERRAS PARA HACER TERRAPLENES O DESMONTES PREVIOS A LA CONSTRUCCIÓN DE VÍAS, AUTOPISTAS, FF.CC.)</t>
  </si>
  <si>
    <t>CONSTRUCCIÓN, REFORMA Y REPARACIÓN DE EDIFICIOS (INCLUYE VIVIENDAS UNIFAMILIARES Y MULTIFAMILIARES; BUNGALOWS, CABAÑAS, CASAS DE CAMPO, DEPARTAMENTO, ALBERGUES PARA ANCIANOS, ESTUDIANTES, NIÑOS)</t>
  </si>
  <si>
    <t>15,00‰</t>
  </si>
  <si>
    <t>CONSTRUCCIÓN O REPARACIÓN DE CALLES, PUENTES, AEROPUERTOS, CENTRALES HIDROELÉCTRICAS Y/U OBRAS PESADAS SIMILARES</t>
  </si>
  <si>
    <t>PERFORACIÓN DE POZOS DE AGUA</t>
  </si>
  <si>
    <t>PERFORACIÓN DE POZO NEGRO</t>
  </si>
  <si>
    <t>HORMIGONADO, HINCADO DE PILOTES, CIMENTACIÓN Y OTROS TRABAJOS DE HORMIGÓN ARMADO</t>
  </si>
  <si>
    <t>COLOCACIÓN DE CUBIERTAS ASFÁLTICAS Y TECHOS</t>
  </si>
  <si>
    <t>OBRAS DE INGENIERÍA CIVIL N.C.P.</t>
  </si>
  <si>
    <t>CONSTRUCCIONES N.C.P.</t>
  </si>
  <si>
    <t>EJECUCIÓN Y MANTENIMIENTO DE INSTALACIONES ELÉCTRICAS N.C.P.</t>
  </si>
  <si>
    <t>INSTALACIONES PARA EDIFICIOS Y OBRAS DE INGENIERÍA CIVIL N.C.P. (INCLUYE AISLAMIENTO TÉRMINO, ACÚSTICO, ANTIVIBRATORIO)</t>
  </si>
  <si>
    <t>COLOCACIÓN DE CARPINTERÍA Y HERRERÍA DE OBRA, VIDRIOS Y CERRAMIENTOS</t>
  </si>
  <si>
    <t>REVOQUE Y ENYESADO DE PAREDES Y CIELORRASOS</t>
  </si>
  <si>
    <t>COLOCACIÓN Y PULIDO DE PISOS Y REVESTIMIENTOS DE MOSAICOS, MÁRMOL, CERÁMICOS Y SIMILARES</t>
  </si>
  <si>
    <t>COLOCACIÓN DE PISOS Y REVESTIMIENTOS N.C.P. (INCLUYE PLASTIFICADO DE PISOS)</t>
  </si>
  <si>
    <t>PINTURA, EMPAPELADO Y TRABAJOS DE DECORACIÓN</t>
  </si>
  <si>
    <t>TERMINACIÓN DE EDIFICIOS Y OBRAS DE INGENIERÍA CIVIL N.C.P. (INCLUYE TRABAJOS DE ORNAMENTACIÓN, LIMPIEZA EXTERIOR DE EDIFICIOS CON VAPOR, CHORRO DE ARENA U OTROS MÉTODOS)</t>
  </si>
  <si>
    <t>ALQUILER DE EQUIPO DE CONSTRUCCIÓN O DEMOLICIÓN</t>
  </si>
  <si>
    <t>MANTENIMIENTO Y REPARACIÓN DE AUTOMOTORES Y MOTOCICLETAS</t>
  </si>
  <si>
    <t>TALLER DE GOMERÍA. INCLUYE LAS QUE POSEEN ANEXOS DE RECAPADOS</t>
  </si>
  <si>
    <t>REPARACIÓN DE AUTOMOTORES Y MOTOCICLETAS (AMORTIGUADORES, ALINEACIÓN DE DIRECCIÓN, BALANCEO DE RUEDAS, LLANTAS)</t>
  </si>
  <si>
    <t>INSTALACIÓN Y REPARACIÓN DE LUNETAS Y VENTANILLAS, SISTEMA DE CLIMATIZACIÓN, GRABADO DE CRISTALES DE AUTOMOTORES, POLARIZADOS</t>
  </si>
  <si>
    <t xml:space="preserve">TAPIZADO Y RETAPIZADO DE AUTOMOTORES </t>
  </si>
  <si>
    <t>SERVICIO DE TAPICERÍA (EXCLUIDO P/AUTOMOTORES)</t>
  </si>
  <si>
    <t>REPARACIONES ELÉCTRICAS DE AUTOMOTORES (INCLUYENDO TABLEROS, INSTRUMENTAL Y REPARACIÓN O RECARGA DE BATERÍAS)</t>
  </si>
  <si>
    <t>TALLER DE CHAPA Y PINTURA DE AUTOMOTORES</t>
  </si>
  <si>
    <t>LAVADERO DE AUTOS</t>
  </si>
  <si>
    <t>MANTENIMIENTO Y REPARACIÓN DE FRENOS DE AUTOMOTORES</t>
  </si>
  <si>
    <t>SERVICIO DE CERRAJERÍA</t>
  </si>
  <si>
    <t>REPARACIÓN DE AUTOMOTORES Y MOTOCICLETAS (MOTORES Y MECÁNICA INTEGRAL; INCLUIDOS CARBURADOR, RADIADOR, Y SERVICIO DE AUXILIO Y REMOLQUE DE AUTOMOTORES). INCLUYE INSTALACIÓN DE EQUIPOS DE GNC</t>
  </si>
  <si>
    <t>REPARACIÓN DE BICICLETAS Y RODADOS INFANTILES</t>
  </si>
  <si>
    <t>LUBRICENTROS</t>
  </si>
  <si>
    <t xml:space="preserve">ACTIVIDADES COMERCIALES </t>
  </si>
  <si>
    <t>POR MAYOR</t>
  </si>
  <si>
    <t>VENTA AL POR MAYOR EN COMISIÓN O CONSIGNACIÓN</t>
  </si>
  <si>
    <t>20,00‰</t>
  </si>
  <si>
    <t>VENTA Y DISTRIBUCIÓN POR MAYOR EN COMISIÓN O CONSIGNACIÓN DE CEREALES</t>
  </si>
  <si>
    <t>VENTA Y DISTRIBUCIÓN POR MAYOR EN COMISIÓN O CONSIGNACIÓN DE PRODUCTOS Y SUBPRODUCTOS GANADEROS Y AGRÍCOLAS N.C.P.</t>
  </si>
  <si>
    <t>OPERACIONES DE INTERMEDIACIÓN DE GANADO EN PIE DE TERCEROS. CONSIG. DE HACIENDA</t>
  </si>
  <si>
    <t>OPERACIONES DE INTERMEDIACIÓN DE GANADO EN PIE EN REMATES FERIAS</t>
  </si>
  <si>
    <t>VENTA AL POR MAYOR O CONSIGNACIÓN DE LANAS, CUEROS Y FRUTOS DEL PAÍS</t>
  </si>
  <si>
    <t>MATARIFES</t>
  </si>
  <si>
    <t>VENTA AL POR MAYOR EN COMISIÓN O CONSIGNACIÓN DE ALIMENTOS Y BEBIDAS NO ALCOHÓLICAS</t>
  </si>
  <si>
    <t>VENTA AL POR MAYOR EN COMISIÓN O CONSIGNACIÓN DE BEBIDAS ALCOHÓLICAS</t>
  </si>
  <si>
    <t>VENTA AL POR MAYOR EN COMISIÓN O CONSIGNACIÓN DE TABACO</t>
  </si>
  <si>
    <t>VENTA AL POR MAYOR EN COMISIÓN O CONSIGNACIÓN DE PRODUCTOS TEXTILES</t>
  </si>
  <si>
    <t>VENTA AL POR MAYOR EN COMISIÓN O CONSIGNACIÓN DE MADERA Y MATERIALES PARA LA CONSTRUCCIÓN</t>
  </si>
  <si>
    <t>VENTA AL POR MAYOR EN COMISIÓN O CONSIGNACIÓN DE ENERGÍA ELÉCTRICA, GAS Y COMBUSTIBLES</t>
  </si>
  <si>
    <t>VENTA DE COMBUSTIBLES AL POR MENOR (POR COMISIONES)</t>
  </si>
  <si>
    <t>VENTA AL POR MAYOR EN COMISIÓN O CONSIGNACIÓN DE MINERALES, METALES Y PRODUCTOS QUÍMICOS INDUSTRIALES</t>
  </si>
  <si>
    <t>VENTA AL POR MAYOR EN COMISIÓN O CONSIGNACIÓN DE MÁQUINAS, EQUIPOS Y APARATOS DE USO DOMÉSTICO, INCLUIDOS LOS ELECTRÓNICOS</t>
  </si>
  <si>
    <t>VENTA AL POR MAYOR EN COMISIÓN O CONSIGNACIÓN DE MAQUINARIA, EQUIPO PROFESIONAL INDUSTRIAL Y COMERCIAL, EMBARCACIONES Y AERONAVES</t>
  </si>
  <si>
    <t>VENTA AL POR MAYOR EN COMISIÓN O CONSIGNACIÓN DE PAPEL, CARTÓN, LIBROS, REVISTAS, DIARIOS, MATERIALES DE EMBALAJE Y ARTÍCULOS DE LIBRERÍA</t>
  </si>
  <si>
    <t>VENTA AL POR MAYOR EN COMISIÓN O CONSIGNACIÓN DE PRODUCTOS MEDICINALES</t>
  </si>
  <si>
    <t>VENTA DE ANTIGÜEDADES, POR COMISIONES O CONSIGNACIONES</t>
  </si>
  <si>
    <t>20,50‰</t>
  </si>
  <si>
    <t>VENTA DE AUTOMOTORES NUEVOS POR COMISIONES O CONSIGNACIONES. INCLUYE PLANES DE AHORRO</t>
  </si>
  <si>
    <t>VENTA AL POR MAYOR EN COMISIÓN O CONSIGNACIÓN DE MERCADERÍAS N.C.P.</t>
  </si>
  <si>
    <t>VENTA AL POR MAYOR EN COMISIÓN O CONSIGNACIÓN DE FRUTAS, HORTALIZAS Y VERDURAS EN EL MERCADO DE ABASTO</t>
  </si>
  <si>
    <t>VENTA DE AUTOMOTORES USADOS POR COMISIONES O CONSIGNACIONES. INCLUYE PLANES DE AHORRO</t>
  </si>
  <si>
    <t>VENTA POR MAYOR DE CEREALES Y LEGUMBRES</t>
  </si>
  <si>
    <t>VENTA POR MAYOR DE SEMILLAS</t>
  </si>
  <si>
    <t>VENTA AL POR MAYOR DE LANAS, CUEROS Y FRUTOS DEL PAÍS</t>
  </si>
  <si>
    <t>VENTA AL POR MAYOR DE MATERIAS PRIMAS PECUARIAS, INCLUYE ANIMALES VIVOS</t>
  </si>
  <si>
    <t>VENTA AL POR MAYOR DE PRODUCTOS LÁCTEOS (EXCEPTO QUESOS)</t>
  </si>
  <si>
    <t>VENTA AL POR MAYOR DE FIAMBRES, EMBUTIDOS Y CHACINADOS</t>
  </si>
  <si>
    <t>QUESERÍAS. VENTA AL POR MAYOR DE QUESOS</t>
  </si>
  <si>
    <t>VENTA Y ABASTECIMIENTO DE CARNE Y DERIVADOS</t>
  </si>
  <si>
    <t>VENTA AL POR MAYOR DE AVES Y HUEVOS</t>
  </si>
  <si>
    <t>VENTA AL POR MAYOR DE PESCADOS Y PRODUCTOS MARINOS</t>
  </si>
  <si>
    <t xml:space="preserve">VENTA AL POR MAYOR DE FRUTAS, HORTALIZAS Y VERDURAS </t>
  </si>
  <si>
    <t>DISTRIBUCIÓN Y VENTA AL POR MAYOR DE PAN Y PRODUCTOS DE PANIFICACIÓN</t>
  </si>
  <si>
    <t>VENTA AL POR MAYOR DE CHOCOLATE Y SUS PREPARADOS, CARAMELOS Y OTROS DERIVADOS DEL AZÚCAR</t>
  </si>
  <si>
    <t>FRACCIONAMIENTO Y VENTA AL POR MAYOR DE AZÚCAR</t>
  </si>
  <si>
    <t>VENTA AL POR MAYOR DE ACEITES Y GRASAS COMESTIBLES, VINAGRES</t>
  </si>
  <si>
    <t>VENTA AL POR MAYOR DE CAFÉ, TÉ Y YERBA MATE (INCLUYE FRACCIONAMIENTO, Y VENTA AL POR MAYOR DE SAL), (FRACCIONAMIENTO, Y VENTA AL POR MAYOR DE TÉ Y ESPECIAS)</t>
  </si>
  <si>
    <t>DISTRIBUCIÓN Y VENTA AL POR MAYOR DE PRODUCTOS Y SUBPRODUCTOS DE MOLINERÍA</t>
  </si>
  <si>
    <t>VENTA POR MAYOR DE PRODUCTOS PARA ANIMALES INCLUIDOS MEDICAMENTOS Y MASCOTAS</t>
  </si>
  <si>
    <t>FRACCIONAMIENTO, DISTRIBUCIÓN Y VENTA AL POR MAYOR DE ENCURTIDOS</t>
  </si>
  <si>
    <t>DISTRIBUCIÓN Y VENTA AL POR MAYOR DE ALIMENTOS Y SUPLEMENTOS DIETARIOS</t>
  </si>
  <si>
    <t>VENTA, DISTRIBUCIÓN Y FRACCIONAMIENTO AL POR MAYOR DE PRODUCTOS DIETÉTICOS</t>
  </si>
  <si>
    <t>VENTA Y DISTRIBUCIÓN AL POR MAYOR DE OTROS PRODUCTOS Y SUBPRODUCTOS GANADEROS Y AGRÍCOLAS</t>
  </si>
  <si>
    <t>FRACCIONAMIENTO, DISTRIBUCIÓN Y VENTA POR MAYOR DE PRODUCTOS ALIMENTARIOS N.C.P.</t>
  </si>
  <si>
    <t>FRACCIONAMIENTO Y VENTA POR MAYOR DE BEBIDAS Y TABACOS</t>
  </si>
  <si>
    <t>VENTA AL POR MAYOR DE VINOS SIN FRACCIONAMIENTO</t>
  </si>
  <si>
    <t>VENTA AL POR MAYOR DE BEBIDAS ALCOHÓLICAS Y ENERGIZANTES</t>
  </si>
  <si>
    <t>FRACCIONAMIENTO, DISTRIBUCIÓN Y VENTA POR MAYOR DE ALCOHOLES</t>
  </si>
  <si>
    <t>VENTA AL POR MAYOR DE BEBIDAS NO ALCOHÓLICAS, AGUAS, GASEOSAS</t>
  </si>
  <si>
    <t>-</t>
  </si>
  <si>
    <t>25,00‰</t>
  </si>
  <si>
    <t>VENTA AL POR MAYOR DE TABACOS Y CIGARRILLOS</t>
  </si>
  <si>
    <t>VENTA AL POR MAYOR DE FIBRAS, HILADOS E HILOS</t>
  </si>
  <si>
    <t>VENTA AL POR MAYOR DE TEJIDOS</t>
  </si>
  <si>
    <t>VENTA AL POR MAYOR DE MANTELERÍA Y ROPA DE CAMA</t>
  </si>
  <si>
    <t>VENTA AL POR MAYOR DE ARTÍCULOS DE TAPICERÍA, TAPICES Y ALFOMBRAS</t>
  </si>
  <si>
    <t>VENTA AL POR MAYOR DE PRENDAS DE VESTIR DE CUERO (EXCEPTO CALZADO)</t>
  </si>
  <si>
    <t>VENTA AL POR MAYOR DE ARTÍCULOS DE MERCERÍA, MEDIAS Y ARTÍCULOS DE PUNTO</t>
  </si>
  <si>
    <t>VENTA DE PAÑALES POR MAYOR</t>
  </si>
  <si>
    <t>VENTA AL POR MAYOR DE PRENDAS DE VESTIR (EXCEPTO DE CUERO Y CALZADO)</t>
  </si>
  <si>
    <t>VENTA AL POR MAYOR DE CALZADOS (INCLUYE ZAPATOS Y ZAPATILLAS)</t>
  </si>
  <si>
    <t>VENTA AL POR MAYOR DE PIELES Y CUEROS</t>
  </si>
  <si>
    <t>VENTA AL POR MAYOR DE ARTÍCULOS DE MARROQUINERÍA</t>
  </si>
  <si>
    <t>DEPÓSITO Y VENTA POR MAYOR DE MADERA, PAPEL Y DERIVADOS</t>
  </si>
  <si>
    <t>VENTA AL POR MAYOR DE TEXTOS NUEVOS</t>
  </si>
  <si>
    <t>VENTA AL POR MAYOR DE TEXTOS USADOS</t>
  </si>
  <si>
    <t>DISTRIBUCIÓN POR MAYOR DE DIARIOS Y REVISTAS</t>
  </si>
  <si>
    <t>VENTA AL POR MAYOR DE PAPEL Y PRODUCTOS DE PAPEL Y CARTÓN</t>
  </si>
  <si>
    <t>VENTA AL POR MAYOR DE ARTÍCULOS DE LIBRERÍA Y PAPELERÍA</t>
  </si>
  <si>
    <t>VENTA POR MAYOR DE PRODUCTOS FARMACÉUTICOS Y VETERINARIOS (MEDICAMENTOS)</t>
  </si>
  <si>
    <t>COMBUSTIBLES DERIVADOS DEL PETRÓLEO Y GAS NATURAL COMPRIMIDO.</t>
  </si>
  <si>
    <t>VENTA AL POR MAYOR DE SUSTANCIAS QUÍMICAS INDUSTRIALES Y MATERIAS PRIMAS PARA LA ELABORACIÓN DE PLÁSTICOS</t>
  </si>
  <si>
    <t>VENTA AL POR MAYOR DE COMBUSTIBLES Y LUBRICANTES PARA AUTOMOTORES</t>
  </si>
  <si>
    <t>FRACCIONAMIENTO, DISTRIBUCIÓN Y VENTA AL POR MAYOR DE ADITIVOS Y LUBRICANTES</t>
  </si>
  <si>
    <t>FRACCIONAMIENTO Y DISTRIBUIDORES AL POR MAYOR DE GAS LICUADO (INCLUYE ENVASADO DE GARRAFAS)</t>
  </si>
  <si>
    <t>VENTA AL POR MAYOR DE COMBUSTIBLES Y LUBRICANTES, EXCEPTO PARA AUTOMOTORES Y GAS EN GARRAFAS</t>
  </si>
  <si>
    <t>DISTRIBUCIÓN Y VENTA AL POR MAYOR DE CARBÓN Y SUS DERIVADOS</t>
  </si>
  <si>
    <t>VENTA AL POR MAYOR DE ABONOS Y PLAGUICIDAS</t>
  </si>
  <si>
    <t>DISTRIBUCIÓN Y VENTA AL POR MAYOR DE PRODUCTOS DE CAUCHO</t>
  </si>
  <si>
    <t>VENTA AL POR MAYOR DE ARTÍCULOS DE PLÁSTICO</t>
  </si>
  <si>
    <t>DISTRIBUCIÓN Y VENTA AL POR MAYOR DE PETRÓLEO Y SUS DERIVADOS (EXCEPTO COMBUSTIBLES)</t>
  </si>
  <si>
    <t>DEPÓSITO, DISTRIBUCIÓN Y VENTA POR MAYOR DE PRODUCTOS METÁLICOS</t>
  </si>
  <si>
    <t>VENTA AL POR MAYOR DE HIERROS, ACEROS, METALES NO FERROSOS Y SUBPRODUCTOS, EXCEPTO CHATARRA</t>
  </si>
  <si>
    <t>VENTA AL POR MAYOR DE MUEBLES DE METAL Y SUS ACCESORIOS</t>
  </si>
  <si>
    <t>VENTA AL POR MAYOR DE CHATARRA</t>
  </si>
  <si>
    <t>DEPÓSITO, DISTRIBUCIÓN Y VENTA POR MAYOR DE OTROS ARTÍCULOS</t>
  </si>
  <si>
    <t>VENTA AL POR MAYOR DE ARTÍCULOS DE TOCADOR, JABONES, PERFUMES, COSMÉTICOS</t>
  </si>
  <si>
    <t>VENTA AL POR MAYOR DE APARATOS FOTOGRÁFICOS E INSTRUMENTOS DE ÓPTICA</t>
  </si>
  <si>
    <t>VENTA AL POR MAYOR DE JOYAS, RELOJES Y ARTÍCULOS CONEXOS</t>
  </si>
  <si>
    <t>VENTA AL POR MAYOR DE ARTÍCULOS DE BAZAR Y MENAJE</t>
  </si>
  <si>
    <t>VENTA AL POR MAYOR DE INSTRUMENTOS MUSICALES</t>
  </si>
  <si>
    <t>VENTA AL POR MAYOR DE DISCOS, CASSETTES, DVD, VIDEOJUEGOS. DISQUERÍAS</t>
  </si>
  <si>
    <t>VENTA AL POR MAYOR DE EQUIPOS Y APARATOS DE RADIO, TELEVISIÓN, COMUNICACIONES Y SUS COMPONENTES</t>
  </si>
  <si>
    <t>VENTA AL POR MAYOR DE ARTÍCULOS DE LIMPIEZA Y SANEAMIENTO</t>
  </si>
  <si>
    <t>VENTA AL POR MAYOR DE JUGUETES Y ARTÍCULOS DE COTILLÓN</t>
  </si>
  <si>
    <t>VENTA AL POR MAYOR DE BICICLETAS Y RODADOS SIMILARES</t>
  </si>
  <si>
    <t>VENTA AL POR MAYOR DE ARTÍCULOS PARA DEPORTES Y CAMPING</t>
  </si>
  <si>
    <t>VENTA AL POR MAYOR DE PAPELES PARA PARED, REVESTIMIENTO PARA PISOS DE GOMA, PLÁSTICO Y TEXTILES, Y ARTÍCULOS SIMILARES PARA LA DECORACIÓN</t>
  </si>
  <si>
    <t>VENTA AL POR MAYOR DE ARTÍCULOS PARA KIOSCO Y PARA SALONES DE VENTA</t>
  </si>
  <si>
    <t>VENTA AL POR MAYOR DE TARJETAS MAGNÉTICAS DE TRANSPORTE</t>
  </si>
  <si>
    <t>VENTA AL POR MAYOR DE TARJETAS MAGNÉTICAS DE TELEFONÍA</t>
  </si>
  <si>
    <t>VENTA AL POR MAYOR DE MÁQUINAS, EQUIPOS Y APARATOS DE USO DOMÉSTICO (INCLUIDOS LOS ELÉCTRICOS)</t>
  </si>
  <si>
    <t>VENTA AL POR MAYOR DE CÁMARAS Y CUBIERTAS</t>
  </si>
  <si>
    <t>VENTA AL POR MAYOR DE PRODUCTOS N.C.P.</t>
  </si>
  <si>
    <t>VENTA AL POR MAYOR DE PIROTECNIA</t>
  </si>
  <si>
    <t>VENTA AL POR MAYOR DE DESCARTABLES DE USO MÉDICO, PARAMÉDICO, ODONTOLÓGICO Y ORTOPÉDICO</t>
  </si>
  <si>
    <t>VENTA AL POR MAYOR DE MUEBLES Y ACCESORIOS EXCEPTO LOS METÁLICOS</t>
  </si>
  <si>
    <t>VENTA POR MAYOR DE MATERIALES PARA LA CONSTRUCCIÓN</t>
  </si>
  <si>
    <t>VENTA AL POR MAYOR DE ARTÍCULOS DE CRISTAL Y VIDRIO</t>
  </si>
  <si>
    <t>VENTA AL POR MAYOR DE ABERTURAS (PUERTAS, VENTANAS, ARMAZONES)</t>
  </si>
  <si>
    <t>VENTA AL POR MAYOR DE MADERA Y PRODUCTOS DE MADERA, EXCEPTO MUEBLES</t>
  </si>
  <si>
    <t>VENTA AL POR MAYOR EN FERRETERÍAS</t>
  </si>
  <si>
    <t>VENTA AL POR MAYOR DE PINTURAS, BARNICES, LACAS Y ESMALTES</t>
  </si>
  <si>
    <t>VENTA AL POR MAYOR DE VIDRIOS PLANOS Y TEMPLADOS</t>
  </si>
  <si>
    <t>VENTA AL POR MAYOR DE ARTÍCULOS DE PLOMERÍA, ELECTRICIDAD, ILUMINACIÓN, CALEFACCIÓN, OBRAS SANITARIAS Y SIMILARES</t>
  </si>
  <si>
    <t>VENTA AL POR MAYOR DE ARTÍCULOS Y OBJETOS DE BARRO, LOZA Y PORCELANA</t>
  </si>
  <si>
    <t>VENTA AL POR MAYOR DE LADRILLOS, CEMENTO, CAL, ARENA, PIEDRA, MÁRMOL Y SIMILARES</t>
  </si>
  <si>
    <t>VENTA AL POR MAYOR DE ARTÍCULOS PARA LA CONSTRUCCIÓN N.C.P.</t>
  </si>
  <si>
    <t>VENTA POR MAYOR DE MOTORES, MÁQUINAS Y EQUIPOS</t>
  </si>
  <si>
    <t>VENTA AL POR MAYOR DE EQUIPOS E IMPLEMENTOS DE USO EN LOS SECTORES AGROPECUARIO, JARDINERÍA, SILVICULTURA, PESCA Y CAZA</t>
  </si>
  <si>
    <t>VENTA AL POR MAYOR DE EQUIPO INFORMÁTICO Y MÁQUINAS DE OFICINA, CÁLCULO Y CONTABILIDAD</t>
  </si>
  <si>
    <t>VENTA AL POR MAYOR DE AUTOMOTORES, MOTONETAS Y MOTOCICLETAS</t>
  </si>
  <si>
    <t>VENTA AL POR MAYOR DE MOTOCICLETAS NUEVAS Y USADAS</t>
  </si>
  <si>
    <t>VENTA AL POR MAYOR DE AUTOMOTORES NUEVOS Y USADOS</t>
  </si>
  <si>
    <t>POR MENOR</t>
  </si>
  <si>
    <t>VENTA DE AUTOMOTORES, MOTONETAS Y MOTOCICLETAS</t>
  </si>
  <si>
    <t>VENTA POR MENOR DE VEHÍCULOS AUTOMOTORES NUEVOS</t>
  </si>
  <si>
    <t>VENTA POR MENOR DE VEHÍCULOS AUTOMOTORES USADOS</t>
  </si>
  <si>
    <t>VENTA POR MENOR DE MOTOCICLETAS NUEVAS Y USADAS EN CONSIGNACIÓN</t>
  </si>
  <si>
    <t>VENTA POR MENOR DE AUTOMOTORES NUEVOS Y USADOS EN CONSIGNACIÓN</t>
  </si>
  <si>
    <t>VENTA POR MENOR DE MOTOCICLETAS NUEVAS Y USADAS</t>
  </si>
  <si>
    <t>VENTA AL POR MENOR DE PRODUCTOS ALIMENTICIOS Y BEBIDAS</t>
  </si>
  <si>
    <t>HIPERMERCADO</t>
  </si>
  <si>
    <t>MINIMERCADO</t>
  </si>
  <si>
    <t>KIOSCOS,POLIRRUBROS Y COMERCIOS NO ESPECIALIZADOS CON EL PREDOMINIO DE PRODUCTOS ALIMENTICIOS Y BEBIDAS N.C.P. (EXCEPTO EL CÓDIGO 522991)</t>
  </si>
  <si>
    <t>VENTA AL POR MENOR DE LECHE Y PRODUCTOS LÁCTEOS</t>
  </si>
  <si>
    <t>VENTA AL POR MENOR DE QUESOS</t>
  </si>
  <si>
    <t>FIAMBRERÍA. VENTA AL POR MENOR DE FIAMBRES</t>
  </si>
  <si>
    <t>VENTA AL POR MENOR DE PRODUCTOS DIETÉTICOS</t>
  </si>
  <si>
    <t>VENTA AL POR MENOR DE ALIMENTOS Y SUPLEMENTOS DIETARIOS</t>
  </si>
  <si>
    <t>ALMACÉN DE COMESTIBLES</t>
  </si>
  <si>
    <t>VENTA DE HELADOS ENVASADOS</t>
  </si>
  <si>
    <t>VERDULERÍA Y FRUTERÍA</t>
  </si>
  <si>
    <t>CARNICERÍA. VENTA AL POR MENOR DE CARNES Y SUS PREPARADOS Y DERIVADOS (EXCEPTO ENVASADA Y CONGELADA)</t>
  </si>
  <si>
    <t>VENTA AL POR MENOR DE CARNE ENVASADA Y CONGELADA</t>
  </si>
  <si>
    <t>POLLERÍA. VENTA AL POR MENOR DE AVES EVISCERADAS Y HUEVOS</t>
  </si>
  <si>
    <t>VENTA AL POR MENOR DE LEGUMBRES, FRUTAS, CEREALES SECOS Y EN CONSERVAS</t>
  </si>
  <si>
    <t>VENTA AL POR MENOR DE PANIFICADORAS Y PANADERÍAS</t>
  </si>
  <si>
    <t>VENTA AL POR MENOR DE BOMBONES Y GOLOSINAS. CARAMELERÍA, GALLETITERÍA</t>
  </si>
  <si>
    <t>VENTA AL POR MENOR DE BEBIDAS NO ALCOHÓLICAS, GASEOSAS Y JUGOS</t>
  </si>
  <si>
    <t>VENTA AL POR MENOR DE VINOS Y OTRAS BEBIDAS ALCOHÓLICAS Y BEBIDAS ENERGIZANTES. VINOTECAS. VINERÍAS</t>
  </si>
  <si>
    <t>PESCADERÍA</t>
  </si>
  <si>
    <t>VENTA AL POR MENOR DE PRODUCTOS DE REPOSTERÍA</t>
  </si>
  <si>
    <t>VENTA AL POR MENOR DE MASAS Y DEMÁS PRODUCTOS DE PASTELERÍAS. CONFITERÍAS</t>
  </si>
  <si>
    <t>VENTA AL POR MENOR DE PASTAS FRESCAS</t>
  </si>
  <si>
    <t>VENTA AL POR MENOR DE CAFÉ, TÉ, YERBA MATE Y ESPECIAS</t>
  </si>
  <si>
    <t>VENTA DE CHORIPÁN, HAMBURGUESAS Y PANCHOS</t>
  </si>
  <si>
    <t>QUINIELA</t>
  </si>
  <si>
    <t>PRODE</t>
  </si>
  <si>
    <t>LOTERÍA</t>
  </si>
  <si>
    <t>BINGO, QUINI-6 U OTROS SIMILARES</t>
  </si>
  <si>
    <t>OTROS JUEGOS DE AZAR</t>
  </si>
  <si>
    <t>LOTERÍA INSTANTÁNEA</t>
  </si>
  <si>
    <t>VENTA AL POR MENOR DE TABACOS Y CIGARRILLOS</t>
  </si>
  <si>
    <t>VENTA AL POR MENOR DE LANAS, HILOS Y ARTÍCULOS AFINES</t>
  </si>
  <si>
    <t>VENTA AL POR MENOR DE ARTÍCULOS DE MERCERÍA</t>
  </si>
  <si>
    <t>VENTA AL POR MENOR DE TEJIDOS DE PUNTO</t>
  </si>
  <si>
    <t>VENTA AL POR MENOR DE TAPICES Y ALFOMBRAS</t>
  </si>
  <si>
    <t>VENTA AL POR MENOR DE ARTÍCULOS DE LENCERÍA</t>
  </si>
  <si>
    <t>VENTA AL POR MENOR DE ROPA Y ACCESORIOS PARA BEBÉS Y NIÑOS</t>
  </si>
  <si>
    <t>VENTA AL POR MENOR DE TELAS. TIENDAS</t>
  </si>
  <si>
    <t>VENTA AL POR MENOR DE PIELES NATURALES Y SINTÉTICAS. PELETERÍA</t>
  </si>
  <si>
    <t>VENTA AL POR MENOR DE PRENDAS DE VESTIR DE CUERO Y SUCEDÁNEOS</t>
  </si>
  <si>
    <t>VENTA AL POR MENOR DE PRODUCTOS Y ARTÍCULOS CONFECCIONADOS CON MATERIALES TEXTILES N.C.P.</t>
  </si>
  <si>
    <t>VENTA AL POR MENOR DE PRENDAS DE VESTIR, EXCEPTO LAS DE CUERO</t>
  </si>
  <si>
    <t>VENTA AL POR MENOR DE INDUMENTARIA DE TRABAJO, UNIFORMES Y/O GUARDAPOLVOS</t>
  </si>
  <si>
    <t>VENTA AL POR MENOR DE CALZADO. ZAPATERÍAS Y ZAPATILLERÍAS</t>
  </si>
  <si>
    <t>VENTA AL POR MENOR DE CARTERAS Y DEMÁS ARTÍCULOS DE MARROQUINERÍA</t>
  </si>
  <si>
    <t>VENTA AL POR MENOR DE INDUMENTARIA DEPORTIVA Y SUS ACCESORIOS</t>
  </si>
  <si>
    <t>DEPÓSITO, DISTRIBUCIÓN Y VENTA POR MENOR DE MATERIALES PARA LA CONSTRUCCIÓN</t>
  </si>
  <si>
    <t>VENTA AL POR MENOR DE ABERTURAS (PUERTAS, VENTANAS, ARMAZONES)</t>
  </si>
  <si>
    <t>VENTA AL POR MENOR DE ARTÍCULOS DE FERRETERÍA. FERRETERÍA</t>
  </si>
  <si>
    <t>VENTA AL POR MENOR DE PINTURAS, BARNICES, LACAS, ESMALTES Y ARTÍCULOS DE PINTURERÍA</t>
  </si>
  <si>
    <t>VENTA AL POR MENOR DE VIDRIOS, CRISTALES, ESPEJOS, MAMPARAS Y CERRAMIENTOS (INCLUYE SU COLOCACIÓN). VIDRIERÍAS</t>
  </si>
  <si>
    <t>VENTA AL POR MENOR DE ARTÍCULOS DE REVESTIMIENTO Y DECORACIÓN</t>
  </si>
  <si>
    <t>VENTA AL POR MENOR DE SANITARIOS</t>
  </si>
  <si>
    <t>VENTA AL POR MENOR DE MATERIALES DE CONSTRUCCIÓN</t>
  </si>
  <si>
    <t>VENTA AL POR MENOR DE ARTÍCULOS DIVERSOS</t>
  </si>
  <si>
    <t>VENTA AL POR MENOR DE REPUESTOS Y ACCESORIOS PARA VEHÍCULOS AUTOMOTORES, INCLUIDO EQUIPOS DE GNC</t>
  </si>
  <si>
    <t>VENTA AL POR MENOR DE REPUESTOS Y ACCESORIOS PARA MOTOCICLETAS</t>
  </si>
  <si>
    <t>VENTA AL POR MENOR EN FARMACIAS DE PRODUCTOS MEDICINALES</t>
  </si>
  <si>
    <t>VENTA AL POR MENOR DE HERBORISTERÍA</t>
  </si>
  <si>
    <t>VENTA AL POR MENOR DE CÁMARAS Y CUBIERTAS</t>
  </si>
  <si>
    <t>VENTA AL POR MENOR DE LUBRICANTES LÍQUIDOS Y SÓLIDOS</t>
  </si>
  <si>
    <t>VENTA AL POR MENOR DE ARTÍCULOS DE PERFUMERÍA Y COSMÉTICA</t>
  </si>
  <si>
    <t>VENTA AL POR MENOR DE PAÑALES</t>
  </si>
  <si>
    <t>VENTA AL POR MENOR DE ARTÍCULOS DE CAÑA Y MIMBRE. VENTA DE MUEBLES. MUEBLERÍA</t>
  </si>
  <si>
    <t>VENTA AL POR MENOR DE COLCHONES, ALMOHADAS Y ACCESORIOS</t>
  </si>
  <si>
    <t>VENTA AL POR MENOR DE APARATOS Y ARTEFACTOS ELÉCTRICOS PARA LA ILUMINACIÓN</t>
  </si>
  <si>
    <t>VENTA AL POR MENOR DE ARTÍCULOS DE BAZAR Y MENAJE</t>
  </si>
  <si>
    <t>VENTA AL POR MENOR DE ARTÍCULOS DEL HOGAR</t>
  </si>
  <si>
    <t>VENTA AL POR MENOR DE INSTRUMENTOS MUSICALES</t>
  </si>
  <si>
    <t>VENTA AL POR MENOR DE DISCOS, CASSETTES, DVD, DVC, VIDEOS JUEGOS Y SIMILARES. DISQUERÍAS</t>
  </si>
  <si>
    <t>VENTA AL POR MENOR DE APARATOS PARA VIDEOJUEGOS; CASSETTES, DVD; REPRODUCTORES; VIDEOGRABADORAS Y SIMILARES</t>
  </si>
  <si>
    <t>VENTA AL POR MENOR Y COLOCACIÓN DE EQUIPOS DE AUDIO; DE RADIOLLAMADO, ALARMAS; CIERRE CENTRALIZADO; LEVANTA CRISTALES PARA AUTOMOTORES</t>
  </si>
  <si>
    <t>COMPRA Y VENTA DE ARTÍCULOS DEL HOGAR Y MUEBLES</t>
  </si>
  <si>
    <t>VENTA AL POR MENOR DE ARTÍCULOS DE MADERA N.C.P.</t>
  </si>
  <si>
    <t>VENTA AL POR MENOR DE APARATOS FOTOGRÁFICOS, ARTÍCULOS DE FOTOGRAFÍA</t>
  </si>
  <si>
    <t>VENTA AL POR MENOR DE ARTÍCULOS DE ÓPTICA Y ORTOPEDIA</t>
  </si>
  <si>
    <t>VENTA DE ARTÍCULOS DE FANTASÍAS, BIJOUTERIE, PLATERÍA, ALHAJAS Y ORFEBRERÍA</t>
  </si>
  <si>
    <t>VENTA AL POR MENOR DE JOYAS, RELOJES Y ARTÍCULOS CONEXOS</t>
  </si>
  <si>
    <t>COMPRA Y VENTA DE ORO</t>
  </si>
  <si>
    <t>VENTA AL POR MENOR DE TEXTOS NUEVOS, LIBROS Y PUBLICACIONES</t>
  </si>
  <si>
    <t xml:space="preserve">VENTA AL POR MENOR DE DIARIOS Y REVISTAS </t>
  </si>
  <si>
    <t>VENTA AL POR MENOR DE ARTÍCULOS DE LIBRERÍA, PAPELERÍA Y PARA OFICINA</t>
  </si>
  <si>
    <t>VENTA AL POR MENOR DE FLORES Y PLANTAS NATURALES Y ARTIFICIALES</t>
  </si>
  <si>
    <t>VENTA AL POR MENOR DE SEMILLAS, ABONOS, FERTILIZANTES Y OTROS PRODUCTOS DE VIVERO</t>
  </si>
  <si>
    <t>VENTA AL POR MENOR DE FORRAJES</t>
  </si>
  <si>
    <t>VENTA AL POR MENOR DE PLAGUICIDAS-AGROQUIMICOS</t>
  </si>
  <si>
    <t>VENTA AL POR MENOR DE ARTÍCULOS, PRODUCTOS E INSUMOS DE LIMPIEZA</t>
  </si>
  <si>
    <t>VENTA AL POR MENOR DE JUGUETES. JUGUETERÍAS</t>
  </si>
  <si>
    <t>VENTA AL POR MENOR DE ARTÍCULOS DE COTILLÓN</t>
  </si>
  <si>
    <t>VENTA AL POR MENOR DE ARMAS Y ARTÍCULOS DE CUCHILLERÍA. ARMERÍA. CUCHILLERÍA. VENTA AL POR MENOR DE ARTÍCULOS DE CAZA Y PESCA</t>
  </si>
  <si>
    <t>VENTA AL POR MENOR DE MÁQUINAS DE OFICINA, COMPUTADORAS, CÁLCULO, SUS COMPONENTES Y REPUESTOS</t>
  </si>
  <si>
    <t>VENTA POR MENOR DE INSUMOS DE COMPUTACIÓN</t>
  </si>
  <si>
    <t>VENTA AL POR MENOR DE ARTÍCULOS DE TELEFONÍA - CELULARES Y SUS ACCESORIOS</t>
  </si>
  <si>
    <t>COMBUSTIBLES DERIVADOS DEL PETRÓLEO Y GAS NATURAL COMPRIMIDO</t>
  </si>
  <si>
    <t>CARBÓN Y LEÑA</t>
  </si>
  <si>
    <t>VENTA DE GNC</t>
  </si>
  <si>
    <t>RECARGA Y VENTA AL POR MENOR DE GAS CARBÓNICO P/MATAFUEGOS Y GASIFICADORES</t>
  </si>
  <si>
    <t>RECARGA Y VENTA AL POR MENOR DE GARRAFAS Y COMBUSTIBLES SÓLIDOS Y LÍQUIDOS</t>
  </si>
  <si>
    <t>VENTA POR MENOR DE PRODUCTOS PARA ANIMALES INCLUIDOS MEDICAMENTOS Y MASCOTAS</t>
  </si>
  <si>
    <t>VENTA AL POR MENOR DE PRODUCTOS DE CAUCHO N.C.P.</t>
  </si>
  <si>
    <t>VENTA AL POR MENOR DE MOTORES, MAQUINARIAS, EQUIPOS Y APARATOS INDUSTRIALES (INCLUIDOS LOS ELÉCTRICOS)</t>
  </si>
  <si>
    <t>VENTA AL POR MENOR DE MÁQUINAS N.C.P. Y MOTORES, INCLUIDOS SUS REPUESTOS</t>
  </si>
  <si>
    <t>VENTA AL POR MENOR DE EQUIPO PROFESIONAL, CIENTÍFICO E INSTRUMENTOS DE MEDIDA Y DE CONTROL</t>
  </si>
  <si>
    <t>VENTA AL POR MENOR DE HERRAJES EN GENERAL</t>
  </si>
  <si>
    <t>ARTESANOS. VENTA AL POR MENOR DE ARTESANÍAS</t>
  </si>
  <si>
    <t>VENTA AL POR MENOR DE ARTÍCULOS PARA REGALOS. REGALERÍA</t>
  </si>
  <si>
    <t xml:space="preserve">VENTA AL POR MENOR DE ARTÍCULOS REGIONALES </t>
  </si>
  <si>
    <t>VENTA AL POR MENOR DE BICICLETAS Y RODADOS INFANTILES, SUS REPUESTOS Y ACCESORIOS</t>
  </si>
  <si>
    <t>VENTA AL POR MENOR DE ARTÍCULOS DE PLÁSTICO Y DESCARTABLES</t>
  </si>
  <si>
    <t>VENTA AL POR MENOR DE ARTÍCULOS PARA PUBLICIDAD</t>
  </si>
  <si>
    <t>VENTA AL POR MENOR DE TARJETAS MAGNÉTICAS DE TRANSPORTE DE PASAJEROS Y DE TELEFONÍA</t>
  </si>
  <si>
    <t>VENTA AL POR MENOR DE ALARMAS Y OTROS ARTÍCULOS DE SEGURIDAD</t>
  </si>
  <si>
    <t>VENTA AL POR MENOR DE INSUMOS MÉDICOS</t>
  </si>
  <si>
    <t>VENTA AL POR MENOR DE ARTÍCULOS ELECTRÓNICOS, SUS REPUESTOS Y ACCESORIOS (EXCEPTO DEL HOGAR)</t>
  </si>
  <si>
    <t>VENTA AL POR MENOR DE LANCHAS Y EMBARCACIONES DEPORTIVAS</t>
  </si>
  <si>
    <t>VENTA AL POR MENOR DE ARTÍCULOS DE SANTERÍA</t>
  </si>
  <si>
    <t>VENTA AL POR MENOR DE ARTÍCULOS DE CAMPING</t>
  </si>
  <si>
    <t>VENTA AL POR MENOR DE TEXTOS USADOS</t>
  </si>
  <si>
    <t>VENTA AL POR MENOR DE ANTIGÜEDADES, OBJETOS DE ARTE, CUADROS, MARCOS, FILATELIA Y NUMISMÁTICA</t>
  </si>
  <si>
    <t>ARTÍCULOS USADOS O REACONDICIONADOS</t>
  </si>
  <si>
    <t>6,00‰</t>
  </si>
  <si>
    <t>DESARMADEROS DE AUTOS Y VENTA AL POR MENOR DE SUS PARTES. REPUESTOS Y ACCESORIOS USADOS</t>
  </si>
  <si>
    <t>VENTA AL POR MENOR DE SUSTANCIAS QUÍMICAS INDUSTRIALES</t>
  </si>
  <si>
    <t>VENTA AL POR MENOR DE ARTÍCULOS N.C.P.</t>
  </si>
  <si>
    <t>PIROTECNIA POR MENOR</t>
  </si>
  <si>
    <t>VENTA AL POR MENOR DE ARTÍCULOS VARIOS. POLIRRUBROS</t>
  </si>
  <si>
    <t>VENTA AMBULANTE DE PRODUCTOS NO ALIMENTICIOS</t>
  </si>
  <si>
    <t xml:space="preserve">SEX SHOP </t>
  </si>
  <si>
    <t>VENTA DE MATERIALES DE REZAGO Y CHATARRA</t>
  </si>
  <si>
    <t>TRANSPORTE</t>
  </si>
  <si>
    <t>TRANSPORTE TERRESTRE</t>
  </si>
  <si>
    <t>TRANSPORTE FERROVIARIO</t>
  </si>
  <si>
    <t>SERVICIO DE MUDANZAS</t>
  </si>
  <si>
    <t>TRANSPORTE URBANO DE CARGAS N.C.P. (INCLUYE FLETES)</t>
  </si>
  <si>
    <t>TRANSPORTE AUTOMOTORES DE CARGA Y ENCOMIENDA A CORTA, MEDIA Y LARGA DISTANCIA</t>
  </si>
  <si>
    <t>TRANSPORTE URBANO DE PASAJEROS</t>
  </si>
  <si>
    <t>TRANSPORTE INTERURBANO DE PASAJEROS</t>
  </si>
  <si>
    <t>SERVICIO DE RADIOTAXI,TAXI Y REMISES</t>
  </si>
  <si>
    <t>TRANSPORTE DE PASAJEROS POR REMISES. LA AGENCIA TRIBUTARÁ</t>
  </si>
  <si>
    <t>TRANSPORTE ESCOLAR</t>
  </si>
  <si>
    <t>TRANSPORTE PRIVADO N.C.P. (EXCEPTO TAXIS, REMIS, TRANSPORTE ESCOLAR, ALQUILER DE AUTO)</t>
  </si>
  <si>
    <t>TRANSPORTE DE PASAJEROS DE LARGA DISTANCIA</t>
  </si>
  <si>
    <t>TRANSPORTE POR OLEODUCTOS Y GASODUCTOS</t>
  </si>
  <si>
    <t>TRANSPORTE AÉREO</t>
  </si>
  <si>
    <t>TRANSPORTE AÉREO, DE PASAJEROS Y CARGAS</t>
  </si>
  <si>
    <t>SERVICIOS CONEXOS CON LOS DE TRANSPORTE</t>
  </si>
  <si>
    <t>AGENCIAS AÉREAS. SERVICIOS CONEXOS PROPIOS</t>
  </si>
  <si>
    <t>AGENCIAS AÉREAS. SERVICIOS POR COMISIÓN</t>
  </si>
  <si>
    <t>PEAJES</t>
  </si>
  <si>
    <t xml:space="preserve">SERVICIOS COMPLEMENTARIOS PARA EL TRANSPORTE TERRESTRE N.C.P.                                                                                                                                                                                                                                                                                                                                                </t>
  </si>
  <si>
    <t>SERVICIOS RELACIONADOS CON EL TRANSPORTE AÉREO N.C.P.</t>
  </si>
  <si>
    <t>AGENCIAS DE TURISMO Y SERVICIOS CONEXOS PROPIOS</t>
  </si>
  <si>
    <t>AGENCIAS DE TURISMO Y SERVICIOS CONEXOS (POR COMISIONES)</t>
  </si>
  <si>
    <t>SERVICIOS DE GESTIÓN Y LOGÍSTICA PARA EL TRANSPORTE DE MERCADERÍAS</t>
  </si>
  <si>
    <t>DEPÓSITO Y ALMACENAMIENTO</t>
  </si>
  <si>
    <t>DEPÓSITOS Y ALMACENAMIENTOS EN GENERAL, EXCEPTO ALIMENTOS</t>
  </si>
  <si>
    <t>DEPÓSITOS Y ALMACENAMIENTOS DE ALIMENTOS REFRIGERADOS</t>
  </si>
  <si>
    <t>DEPÓSITOS Y ALMACENAMIENTOS DE ALIMENTOS NO REFRIGERADOS</t>
  </si>
  <si>
    <t>DEPÓSITOS , ALMACENAMIENTO Y VENTA DE PIROTECNIA, PÓLVORA, ARMAMENTO, EXPLOSIVOS</t>
  </si>
  <si>
    <t>COMUNICACIONES</t>
  </si>
  <si>
    <t xml:space="preserve">EMISIONES DE RADIO Y TELEVISIÓN </t>
  </si>
  <si>
    <t>COMUNICACIONES POR CORREO, TELÉGRAFO Y TÉLEX.</t>
  </si>
  <si>
    <t>EMPRESAS DE COMUNICACIONES TELEFÓNICAS CON LÍNEAS FIJAS Y MÓVILES.</t>
  </si>
  <si>
    <t>CABINAS TELEFÓNICAS (POR CABINA MÍNIMO $ 21,60).</t>
  </si>
  <si>
    <t>ESTAFETA POSTAL.</t>
  </si>
  <si>
    <t>SERVICIOS COMPLEMENTARIOS DE ANTENA COMUNITARIA DE TV Y CIRCUITO CERRADO COMUNITARIO DE TV -COMO LA TELEVISIÓN SATELITAL Y POR CABLE.</t>
  </si>
  <si>
    <t>SERVICIOS DE TRANSMISIÓN DE SONIDO, IMÁGENES, DATOS U OTRA INFORMACIÓN.</t>
  </si>
  <si>
    <t>COMUNICACIONES POR RADIO EXCEPTO RADIODIFUSIÓN Y TELEVISIÓN (RADIOAFICIONADOS).</t>
  </si>
  <si>
    <t>ENTIDADES FINANCIERAS</t>
  </si>
  <si>
    <t>ESTABLECIMIENTOS Y SERVICIOS FINANCIEROS</t>
  </si>
  <si>
    <t>30,00‰</t>
  </si>
  <si>
    <t>BANCOS Y OTRAS INSTITUCIONES SUJETAS AL RÉGIMEN DE ENTIDADES FINANCIERAS.</t>
  </si>
  <si>
    <t>21,00‰</t>
  </si>
  <si>
    <t xml:space="preserve">COMPAÑÍAS DE CAPITALIZACIÓN Y AHORRO PARA FINES DETERMINADOS. </t>
  </si>
  <si>
    <t>PRESTAMOS DE DINERO CON GARANTÍA HIPOTECARIA, PRENDARIA O SIN GARANTÍA REAL Y DESCUENTOS DE DOCUMENTOS DE TERCEROS, EXCLUIDAS LAS ACTIVIDADES REGIDAS POR LA LEY DE ENTIDADES FINANCIERAS.</t>
  </si>
  <si>
    <t>OPERACIONES O PRÉSTAMOS NO INVOLUCRADOS EN LOS APARTADOS ANTERIORES.</t>
  </si>
  <si>
    <t>OPERACIONES DE PRÉSTAMOS Y DEMÁS OPERACIONES, EFECTUADAS POR ASOCIACIONES PROFESIONALES, ENTIDADES MUTUALES, GREMIALES O SINDICALES.</t>
  </si>
  <si>
    <t>INTERMEDIARIOS, CONSIGNATARIOS, COMISIONISTAS, QUE PERCIBAN COMISIONES U OTRAS RETRIBUCIONES ANÁLOGAS O PORCENTAJES.</t>
  </si>
  <si>
    <t>SEGUROS</t>
  </si>
  <si>
    <t>SEGUROS (COOPERATIVA, MUTUAL Y COMPAÑÍA PRIVADA). REASEGUROS.</t>
  </si>
  <si>
    <t xml:space="preserve">BIENES MUEBLES E INMUEBLES </t>
  </si>
  <si>
    <t>SERVICIOS INMOBILIARIOS</t>
  </si>
  <si>
    <t>VENTA DE INMUEBLES PROPIOS</t>
  </si>
  <si>
    <t>ADMINISTRACIÓN, ALQUILER Y VENTA DE TERCEROS. INMOBILIARIAS</t>
  </si>
  <si>
    <t>COMPRA-VENTA DE BIENES INMUEBLES</t>
  </si>
  <si>
    <t>CORREDOR INMOBILIARIO</t>
  </si>
  <si>
    <t>PLAYAS DE ESTACIONAMIENTO</t>
  </si>
  <si>
    <t>ESPACIO DESTINADO A GARAJES, PLAYAS DE ESTACIONAMIENTO, GUARDACOCHES.</t>
  </si>
  <si>
    <t>ALQUILER Y ARRENDAMIENTO DE MÁQUINAS, AUTOS Y EQUIPOS</t>
  </si>
  <si>
    <t>ALQUILER DE EQUIPO DE TRANSPORTE PARA VÍA TERRESTRE, SIN OPERARIOS NI TRIPULACIÓN</t>
  </si>
  <si>
    <t>ALQUILER DE EQUIPO DE TRANSPORTE PARA VÍA AÉREA, SIN OPERARIOS NI TRIPULACIÓN</t>
  </si>
  <si>
    <t>ALQUILER DE AUTOMÓVILES SIN CHOFER</t>
  </si>
  <si>
    <t>ALQUILER Y ARRENDAMIENTO DE MAQUINARIA Y EQUIPO AGRÍCOLA (SIN PERSONAL)</t>
  </si>
  <si>
    <t>ALQUILER Y ARRENDAMIENTO DE MAQUINARIA Y EQUIPO PARA LA CONSTRUCCIÓN Y LA INDUSTRIA (SIN PERSONAL)</t>
  </si>
  <si>
    <t xml:space="preserve">ALQUILER DE COMPUTADORAS Y SUS EQUIPOS Y MÁQUINAS DE OFICINA CÁLCULO Y CONTABILIDAD </t>
  </si>
  <si>
    <t>ALQUILER Y ARRENDAMIENTO DE MAQUINARIA PETROLERA Y MINERA (SIN PERSONAL)</t>
  </si>
  <si>
    <t>ALQUILER Y ARRENDAMIENTO DE MÁQUINAS PARA SALONES DE ENTRETENIMIENTOS</t>
  </si>
  <si>
    <t xml:space="preserve">ALQUILER Y ARRENDAMIENTO DE MAQUINARIA Y EQUIPO N.C.P. </t>
  </si>
  <si>
    <t>ALQUILER DE ROPA EN GENERAL (EXCEPTO ROPA BLANCA)</t>
  </si>
  <si>
    <t>ALQUILER DE COSAS MUEBLES N.C.P.</t>
  </si>
  <si>
    <t>ALQUILER DE VAJILLA, MOBILIARIO Y ELEMENTO DE FIESTA</t>
  </si>
  <si>
    <t>SERVICIOS TÉCNICOS Y EMPRESARIALES EXCEPTO LOS SOCIALES Y COMUNALES</t>
  </si>
  <si>
    <t>SERVICIO DE OFICINA DE COBRANZAS.</t>
  </si>
  <si>
    <t>13,00‰</t>
  </si>
  <si>
    <t>SERVICIO DE SEGURIDAD.</t>
  </si>
  <si>
    <t>SERVICIO DE LIMPIEZA.</t>
  </si>
  <si>
    <t>ESTUDIO FOTOGRÁFICO. LABORATORIO.</t>
  </si>
  <si>
    <t>ESTUDIOS FOTOGRÁFICOS. FOTOGRAFÍA COMERCIAL.</t>
  </si>
  <si>
    <t>SERVICIO DE FOTOCOPIADO. FOTOCOPIADORAS.</t>
  </si>
  <si>
    <t>SERVICIO DE ORGANIZACIÓN INTEGRAL DE EVENTOS Y SERVICIOS CONEXOS PROPIOS (CATERING, PROPALACIÓN, ETC.).</t>
  </si>
  <si>
    <t>SERVICIO DE MANTENIMIENTO DE ESPACIOS VERDES. PARQUIZACIÓN.</t>
  </si>
  <si>
    <t>SERVICIO DE WEB HOSTING.</t>
  </si>
  <si>
    <t>SERVICIOS BRINDADOS PARA TERCEROS POR CALL CENTER, CONTACT CENTER, Y ATENCIÓN AL CLIENTE. SERVICIOS BRINDADOS MEDIANTE TECNOLOGÍA PERTENECIENTE AL ÁREA DE COMUNICACIONES. SE INCLUYEN TODOS LOS SERVICIOS RELACIONADOS CON EL ASESORAMIENTO Y AUXILIO TÉCNICO DE VENTA DE PRODUCTOS Y SERVICIOS Y DE CAPTURA, PROCESAMIENTO Y COMUNICACIÓN DE TRANSACCIONES NACIONALES E INTERNACIONALES.</t>
  </si>
  <si>
    <t>SERVICIOS PRESTADOS A LAS EMPRESAS NO CLASIFICADOS EN OTRA PARTE.</t>
  </si>
  <si>
    <t>SERVICIOS PRESTADOS A LAS EMPRESAS POR PROFESIONALES ORGANIZADOS COMO EMPRESA EN EJERCICIO DE SU PROFESIÓN LIBERAL.</t>
  </si>
  <si>
    <t>SERVICIOS</t>
  </si>
  <si>
    <t>SERVICIO DE REPARACIÓN DE ARTÍCULOS PERSONALES Y DEL HOGAR Y/U OTROS</t>
  </si>
  <si>
    <t>REPARACIÓN DE CALZADO Y OTROS ARTÍCULOS DE CUERO</t>
  </si>
  <si>
    <t>REPARACIÓN DE APARATOS ELÉCTRICOS DE USO DOMÉSTICO Y PERSONAL</t>
  </si>
  <si>
    <t>REPARACIÓN Y MANTENIMIENTO DE ASCENSORES</t>
  </si>
  <si>
    <t>REPARACIÓN DE RELOJES Y JOYAS</t>
  </si>
  <si>
    <t>REPARACIÓN DE MUEBLES METÁLICOS (CARPINTERÍA)</t>
  </si>
  <si>
    <t>REPARACIÓN DE MUEBLES DE MADERA (CARPINTERÍA DE MADERA)</t>
  </si>
  <si>
    <t>REPARACIONES Y AFINACIONES DE INSTRUMENTOS MUSICALES</t>
  </si>
  <si>
    <t>REPARACIONES DE ARMAS DE FUEGO</t>
  </si>
  <si>
    <t>SERVICIO DE REPARACIÓN N.C.P.</t>
  </si>
  <si>
    <t>50,00‰</t>
  </si>
  <si>
    <t>CASAS AMUEBLADAS O ALOJAMIENTO POR HORA.</t>
  </si>
  <si>
    <t xml:space="preserve">HOTEL CATEGORÍA 4 ESTRELLAS. </t>
  </si>
  <si>
    <t xml:space="preserve">HOSTERÍA CATEGORÍA 2 ESTRELLAS. </t>
  </si>
  <si>
    <t xml:space="preserve">HOTEL CATEGORÍA 1 ESTRELLA. </t>
  </si>
  <si>
    <t>HOSTERÍA CATEGORÍA 2 Y 1 ESTRELLAS</t>
  </si>
  <si>
    <t xml:space="preserve">MOTEL CATEGORÍA 3 ESTRELLAS. </t>
  </si>
  <si>
    <t xml:space="preserve">MOTEL CATEGORÍA 1 Y 2 ESTRELLAS. </t>
  </si>
  <si>
    <t xml:space="preserve">RESIDENCIALES, HOSPEDAJES Y OTROS LUGARES DE ALOJAMIENTO SIN DISCRIMINAR RUBROS, N.C.P. </t>
  </si>
  <si>
    <t>BAR, CONFITERÍAS, PIZZERÍAS, LOMITERÍAS, EMPANADERÍAS, PARRILLA, TRATTORÍA, CONFITERÍAS Y RESTAURANTES CON UNA SUPERFICIE HABILITADA HASTA 100 M2</t>
  </si>
  <si>
    <t>BAR, CONFITERÍAS, PIZZERÍAS, LOMITERÍAS, EMPANADERÍAS, PARRILLA, TRATTORÍA, CONFITERÍAS Y RESTAURANTES CON UNA SUPERFICIE HABILITADA DESDE 101 M2 A 200 M2</t>
  </si>
  <si>
    <t>BAR, CONFITERÍAS, PIZZERÍAS, LOMITERÍAS, EMPANADERÍAS, PARRILLA, TRATTORÍA, CONFITERÍAS Y RESTAURANTES CON UNA SUPERFICIE HABILITADA DESDE 201 M2 A 300 M2</t>
  </si>
  <si>
    <t>BAR, CONFITERÍAS, PIZZERÍAS, LOMITERÍAS, EMPANADERÍAS, PARRILLA, TRATTORÍA, CONFITERÍAS Y RESTAURANTES CON UNA SUPERFICIE HABILITADA DE MÁS DE 300 M2</t>
  </si>
  <si>
    <t>RESTAURANT CON ESPECTACULOS CON Y SIN BAILE</t>
  </si>
  <si>
    <t xml:space="preserve">RESTO BAR CON ESPECTACULOS </t>
  </si>
  <si>
    <t>BAR O RESTO BAR ARTISTICO CULTURAL</t>
  </si>
  <si>
    <t>BAR TEMATICO</t>
  </si>
  <si>
    <t>PREPARACION Y VENTA DE COMIDAS PARA LLEVAR</t>
  </si>
  <si>
    <t>HELADERÍA</t>
  </si>
  <si>
    <t>PROVISIÓN DE COMIDAS PREPARADAS, RACIONAMIENTO DE ALIMENTOS EN COCIDO (INCLUYE EL SERVICIO DE CATERING, EL SUMINISTRO DE CONFITURAS Y COMIDAS PARA BANQUETES, BODAS, FIESTAS Y OTRAS CELEBRACIONES)</t>
  </si>
  <si>
    <t>SANDWICHERÍA, ELABORACIÓN Y VENTAS POR MENOR, SIN SERVICIOS DE MESAS</t>
  </si>
  <si>
    <t>SALÓN DE FIESTAS (EXPENDIO DE CONFITURAS Y COMIDAS PARA CONSUMO EN EL LUGAR)</t>
  </si>
  <si>
    <t>SALÓN DE FIESTAS INFANTILES CON EXPENDIO DE CONFITURAS Y COMIDAS</t>
  </si>
  <si>
    <t>INSTRUCCIÓN Y ENSEÑANZA</t>
  </si>
  <si>
    <t>CENTRO DE DESARROLLO INFANTIL</t>
  </si>
  <si>
    <t>ESCUELA DE ENSEÑANZA PRIVADA PRE-PRIMARIA</t>
  </si>
  <si>
    <t>ESCUELA DE ENSEÑANZA PRIVADA. PRIMARIA (EGB)</t>
  </si>
  <si>
    <t>ENSEÑANZA PRIVADA (ÚNICAMENTE PLANES OFICIALES)</t>
  </si>
  <si>
    <t>ENSEÑANZA PRIVADA (OTRAS)</t>
  </si>
  <si>
    <t>JARDÍN DE INFANTES SEGUNDO CICLO</t>
  </si>
  <si>
    <t>JARDÍN DE INFANTES PRIMER CICLO. GUARDERÍA</t>
  </si>
  <si>
    <t>ESCUELA DE ENSEÑANZA PRIVADA. SECUNDARIA (POLIMODAL)</t>
  </si>
  <si>
    <t>ESCUELA DE ENSEÑANZA PRIVADA. TERCIARIA</t>
  </si>
  <si>
    <t>UNIVERSIDAD PRIVADA</t>
  </si>
  <si>
    <t>INSTITUTO DE ENSEÑANZA</t>
  </si>
  <si>
    <t>ESCUELA PARA DISCAPACITADOS MENTALES Y FÍSICOS</t>
  </si>
  <si>
    <t>ESCUELA DE CONDUCTORES</t>
  </si>
  <si>
    <t>ESCUELA DE NATACIÓN</t>
  </si>
  <si>
    <t>ESCUELA DE YOGA TERAPIA</t>
  </si>
  <si>
    <t>SERVICIOS DE ACCESO A NAVEGACIÓN Y OTROS CANALES DE USO DE INTERNET. ENTRETENIMIENTOS; JUEGOS EN RED Y EN CONSOLAS (CYBER Y SIMILARES).</t>
  </si>
  <si>
    <t>SERVICIOS RELACIONADOS CON LA SALUD HUMANA</t>
  </si>
  <si>
    <t>SERVICIOS DE INTERNACIÓN</t>
  </si>
  <si>
    <t>GERIÁTRICOS</t>
  </si>
  <si>
    <t>SERVICIOS DE HOSPITAL DE DÍA. (INCLUYE LAS ACTIVIDADES DE TRATAMIENTO QUE NO NECESITAN HOSPITALIZACIÓN A TIEMPO COMPLETO, TALES COMO TRATAMIENTOS ONCOLÓGICOS; INFECTOLÓGICOS; DIALÍTICOS; ATENCIÓN DE LA SALUD MENTAL; ATENCIÓN PEDIÁTRICA; ATENCIÓN GERONTOLÓGICA)</t>
  </si>
  <si>
    <t>HOGAR DE RESIDENCIA PARA ADULTOS MAYORES AUTOVALIDOS CON ALBERGUE HASTA 4 PERSONAS</t>
  </si>
  <si>
    <t>SERVICIOS HOSPITALARIOS N.C.P.</t>
  </si>
  <si>
    <t>SERVICIOS DE ATENCIÓN AMBULATORIA. (INCLUYE LAS ACTIVIDADES DE CONSULTORIOS MÉDICOS DE ESTABLECIMIENTOS SIN INTERNACIÓN, CONSULTORIOS DE GUARDIA PARA RESOLVER URGENCIAS MÉDICAS, VACUNATORIOS, CENTROS DEL PRIMER NIVEL DE ATENCIÓN, LOS SERVICIOS DE CIRUGÍA AMBULATORIA, TALES COMO CIRUGÍA PLÁSTICA, OFTALMOLÓGICA, ARTROSCOPIA, ELECTROCOAGULACIÓN, LIPOASPIRACIÓN)</t>
  </si>
  <si>
    <t>SERVICIOS DE ATENCIÓN DOMICILIARIA PROGRAMADA. (INCLUYE LAS ACTIVIDADES LLEVADAS A CABO EN ESTABLECIMIENTOS QUE OFRECEN ATENCIÓN POR MÓDULOS A DOMICILIO Y ACTIVIDADES DE AGENTES SANITARIOS RELACIONADOS CON LA PREVENCIÓN Y EDUCACIÓN PARA LA SALUD)</t>
  </si>
  <si>
    <t>SERVICIOS ODONTOLÓGICOS</t>
  </si>
  <si>
    <t>MECÁNICO DENTAL</t>
  </si>
  <si>
    <t>SERVICIOS DE DIAGNÓSTICOS. (INCLUYE LAS ACTIVIDADES DE LABORATORIOS DE ANÁLISIS CLÍNICOS Y PATOLÓGICOS, CENTROS DE DIAGNÓSTICO POR IMÁGENES, CENTROS DE ENDOSCOPÍA, DE ELECTRODIAGNÓSTICO, CONSULTORIOS DE HEMODINAMIA)</t>
  </si>
  <si>
    <t>SERVICIOS DE TRATAMIENTO. (INCLUYE LAS ACTIVIDADES DE CENTROS DE COBALTOTERAPIA, DE RADIOLOGÍA CONVENCIONAL, DE ACELERADOR LINEAL DE REHABILITACIÓN FÍSICA, DE PSICOTERAPIA, DE HEMOTERAPIA, DE REHABILITACIÓN PSÍQUICA, UNIDADES DE HEMODIÁLISIS, CENTROS DE MEDICINA NUCLEAR)</t>
  </si>
  <si>
    <t>SERVICIOS DE EMERGENCIAS Y TRASLADOS</t>
  </si>
  <si>
    <t>OBRAS SOCIALES POR SERVICIOS RELACIONADOS CON LA SALUD HUMANA</t>
  </si>
  <si>
    <t>SERVICIOS RELACIONADOS CON LA SALUD HUMANA N.C.P.</t>
  </si>
  <si>
    <t>SERVICIOS DE SANEAMIENTO Y SIMILARES</t>
  </si>
  <si>
    <t>SERVICIO DE RECOLECCIÓN Y TRANSPORTE DE RESIDUOS CONVENCIONALES (DOMICILIARIOS – ORGÁNICOS E INORGÁNICOS RECICLABLES – GENERADOS POR ACTIVIDAD COMERCIAL O INDUSTRIAL QUE NO DERIVEN DE PROCESOS PRODUCTIVOS)</t>
  </si>
  <si>
    <t>SERVICIO DE RECOLECCIÓN Y TRANSPORTE DE RESIDUOS NO CONVENCIONALES (PATÓGENOS – INDUSTRIALES – PELIGROSOS – RESTOS DE OBRAS Y DEMOLICIONES)</t>
  </si>
  <si>
    <t>SERVICIOS DE DEPURACIÓN DE AGUAS RESIDUALES, ALCANTARILLADO Y CLOACAS</t>
  </si>
  <si>
    <t>SERVICIOS DE SANEAMIENTO N.C.P.</t>
  </si>
  <si>
    <t>ALQUILER DE VIDEO PELÍCULAS Y VIDEO JUEGOS</t>
  </si>
  <si>
    <t>PRODUCCIÓN DE PELÍCULAS CINEMATOGRÁFICAS Y DE TELEVISIÓN</t>
  </si>
  <si>
    <t>DISTRIBUCIÓN Y ALQUILER DE PELÍCULAS CINEMATOGRÁFICAS</t>
  </si>
  <si>
    <t>LABORATORIOS CINEMATOGRÁFICOS</t>
  </si>
  <si>
    <t>CINES. EXHIBICIÓN DE PELÍCULAS CINEMATOGRÁFICAS (EXCEPTO CONDICIONADAS)</t>
  </si>
  <si>
    <t>CINEMATÓGRAFOS, CON MÁS DE DOS SALAS DE EXHIBICIÓN</t>
  </si>
  <si>
    <t>DESPACHANTE DE ADUANA Y BALANCEADORES</t>
  </si>
  <si>
    <t>TEATRO. ESPECTÁCULOS TEATRALES Y MUSICALES</t>
  </si>
  <si>
    <t>AUTORES COMPOSITORES Y ARTISTAS</t>
  </si>
  <si>
    <t>SERVICIOS RELACIONADOS CON ESPECTÁCULOS TEATRALES – POR HONORARIOS Y COMISIONES</t>
  </si>
  <si>
    <t>SERVICIOS DE DIVERSIÓN, ESPARCIMIENTO, CULTURAL Y DEPORTIVOS</t>
  </si>
  <si>
    <t xml:space="preserve">FERIAS Y EXPOSICIONES PERMANENTES </t>
  </si>
  <si>
    <t>CYBER CAFÉ</t>
  </si>
  <si>
    <t>SERVICIOS DE ESPARCIMIENTO RELACIONADOS CON JUEGOS DE AZAR Y APUESTAS</t>
  </si>
  <si>
    <t>SERVICIO DE ESPARCIMIENTO RELACIONADOS CON JUEGOS DE AZAR Y APUESTAS DENOMINADOS “SLOTS” O SIMILARES</t>
  </si>
  <si>
    <t>CONFITERIAS BAILABLES-DISCOTECAS</t>
  </si>
  <si>
    <t>14,00‰</t>
  </si>
  <si>
    <t>BAR DISCOPUBS</t>
  </si>
  <si>
    <t>JARDÍN ZOOLÓGICO</t>
  </si>
  <si>
    <t>SERVICIOS DE DIVERSIÓN Y ESPARCIMIENTO N.C.P.</t>
  </si>
  <si>
    <t xml:space="preserve">JUEGOS MECÁNICOS, CON CAPACIDAD MAYOR A 2 PERSONAS </t>
  </si>
  <si>
    <t>CENTROS DE ENTRETENIMIENTO FAMILIAR, ENTENDIENDO POR TALES AQUELLOS ESTABLECIMIENTOS CON JUEGOS DE PARQUE, MECÁNICOS, ELECTRÓNICOS O SIMILARES QUE POSEAN MENOS DEL TREINTA POR CIENTO (30%) DE LOS MISMOS EN CALIDAD DE VIDEOS JUEGOS</t>
  </si>
  <si>
    <t>PISTA DE BAILE</t>
  </si>
  <si>
    <t>PEÑA</t>
  </si>
  <si>
    <t>ESPACIOS CULTURALES-EDUCATIVOS</t>
  </si>
  <si>
    <t>ESPECTACULOS MASIVOS EN LUGARES PUBLICOS Y/O PRIVADOS AL AIRE LIBRE</t>
  </si>
  <si>
    <t>CLUB SOCIAL Y DEPORTIVO</t>
  </si>
  <si>
    <t>SERVICIO DE PRÁCTICAS DEPORTIVAS. CANCHAS DE PADDLE Y TENIS</t>
  </si>
  <si>
    <t>SERVICIO DE PRÁCTICAS DEPORTIVAS. CANCHAS DE FÚTBOL</t>
  </si>
  <si>
    <t>SERVICIO DE PRÁCTICAS DEPORTIVAS. CANCHAS DE GOLF</t>
  </si>
  <si>
    <t>SERVICIO DE PRÁCTICAS DEPORTIVAS. POLÍGONOS DE TIRO</t>
  </si>
  <si>
    <t>SERVICIO DE PRÁCTICA DEPORTIVA N.C.P.</t>
  </si>
  <si>
    <t>NATATORIOS</t>
  </si>
  <si>
    <t>GIMNASIOS</t>
  </si>
  <si>
    <t>PRODUCCIÓN DE ESPECTÁCULOS DEPORTIVOS</t>
  </si>
  <si>
    <t>JUEGO DE POOL, MINIPOOL Y OTROS JUEGOS DE MESA Y POR CADA MESA</t>
  </si>
  <si>
    <t>CANCHA DE BOWLING Y MINIGOLF, POR CADA UNA</t>
  </si>
  <si>
    <t>SALÓN DE JUEGOS INFANTILES</t>
  </si>
  <si>
    <t>NEGOCIOS CON JUEGOS ELECTRÓNICOS, MECÁNICOS O SIMILARES POR LOCAL HABILITADO, CONFORME A LAS SIGUIENTES ESCALAS Y MÍNIMOS:</t>
  </si>
  <si>
    <t>HASTA 5 JUEGOS</t>
  </si>
  <si>
    <t>DE 6 A 10 JUEGOS</t>
  </si>
  <si>
    <t>DE 11 A 20 JUEGOS</t>
  </si>
  <si>
    <t>DE 21 A 33 JUEGOS</t>
  </si>
  <si>
    <t xml:space="preserve">MÁS DE 33 JUEGOS; </t>
  </si>
  <si>
    <t>SALA DE ENTRETENIMIENTO</t>
  </si>
  <si>
    <t>SERVICIO DE DIVERSIÓN. ALQUILER DE BOTES, KAYAKS, BICICLETAS PARA EL AGUA</t>
  </si>
  <si>
    <t>SERVICIO DE LAVANDERÍA, ESTABLECIMIENTOS DE LIMPIEZA Y TEÑIDO</t>
  </si>
  <si>
    <t>TINTORERÍA</t>
  </si>
  <si>
    <t xml:space="preserve">LAVANDERÍA AUTOMÁTICA. ALQUILER DE MÁQUINAS LAVADORAS Y SECADORAS DE ROPA EN GENERAL </t>
  </si>
  <si>
    <t>SERVICIOS PERSONALES N.C.P.</t>
  </si>
  <si>
    <t>SERVICIOS PRESTADOS AL PÚBLICO N.C.P.</t>
  </si>
  <si>
    <t>SERVICIOS PRESTADOS AL PÚBLICO POR PROFESIONALES B</t>
  </si>
  <si>
    <t>SERVICIOS DE GUARDERÍA DE ANIMALES (EXCEPTO CABALLERIZAS Y STUDS)</t>
  </si>
  <si>
    <t>PELUQUERÍA CANINA</t>
  </si>
  <si>
    <t>SERVICIOS PROFESIONALES RELACIONADOS CON LA AGRONOMÍA (SOCIEDAD DE PROFESIONALES)</t>
  </si>
  <si>
    <t>SERVICIOS MÉDICOS PARA ANIMALES</t>
  </si>
  <si>
    <t>CÁMARAS FRIGORÍFICAS Y LUGARES DESTINADOS A LA CONSERVACIÓN DE PIELES</t>
  </si>
  <si>
    <t>REMATADORAS Y SOCIEDADES DEDICADAS AL REMATE QUE NO SEAN REMATES-FERIAS, EXCEPTO DE ARTE</t>
  </si>
  <si>
    <t>SALÓN DE BELLEZA</t>
  </si>
  <si>
    <t>COSMETOLOGÍA</t>
  </si>
  <si>
    <t>MANICURA</t>
  </si>
  <si>
    <t>PEDICURA</t>
  </si>
  <si>
    <t>DEPILACIÓN</t>
  </si>
  <si>
    <t>EMPRESA DE POMPAS FÚNEBRES (COCHERÍA SERVICIOS FÚNEBRES)</t>
  </si>
  <si>
    <t>EMPRESA DE POMPAS FÚNEBRES (SERVICIOS POR ABONO)</t>
  </si>
  <si>
    <t>SALAS VELATORIAS</t>
  </si>
  <si>
    <t>INSTITUTO DE HIGIENE Y ESTÉTICA CORPORAL</t>
  </si>
  <si>
    <t>SERVICIOS DE AGENCIAS DE MATRIMONIO</t>
  </si>
  <si>
    <t>SERVICIOS DE GESTORÍA DEL AUTOMOTOR</t>
  </si>
  <si>
    <t>DISTRIBUCIÓN DE GACETILLAS</t>
  </si>
  <si>
    <t>SERVICIOS PERSONALES DIVERSOS N.C.P.</t>
  </si>
  <si>
    <t>CAMA SOLAR</t>
  </si>
  <si>
    <t>OTRAS ACTIVIDADES</t>
  </si>
  <si>
    <t>OTRAS ACTIVIDADES N.C.P.</t>
  </si>
  <si>
    <r>
      <t>TRANSPORTE DE VALORES, DOCUMENTACIÓN Y SIMILARES.</t>
    </r>
    <r>
      <rPr>
        <b/>
        <sz val="10"/>
        <color rgb="FF000000"/>
        <rFont val="Times New Roman"/>
        <family val="1"/>
      </rPr>
      <t> </t>
    </r>
  </si>
  <si>
    <t>EXTRACCIÓN DE  0*/ SAL EN SALINAS Y DE ROCA.</t>
  </si>
  <si>
    <t>DESCRIPCION</t>
  </si>
  <si>
    <t>Nº CODIGO</t>
  </si>
  <si>
    <t>ALICUOTA</t>
  </si>
  <si>
    <t>MINIMO-14</t>
  </si>
  <si>
    <t>MINIMO-15</t>
  </si>
  <si>
    <t>011111</t>
  </si>
  <si>
    <t>011221</t>
  </si>
  <si>
    <t>011229</t>
  </si>
  <si>
    <t>011241</t>
  </si>
  <si>
    <t>011242</t>
  </si>
  <si>
    <t>011251</t>
  </si>
  <si>
    <t>011252</t>
  </si>
  <si>
    <t>011311</t>
  </si>
  <si>
    <t>011319</t>
  </si>
  <si>
    <t>011411</t>
  </si>
  <si>
    <t>011419</t>
  </si>
  <si>
    <t>011421</t>
  </si>
  <si>
    <t>011429</t>
  </si>
  <si>
    <t>011511</t>
  </si>
  <si>
    <t>011512</t>
  </si>
  <si>
    <t>011513</t>
  </si>
  <si>
    <t>011519</t>
  </si>
  <si>
    <t>012111</t>
  </si>
  <si>
    <t>012211</t>
  </si>
  <si>
    <t>012212</t>
  </si>
  <si>
    <t>012241</t>
  </si>
  <si>
    <t>012242</t>
  </si>
  <si>
    <t>012243</t>
  </si>
  <si>
    <t>011210</t>
  </si>
  <si>
    <t>011230</t>
  </si>
  <si>
    <t>011320</t>
  </si>
  <si>
    <t>011330</t>
  </si>
  <si>
    <t>011340</t>
  </si>
  <si>
    <t>011390</t>
  </si>
  <si>
    <t>011430</t>
  </si>
  <si>
    <t>011440</t>
  </si>
  <si>
    <t>011450</t>
  </si>
  <si>
    <t>011460</t>
  </si>
  <si>
    <t>011490</t>
  </si>
  <si>
    <t>011520</t>
  </si>
  <si>
    <t>011530</t>
  </si>
  <si>
    <t>012220</t>
  </si>
  <si>
    <t>012230</t>
  </si>
  <si>
    <t>012290</t>
  </si>
  <si>
    <t>014190</t>
  </si>
  <si>
    <t>014210</t>
  </si>
  <si>
    <t>014220</t>
  </si>
  <si>
    <t>020130</t>
  </si>
  <si>
    <t>020310</t>
  </si>
  <si>
    <t>CLASIFICADOS EN OTRA PARTE.</t>
  </si>
  <si>
    <t xml:space="preserve">EXPLOTACIÓN DE CANTERAS Y EXTRACCIÓN DE MINERALES NO METÁLICOS NO </t>
  </si>
  <si>
    <t>523999.9</t>
  </si>
  <si>
    <t>523999.10</t>
  </si>
  <si>
    <t>18,00‰</t>
  </si>
  <si>
    <t>INDUSTRIA DEL CUERO, PRODUCTOS Y SUCEDÁNEOS DE CUERO Y PIELES</t>
  </si>
  <si>
    <t xml:space="preserve"> (EXCEPTO CALZADOS Y PRENDAS DE VESTIR)</t>
  </si>
  <si>
    <t>AGRICULTURA</t>
  </si>
  <si>
    <t>GENERACIÓN DE ENERGÍA TÉRMICA CONVENCIONAL. (INCLUYE LA PRODUCCIÓN DE ENERGÍA ELÉCTRICA MEDIANTE MÁQUINAS TURBO-GAS, TURBO VAPOR, CICLO COMBINADO Y TURBO DIESEL). MINIMO ESTABLECIDO POR CADA 10.000 KW.</t>
  </si>
  <si>
    <t>GENERACIÓN DE ENERGÍA TÉRMICA NUCLEAR. (INCLUYE LA PRODUCCIÓN DE ENERGÍA ELÉCTRICA MEDIANTE COMBUSTIBLE NUCLEAR). MINIMO ESTABLECIDO POR CADA 10.000 KW.</t>
  </si>
  <si>
    <t>GENERACIÓN DE ENERGÍA HIDRÁULICA. (INCLUYE LA PRODUCCIÓN DE ENERGÍA ELÉCTRICA MEDIANTE CENTRALES DE BOMBEO). MINIMO ESTABLECIDO POR CADA 10.000 KW.</t>
  </si>
  <si>
    <t>GENERACIÓN DE ENERGÍA N.C.P. (INCLUYE LA PRODUCCIÓN DE ENERGÍA ELÉCTRICA MEDIANTE FUENTES DE ENERGÍA SOLAR, BIOMASA, EÓLICA, GEOTÉRMICA, MAREOMOTRIZ). MINIMO ESTABLECIDO POR CADA 10.000 KW.</t>
  </si>
  <si>
    <t>TRANSPORTE DE ENERGÍA ELÉCTRICA. MINIMO ESTABLECIDO POR CADA 10.000 KW.</t>
  </si>
  <si>
    <t>DISTRIBUCIÓN DE ENERGÍA ELÉCTRICA. MINIMO ESTABLECIDO POR CADA 10.000 KW.</t>
  </si>
  <si>
    <t>662021</t>
  </si>
  <si>
    <t>AGENTES DE SEGURO Y SERVICIOS RELACIONADOS CON SEGUROS</t>
  </si>
  <si>
    <t>701090.4</t>
  </si>
  <si>
    <t>LOTEOS</t>
  </si>
  <si>
    <t>5,00‰</t>
  </si>
  <si>
    <t>ANEXO III</t>
  </si>
  <si>
    <t>MINIMO-2016´</t>
  </si>
  <si>
    <t xml:space="preserve">INDUSTRIA DE LA MADERA Y PCTOS. DE MADERA, CORCHO, PAJA Y MATERIALES </t>
  </si>
  <si>
    <t>TRENZABLES, EXCEPTO MUEBLES</t>
  </si>
  <si>
    <t xml:space="preserve">FABRICACIÓN Y REPARACIÓN DE MAQUINARIAS, APARATOS, ACCESORIOS </t>
  </si>
  <si>
    <t>Y SUMINISTROS ELÉCTRICOS Y ELECTRÓNICOS</t>
  </si>
  <si>
    <t>FABRICACIÓN Y REPARACIÓN DE EQUIPO PROFESIONAL Y CIENTÍFICO, E INSTRUMENTOS DE MEDIDA Y CONTROL N.C.P</t>
  </si>
  <si>
    <t>36,00‰</t>
  </si>
  <si>
    <t>46,00‰</t>
  </si>
  <si>
    <t>11,00‰</t>
  </si>
  <si>
    <t>921986.1</t>
  </si>
  <si>
    <t>PUBS</t>
  </si>
  <si>
    <t>16,00‰</t>
  </si>
  <si>
    <t>851120.3</t>
  </si>
  <si>
    <t>FABRICACIÓN CALZADO EXCEPTO DE CAUCHO VULCANIZADO, MOLDEADOS O PLÁSTICO</t>
  </si>
  <si>
    <t>INDUSTRIAS BÁSICAS METALES NO FERROSOS INCLUYENDO METALES PRECIOSOS</t>
  </si>
  <si>
    <t xml:space="preserve">FABRICACIÓN Y REPARAC. DE EQUIPOS PROFESIONALES Y CIENTÍFICOS, </t>
  </si>
  <si>
    <t>INSTRUMENTOS DE  MEDIDA Y CONTROL, FOTOGRÁFICOS Y DE ÓPTICA, RELOJES</t>
  </si>
  <si>
    <t>FABRICACIÓN MUEBLES Y ACCESORIOS DE MADERA,CAÑA,MIMBRE Y OTROS,</t>
  </si>
  <si>
    <t>EXCEPTO METÁLICOS O DE PLÁSTICO</t>
  </si>
  <si>
    <t xml:space="preserve">CONSTRUCCIÓN PESADA Y EDIFICIOS,REFORMA,REPARAC. Y </t>
  </si>
  <si>
    <t>PRESTACIONES RELACIONADAS CON LA CONSTR.</t>
  </si>
  <si>
    <t xml:space="preserve">FRACCIONAMIENTO, VENTA POR MAYOR DE MATERIAS PRIMAS AGROPECUARIAS, </t>
  </si>
  <si>
    <t>ANIMALES VIVOS Y ALIMENTOS (EXCEPTO COMISIÓN O CONSIGNAC.)</t>
  </si>
  <si>
    <t xml:space="preserve">DEPÓSITO Y VENTA POR MAYOR DE TEXTILES, PRENDAS DE VESTIR Y CUERO; </t>
  </si>
  <si>
    <t>ACCESORIOS DE VESTIR</t>
  </si>
  <si>
    <t xml:space="preserve">DEPÓSITO, DISTRIBUCIÓN Y VENTA POR MAYOR DE SUSTANCIAS QUÍMICAS </t>
  </si>
  <si>
    <t>INDUSTRIALES; PRODUCTOS QUÍMICOS Y DERIVADOS DEL PETRÓLEO</t>
  </si>
  <si>
    <t xml:space="preserve">VENTA AL POR MENOR EN CIGARRERÍAS. AGENCIAS DE LOTERÍA Y </t>
  </si>
  <si>
    <t>VENTA POR MENOR DE TEXTILES, PRENDAS Y ACCES. DE VESTIR, Y PCTOS DE CUERO</t>
  </si>
  <si>
    <t>SERVICIO DE ALOJAMIENTO, COMIDA Y HOSPEDAJE EN HOTELES Y OTROS</t>
  </si>
  <si>
    <t xml:space="preserve"> LUGARES DE ALOJAMIENTO</t>
  </si>
  <si>
    <t xml:space="preserve">EXPENDIO DE COMIDAS Y BEBIDAS EN RESTAURANTE, CAFÉS Y CON </t>
  </si>
  <si>
    <t>SERVICIO DE MESA Y MOSTRADOR</t>
  </si>
  <si>
    <t xml:space="preserve">SERVICIOS RELACIONADOS CON PELÍCULAS,RADIO,TV,OBRAS Y </t>
  </si>
  <si>
    <t>ESPECTÁC. TEATRALES Y MUSICALES</t>
  </si>
  <si>
    <t>MINIMO MENSUAL 2017´</t>
  </si>
  <si>
    <t>INSTALACIÓN DE ASCENSORES, MONTACARGAS, ESCALERAS MECÁNICAS</t>
  </si>
  <si>
    <t>INSTALACIÓN Y MANTENIMIENTO DE GAS, AGUA, SANITARIOS Y EQUIPOS DE CLIMATIZACIÓN, CON SUS ARTEFACTOS CONEXOS</t>
  </si>
  <si>
    <t>930202.6</t>
  </si>
  <si>
    <t>930991</t>
  </si>
  <si>
    <t>930992</t>
  </si>
  <si>
    <t>930993</t>
  </si>
  <si>
    <t>930994</t>
  </si>
  <si>
    <t>SERVICIO DE MENSAJERÍA Y CADETERÍA.</t>
  </si>
  <si>
    <t>930995</t>
  </si>
  <si>
    <t>SERVICIO DE GRABADO DE AUTOPARTES DEL AUTOMOTOR</t>
  </si>
  <si>
    <t>521140.1</t>
  </si>
  <si>
    <t>521140.2</t>
  </si>
  <si>
    <t xml:space="preserve">HOTEL CATEGORÍA 5 ESTRELLAS. </t>
  </si>
  <si>
    <t xml:space="preserve">HOTEL CATEGORÍA 3 ESTRELLAS. </t>
  </si>
  <si>
    <t>CASAS Y DEPARTAMENTOS DE ALQUILER TEMPORARIO. POR UNIDAD, DEPARTAMENTO Y CASA.</t>
  </si>
  <si>
    <t>551229.5</t>
  </si>
  <si>
    <t>CAMA Y DESAYUNO - B&amp;B</t>
  </si>
  <si>
    <t xml:space="preserve"> $ 856.90 </t>
  </si>
  <si>
    <t>521150</t>
  </si>
  <si>
    <t>16 BAJADAS DE BANDERAS</t>
  </si>
  <si>
    <t>MINIMO-2018´</t>
  </si>
  <si>
    <t>MINIMO + SOBRE TASA 18</t>
  </si>
  <si>
    <t>SUPERMERCADOS CON UN MONTO DE VENTAS ANUALES MAYOR A $72.000.000,00.-</t>
  </si>
  <si>
    <t>SUPERMERCADOS CON UN MONTO DE VENTAS ANUALES HASTA $72.000.000,00.-</t>
  </si>
  <si>
    <t>701090.3</t>
  </si>
  <si>
    <t>LOCACIÓN DE BIENES INMUEBLES PROPIOS.(NOTA)</t>
  </si>
  <si>
    <t>7‰</t>
  </si>
  <si>
    <t>00,00‰</t>
  </si>
  <si>
    <t>MINIMO-2019</t>
  </si>
  <si>
    <t>MINIMO + SOBRE TASA 19</t>
  </si>
  <si>
    <t>20 BAJADAS DE BANDERAS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</si>
</sst>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 &quot; &quot;\ * #,##0.00_ ;_ &quot; &quot;\ * \-#,##0.00_ ;_ &quot; &quot;\ * &quot;-&quot;??_ ;_ @_ "/>
    <numFmt numFmtId="43" formatCode="_ * #,##0.00_ ;_ * \-#,##0.00_ ;_ * &quot;-&quot;??_ ;_ @_ "/>
    <numFmt numFmtId="164" formatCode="_ [$$-2C0A]&quot; &quot;* #,##0.00_ ;_ [$$-2C0A]&quot; &quot;* \-#,##0.00_ ;_ [$$-2C0A]&quot; &quot;* &quot;-&quot;??_ ;_ @_ "/>
    <numFmt numFmtId="165" formatCode="0.0000"/>
    <numFmt numFmtId="166" formatCode="_ &quot; &quot;&quot; &quot;* #,##0.00_ ;_ &quot; &quot;&quot; &quot;* \-#,##0.00_ ;_ &quot; &quot;&quot; &quot;* &quot;-&quot;??_ ;_ @_ "/>
  </numFmts>
  <fonts count="24" x14ac:knownFonts="1">
    <font>
      <sz val="11"/>
      <color theme="1"/>
      <name val="Calibri"/>
      <family val="2"/>
      <scheme val="minor"/>
    </font>
    <font>
      <sz val="11"/>
      <color theme="1"/>
      <name val="Calibri"/>
      <family val="2"/>
      <scheme val="minor"/>
    </font>
    <font>
      <b/>
      <sz val="12"/>
      <name val="Courier New"/>
      <family val="3"/>
    </font>
    <font>
      <sz val="12"/>
      <name val="Courier New"/>
      <family val="3"/>
    </font>
    <font>
      <sz val="12"/>
      <color theme="1"/>
      <name val="Courier New"/>
      <family val="3"/>
    </font>
    <font>
      <b/>
      <sz val="12"/>
      <color theme="1"/>
      <name val="Courier New"/>
      <family val="3"/>
    </font>
    <font>
      <i/>
      <sz val="12"/>
      <color theme="1"/>
      <name val="Courier New"/>
      <family val="3"/>
    </font>
    <font>
      <b/>
      <sz val="8"/>
      <color rgb="FF000000"/>
      <name val="Times New Roman"/>
      <family val="1"/>
    </font>
    <font>
      <b/>
      <sz val="10"/>
      <color rgb="FF000000"/>
      <name val="Times New Roman"/>
      <family val="1"/>
    </font>
    <font>
      <sz val="10"/>
      <color theme="1"/>
      <name val="Calibri"/>
      <family val="2"/>
      <scheme val="minor"/>
    </font>
    <font>
      <b/>
      <sz val="10"/>
      <name val="Courier New"/>
      <family val="3"/>
    </font>
    <font>
      <sz val="10"/>
      <name val="Courier New"/>
      <family val="3"/>
    </font>
    <font>
      <sz val="10"/>
      <color theme="1"/>
      <name val="Courier New"/>
      <family val="3"/>
    </font>
    <font>
      <i/>
      <sz val="10"/>
      <color theme="1"/>
      <name val="Courier New"/>
      <family val="3"/>
    </font>
    <font>
      <b/>
      <i/>
      <sz val="12"/>
      <color theme="1"/>
      <name val="Courier New"/>
      <family val="3"/>
    </font>
    <font>
      <b/>
      <sz val="10"/>
      <color theme="1"/>
      <name val="Courier New"/>
      <family val="3"/>
    </font>
    <font>
      <b/>
      <sz val="11"/>
      <color theme="1"/>
      <name val="Courier New"/>
      <family val="3"/>
    </font>
    <font>
      <b/>
      <sz val="11.5"/>
      <color theme="1"/>
      <name val="Courier New"/>
      <family val="3"/>
    </font>
    <font>
      <b/>
      <sz val="11"/>
      <color theme="1"/>
      <name val="Calibri"/>
      <family val="2"/>
      <scheme val="minor"/>
    </font>
    <font>
      <b/>
      <sz val="11"/>
      <name val="Courier New"/>
      <family val="3"/>
    </font>
    <font>
      <sz val="8"/>
      <color indexed="81"/>
      <name val="Tahoma"/>
      <family val="2"/>
    </font>
    <font>
      <b/>
      <sz val="8"/>
      <color indexed="81"/>
      <name val="Tahoma"/>
      <family val="2"/>
    </font>
    <font>
      <sz val="11"/>
      <color theme="0"/>
      <name val="Calibri"/>
      <family val="2"/>
      <scheme val="minor"/>
    </font>
    <font>
      <sz val="11"/>
      <color rgb="FFFF0000"/>
      <name val="Calibri"/>
      <family val="2"/>
      <scheme val="minor"/>
    </font>
  </fonts>
  <fills count="7">
    <fill>
      <patternFill patternType="none"/>
    </fill>
    <fill>
      <patternFill patternType="gray125"/>
    </fill>
    <fill>
      <patternFill patternType="solid">
        <fgColor theme="0" tint="-0.34998626667073579"/>
        <bgColor indexed="64"/>
      </patternFill>
    </fill>
    <fill>
      <patternFill patternType="solid">
        <fgColor rgb="FFFF0000"/>
        <bgColor indexed="64"/>
      </patternFill>
    </fill>
    <fill>
      <patternFill patternType="solid">
        <fgColor theme="0"/>
        <bgColor indexed="64"/>
      </patternFill>
    </fill>
    <fill>
      <patternFill patternType="solid">
        <fgColor theme="0" tint="-0.499984740745262"/>
        <bgColor indexed="64"/>
      </patternFill>
    </fill>
    <fill>
      <patternFill patternType="solid">
        <fgColor rgb="FFFFFF00"/>
        <bgColor indexed="64"/>
      </patternFill>
    </fill>
  </fills>
  <borders count="17">
    <border>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style="thick">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287">
    <xf numFmtId="0" fontId="0" fillId="0" borderId="0" xfId="0"/>
    <xf numFmtId="0" fontId="2" fillId="0" borderId="2" xfId="0" applyFont="1" applyBorder="1" applyAlignment="1">
      <alignment vertical="center"/>
    </xf>
    <xf numFmtId="164" fontId="3" fillId="0" borderId="1" xfId="0" applyNumberFormat="1" applyFont="1" applyBorder="1" applyAlignment="1">
      <alignment vertical="center" wrapText="1"/>
    </xf>
    <xf numFmtId="0" fontId="3" fillId="0" borderId="2" xfId="0" applyFont="1" applyBorder="1" applyAlignment="1">
      <alignment vertical="center"/>
    </xf>
    <xf numFmtId="0" fontId="5" fillId="0" borderId="2" xfId="0" applyFont="1" applyBorder="1" applyAlignment="1">
      <alignment vertical="center"/>
    </xf>
    <xf numFmtId="0" fontId="5" fillId="0" borderId="2" xfId="0" applyFont="1" applyBorder="1" applyAlignment="1">
      <alignment horizontal="left" vertical="center"/>
    </xf>
    <xf numFmtId="164" fontId="4" fillId="0" borderId="5" xfId="0" applyNumberFormat="1" applyFont="1" applyBorder="1" applyAlignment="1">
      <alignment horizontal="justify" vertical="center" wrapText="1"/>
    </xf>
    <xf numFmtId="0" fontId="14" fillId="0" borderId="2" xfId="0" applyFont="1" applyBorder="1" applyAlignment="1">
      <alignment vertical="center"/>
    </xf>
    <xf numFmtId="0" fontId="4" fillId="0" borderId="2" xfId="0" applyFont="1" applyBorder="1" applyAlignment="1">
      <alignment vertical="center"/>
    </xf>
    <xf numFmtId="0" fontId="5" fillId="0" borderId="3" xfId="0" applyFont="1" applyBorder="1" applyAlignment="1">
      <alignment vertical="center"/>
    </xf>
    <xf numFmtId="164" fontId="3" fillId="0" borderId="11" xfId="0" applyNumberFormat="1" applyFont="1" applyBorder="1" applyAlignment="1">
      <alignment vertical="center" wrapText="1"/>
    </xf>
    <xf numFmtId="164" fontId="3" fillId="0" borderId="11" xfId="2" applyNumberFormat="1" applyFont="1" applyBorder="1" applyAlignment="1">
      <alignment vertical="center" wrapText="1"/>
    </xf>
    <xf numFmtId="164" fontId="3" fillId="0" borderId="10" xfId="0" applyNumberFormat="1" applyFont="1" applyBorder="1" applyAlignment="1">
      <alignment vertical="center" wrapText="1"/>
    </xf>
    <xf numFmtId="164" fontId="3" fillId="0" borderId="8" xfId="0" applyNumberFormat="1" applyFont="1" applyBorder="1" applyAlignment="1">
      <alignment vertical="center" wrapText="1"/>
    </xf>
    <xf numFmtId="164" fontId="4" fillId="0" borderId="11" xfId="0" applyNumberFormat="1" applyFont="1" applyBorder="1" applyAlignment="1">
      <alignment vertical="center" wrapText="1"/>
    </xf>
    <xf numFmtId="164" fontId="4" fillId="0" borderId="11" xfId="2" applyNumberFormat="1" applyFont="1" applyBorder="1" applyAlignment="1">
      <alignment vertical="center" wrapText="1"/>
    </xf>
    <xf numFmtId="164" fontId="6" fillId="0" borderId="11" xfId="0" applyNumberFormat="1" applyFont="1" applyBorder="1" applyAlignment="1">
      <alignment vertical="center" wrapText="1"/>
    </xf>
    <xf numFmtId="164" fontId="4" fillId="0" borderId="8" xfId="0" applyNumberFormat="1" applyFont="1" applyBorder="1" applyAlignment="1">
      <alignment vertical="center" wrapText="1"/>
    </xf>
    <xf numFmtId="49" fontId="0" fillId="0" borderId="0" xfId="0" applyNumberFormat="1"/>
    <xf numFmtId="0" fontId="3" fillId="0" borderId="3" xfId="0" applyFont="1" applyBorder="1" applyAlignment="1">
      <alignment vertical="center"/>
    </xf>
    <xf numFmtId="165" fontId="0" fillId="0" borderId="0" xfId="0" applyNumberFormat="1"/>
    <xf numFmtId="0" fontId="2" fillId="0" borderId="3" xfId="0" applyFont="1" applyBorder="1" applyAlignment="1">
      <alignment horizontal="left" vertical="top"/>
    </xf>
    <xf numFmtId="0" fontId="2" fillId="0" borderId="12" xfId="0" applyFont="1" applyBorder="1" applyAlignment="1">
      <alignment horizontal="left" vertical="top"/>
    </xf>
    <xf numFmtId="0" fontId="2" fillId="0" borderId="2" xfId="0" applyFont="1" applyBorder="1" applyAlignment="1">
      <alignment vertical="center" wrapText="1"/>
    </xf>
    <xf numFmtId="0" fontId="2" fillId="0" borderId="2" xfId="0" applyFont="1" applyBorder="1" applyAlignment="1">
      <alignment horizontal="left" vertical="center"/>
    </xf>
    <xf numFmtId="0" fontId="5" fillId="0" borderId="2" xfId="0" applyFont="1" applyBorder="1" applyAlignment="1">
      <alignment vertical="center" wrapText="1"/>
    </xf>
    <xf numFmtId="164" fontId="4" fillId="0" borderId="10" xfId="0" applyNumberFormat="1" applyFont="1" applyBorder="1" applyAlignment="1">
      <alignment vertical="center" wrapText="1"/>
    </xf>
    <xf numFmtId="0" fontId="5" fillId="0" borderId="12" xfId="0" applyFont="1" applyBorder="1" applyAlignment="1">
      <alignment vertical="center"/>
    </xf>
    <xf numFmtId="0" fontId="5" fillId="0" borderId="12" xfId="0" applyFont="1" applyBorder="1" applyAlignment="1">
      <alignment horizontal="left" vertical="center"/>
    </xf>
    <xf numFmtId="164" fontId="6" fillId="0" borderId="10" xfId="0" applyNumberFormat="1" applyFont="1" applyBorder="1" applyAlignment="1">
      <alignment vertical="center" wrapText="1"/>
    </xf>
    <xf numFmtId="0" fontId="0" fillId="2" borderId="0" xfId="0" applyFill="1"/>
    <xf numFmtId="0" fontId="2" fillId="2" borderId="7" xfId="0" applyFont="1" applyFill="1" applyBorder="1" applyAlignment="1">
      <alignment horizontal="center" vertical="center" wrapText="1"/>
    </xf>
    <xf numFmtId="0" fontId="2" fillId="2" borderId="2" xfId="0" applyFont="1" applyFill="1" applyBorder="1" applyAlignment="1">
      <alignment horizontal="left" vertical="top"/>
    </xf>
    <xf numFmtId="0" fontId="2" fillId="2" borderId="2" xfId="0" applyFont="1" applyFill="1" applyBorder="1" applyAlignment="1">
      <alignment vertical="top"/>
    </xf>
    <xf numFmtId="0" fontId="2" fillId="2" borderId="2" xfId="0" applyFont="1" applyFill="1" applyBorder="1" applyAlignment="1">
      <alignment vertical="center"/>
    </xf>
    <xf numFmtId="0" fontId="3" fillId="2" borderId="2" xfId="0" applyFont="1" applyFill="1" applyBorder="1" applyAlignment="1">
      <alignment vertical="center"/>
    </xf>
    <xf numFmtId="0" fontId="3" fillId="2" borderId="3" xfId="0" applyFont="1" applyFill="1" applyBorder="1" applyAlignment="1">
      <alignment vertical="center"/>
    </xf>
    <xf numFmtId="0" fontId="2" fillId="2" borderId="12" xfId="0" applyFont="1" applyFill="1" applyBorder="1" applyAlignment="1">
      <alignment horizontal="left" vertical="top"/>
    </xf>
    <xf numFmtId="0" fontId="2" fillId="2" borderId="3" xfId="0" applyFont="1" applyFill="1" applyBorder="1" applyAlignment="1">
      <alignment horizontal="left" vertical="top"/>
    </xf>
    <xf numFmtId="0" fontId="2" fillId="2" borderId="2" xfId="0" applyFont="1" applyFill="1" applyBorder="1" applyAlignment="1">
      <alignment horizontal="left" vertical="center"/>
    </xf>
    <xf numFmtId="0" fontId="2" fillId="2" borderId="2" xfId="0" applyFont="1" applyFill="1" applyBorder="1" applyAlignment="1">
      <alignment vertical="center" wrapText="1"/>
    </xf>
    <xf numFmtId="164" fontId="4" fillId="2" borderId="3" xfId="0" applyNumberFormat="1" applyFont="1" applyFill="1" applyBorder="1" applyAlignment="1">
      <alignment vertical="center" wrapText="1"/>
    </xf>
    <xf numFmtId="0" fontId="5" fillId="2" borderId="2" xfId="0" applyFont="1" applyFill="1" applyBorder="1" applyAlignment="1">
      <alignment horizontal="left" vertical="center"/>
    </xf>
    <xf numFmtId="0" fontId="5" fillId="2" borderId="12" xfId="0" applyFont="1" applyFill="1" applyBorder="1" applyAlignment="1">
      <alignment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12" xfId="0" applyFont="1" applyFill="1" applyBorder="1" applyAlignment="1">
      <alignment horizontal="left" vertical="center"/>
    </xf>
    <xf numFmtId="0" fontId="5" fillId="2" borderId="2" xfId="0" applyFont="1" applyFill="1" applyBorder="1" applyAlignment="1">
      <alignment vertical="center" wrapText="1"/>
    </xf>
    <xf numFmtId="0" fontId="14" fillId="2" borderId="2" xfId="0" applyFont="1" applyFill="1" applyBorder="1" applyAlignment="1">
      <alignment vertical="center"/>
    </xf>
    <xf numFmtId="164" fontId="4" fillId="3" borderId="11" xfId="0" applyNumberFormat="1" applyFont="1" applyFill="1" applyBorder="1" applyAlignment="1">
      <alignment vertical="center" wrapText="1"/>
    </xf>
    <xf numFmtId="164" fontId="4" fillId="3" borderId="11" xfId="2" applyNumberFormat="1" applyFont="1" applyFill="1" applyBorder="1" applyAlignment="1">
      <alignment vertical="center" wrapText="1"/>
    </xf>
    <xf numFmtId="164" fontId="3" fillId="3" borderId="11" xfId="0" applyNumberFormat="1" applyFont="1" applyFill="1" applyBorder="1" applyAlignment="1">
      <alignment vertical="center" wrapText="1"/>
    </xf>
    <xf numFmtId="166" fontId="0" fillId="0" borderId="0" xfId="0" applyNumberFormat="1"/>
    <xf numFmtId="0" fontId="12" fillId="0" borderId="4" xfId="0" applyFont="1" applyBorder="1" applyAlignment="1">
      <alignment horizontal="left" vertical="center" wrapText="1"/>
    </xf>
    <xf numFmtId="164" fontId="6" fillId="4" borderId="11" xfId="0" applyNumberFormat="1" applyFont="1" applyFill="1" applyBorder="1" applyAlignment="1">
      <alignment vertical="center" wrapText="1"/>
    </xf>
    <xf numFmtId="164" fontId="4" fillId="4" borderId="11" xfId="0" applyNumberFormat="1" applyFont="1" applyFill="1" applyBorder="1" applyAlignment="1">
      <alignment vertical="center" wrapText="1"/>
    </xf>
    <xf numFmtId="164" fontId="3" fillId="4" borderId="11" xfId="0" applyNumberFormat="1" applyFont="1" applyFill="1" applyBorder="1" applyAlignment="1">
      <alignment vertical="center" wrapText="1"/>
    </xf>
    <xf numFmtId="0" fontId="4" fillId="4" borderId="5" xfId="0" applyFont="1" applyFill="1" applyBorder="1" applyAlignment="1">
      <alignment horizontal="center" vertical="center" wrapText="1"/>
    </xf>
    <xf numFmtId="0" fontId="2" fillId="5" borderId="2" xfId="0" applyFont="1" applyFill="1" applyBorder="1" applyAlignment="1">
      <alignment vertical="center"/>
    </xf>
    <xf numFmtId="0" fontId="2" fillId="2" borderId="11" xfId="0" applyFont="1" applyFill="1" applyBorder="1" applyAlignment="1">
      <alignment vertical="center"/>
    </xf>
    <xf numFmtId="0" fontId="2" fillId="2" borderId="15" xfId="0" applyFont="1" applyFill="1" applyBorder="1" applyAlignment="1">
      <alignment horizontal="left" vertical="top"/>
    </xf>
    <xf numFmtId="0" fontId="2" fillId="2" borderId="5" xfId="0" applyFont="1" applyFill="1" applyBorder="1" applyAlignment="1">
      <alignment horizontal="left" vertical="top"/>
    </xf>
    <xf numFmtId="0" fontId="2" fillId="2" borderId="14" xfId="0" applyFont="1" applyFill="1" applyBorder="1" applyAlignment="1">
      <alignment horizontal="left" vertical="top"/>
    </xf>
    <xf numFmtId="0" fontId="2" fillId="2" borderId="13" xfId="0" applyFont="1" applyFill="1" applyBorder="1" applyAlignment="1">
      <alignment horizontal="left" vertical="top"/>
    </xf>
    <xf numFmtId="0" fontId="0" fillId="4" borderId="0" xfId="0" applyFill="1"/>
    <xf numFmtId="49" fontId="3" fillId="4" borderId="11" xfId="0" applyNumberFormat="1" applyFont="1" applyFill="1" applyBorder="1" applyAlignment="1">
      <alignment horizontal="justify" vertical="center" wrapText="1"/>
    </xf>
    <xf numFmtId="0" fontId="4" fillId="4" borderId="6" xfId="0" applyFont="1" applyFill="1" applyBorder="1" applyAlignment="1">
      <alignment horizontal="center" vertical="center" wrapText="1"/>
    </xf>
    <xf numFmtId="0" fontId="4" fillId="4" borderId="1" xfId="0" applyFont="1" applyFill="1" applyBorder="1" applyAlignment="1">
      <alignment horizontal="center" vertical="center" wrapText="1"/>
    </xf>
    <xf numFmtId="49" fontId="4" fillId="4" borderId="11" xfId="0" applyNumberFormat="1" applyFont="1" applyFill="1" applyBorder="1" applyAlignment="1">
      <alignment horizontal="justify" vertical="center" wrapText="1"/>
    </xf>
    <xf numFmtId="49" fontId="7" fillId="4" borderId="0" xfId="0" applyNumberFormat="1" applyFont="1" applyFill="1" applyAlignment="1">
      <alignment vertical="center"/>
    </xf>
    <xf numFmtId="49" fontId="0" fillId="4" borderId="0" xfId="0" applyNumberFormat="1" applyFill="1"/>
    <xf numFmtId="0" fontId="5" fillId="2" borderId="7" xfId="0" applyFont="1" applyFill="1" applyBorder="1" applyAlignment="1">
      <alignment horizontal="left" vertical="center"/>
    </xf>
    <xf numFmtId="0" fontId="5" fillId="2" borderId="1" xfId="0" applyFont="1" applyFill="1" applyBorder="1" applyAlignment="1">
      <alignment horizontal="left" vertical="center"/>
    </xf>
    <xf numFmtId="49" fontId="5" fillId="2" borderId="7" xfId="0" applyNumberFormat="1" applyFont="1" applyFill="1" applyBorder="1" applyAlignment="1">
      <alignment vertical="center"/>
    </xf>
    <xf numFmtId="49" fontId="16" fillId="2" borderId="7" xfId="0" applyNumberFormat="1" applyFont="1" applyFill="1" applyBorder="1" applyAlignment="1">
      <alignment vertical="center"/>
    </xf>
    <xf numFmtId="0" fontId="2" fillId="2" borderId="2" xfId="0" applyFont="1" applyFill="1" applyBorder="1" applyAlignment="1">
      <alignment horizontal="center" vertical="center"/>
    </xf>
    <xf numFmtId="0" fontId="5" fillId="2" borderId="2" xfId="0" applyFont="1" applyFill="1" applyBorder="1" applyAlignment="1">
      <alignment horizontal="center" vertical="center"/>
    </xf>
    <xf numFmtId="0" fontId="2" fillId="2" borderId="11" xfId="0" applyFont="1" applyFill="1" applyBorder="1" applyAlignment="1">
      <alignment horizontal="center" vertical="center" wrapText="1"/>
    </xf>
    <xf numFmtId="49" fontId="2" fillId="2" borderId="7" xfId="0" applyNumberFormat="1" applyFont="1" applyFill="1" applyBorder="1" applyAlignment="1">
      <alignment horizontal="left" vertical="top"/>
    </xf>
    <xf numFmtId="0" fontId="10" fillId="2" borderId="1" xfId="0" applyFont="1" applyFill="1" applyBorder="1" applyAlignment="1">
      <alignment horizontal="left" vertical="top"/>
    </xf>
    <xf numFmtId="49" fontId="2" fillId="2" borderId="7" xfId="0" applyNumberFormat="1" applyFont="1" applyFill="1" applyBorder="1" applyAlignment="1">
      <alignment vertical="top"/>
    </xf>
    <xf numFmtId="164" fontId="3" fillId="4" borderId="11" xfId="1" applyNumberFormat="1" applyFont="1" applyFill="1" applyBorder="1" applyAlignment="1">
      <alignment vertical="center" wrapText="1"/>
    </xf>
    <xf numFmtId="164" fontId="3" fillId="4" borderId="10" xfId="1" applyNumberFormat="1" applyFont="1" applyFill="1" applyBorder="1" applyAlignment="1">
      <alignment vertical="center" wrapText="1"/>
    </xf>
    <xf numFmtId="164" fontId="3" fillId="4" borderId="10" xfId="0" applyNumberFormat="1" applyFont="1" applyFill="1" applyBorder="1" applyAlignment="1">
      <alignment vertical="center" wrapText="1"/>
    </xf>
    <xf numFmtId="164" fontId="3" fillId="4" borderId="11" xfId="2" applyNumberFormat="1" applyFont="1" applyFill="1" applyBorder="1" applyAlignment="1">
      <alignment vertical="center" wrapText="1"/>
    </xf>
    <xf numFmtId="164" fontId="3" fillId="4" borderId="10" xfId="2" applyNumberFormat="1" applyFont="1" applyFill="1" applyBorder="1" applyAlignment="1">
      <alignment vertical="center" wrapText="1"/>
    </xf>
    <xf numFmtId="164" fontId="3" fillId="0" borderId="7" xfId="0" applyNumberFormat="1" applyFont="1" applyBorder="1" applyAlignment="1">
      <alignment vertical="center" wrapText="1"/>
    </xf>
    <xf numFmtId="164" fontId="4" fillId="4" borderId="10" xfId="0" applyNumberFormat="1" applyFont="1" applyFill="1" applyBorder="1" applyAlignment="1">
      <alignment vertical="center" wrapText="1"/>
    </xf>
    <xf numFmtId="164" fontId="4" fillId="4" borderId="8" xfId="0" applyNumberFormat="1" applyFont="1" applyFill="1" applyBorder="1" applyAlignment="1">
      <alignment vertical="center" wrapText="1"/>
    </xf>
    <xf numFmtId="164" fontId="4" fillId="4" borderId="10" xfId="2" applyNumberFormat="1" applyFont="1" applyFill="1" applyBorder="1" applyAlignment="1">
      <alignment vertical="center" wrapText="1"/>
    </xf>
    <xf numFmtId="164" fontId="4" fillId="4" borderId="10" xfId="0" applyNumberFormat="1" applyFont="1" applyFill="1" applyBorder="1" applyAlignment="1">
      <alignment horizontal="justify" vertical="center" wrapText="1"/>
    </xf>
    <xf numFmtId="164" fontId="6" fillId="4" borderId="10" xfId="0" applyNumberFormat="1" applyFont="1" applyFill="1" applyBorder="1" applyAlignment="1">
      <alignment vertical="center" wrapText="1"/>
    </xf>
    <xf numFmtId="0" fontId="11" fillId="4"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9" fillId="4" borderId="0" xfId="0" applyFont="1" applyFill="1" applyAlignment="1">
      <alignment horizontal="left"/>
    </xf>
    <xf numFmtId="49" fontId="3" fillId="4" borderId="10" xfId="0" applyNumberFormat="1" applyFont="1" applyFill="1" applyBorder="1" applyAlignment="1">
      <alignment horizontal="justify" vertical="center" wrapText="1"/>
    </xf>
    <xf numFmtId="0" fontId="11" fillId="4" borderId="5" xfId="0" applyFont="1" applyFill="1" applyBorder="1" applyAlignment="1">
      <alignment horizontal="left" vertical="center" wrapText="1"/>
    </xf>
    <xf numFmtId="49" fontId="2" fillId="2" borderId="7" xfId="0" applyNumberFormat="1" applyFont="1" applyFill="1" applyBorder="1" applyAlignment="1">
      <alignment vertical="center"/>
    </xf>
    <xf numFmtId="0" fontId="10" fillId="2" borderId="1" xfId="0" applyFont="1" applyFill="1" applyBorder="1" applyAlignment="1">
      <alignment horizontal="left" vertical="center"/>
    </xf>
    <xf numFmtId="0" fontId="2" fillId="2" borderId="1" xfId="0" applyFont="1" applyFill="1" applyBorder="1" applyAlignment="1">
      <alignment horizontal="left" vertical="center"/>
    </xf>
    <xf numFmtId="0" fontId="3" fillId="2" borderId="1" xfId="0" applyFont="1" applyFill="1" applyBorder="1" applyAlignment="1">
      <alignment horizontal="left" vertical="center"/>
    </xf>
    <xf numFmtId="0" fontId="11" fillId="4" borderId="6" xfId="0" applyFont="1" applyFill="1" applyBorder="1" applyAlignment="1">
      <alignment horizontal="left" vertical="center" wrapText="1"/>
    </xf>
    <xf numFmtId="49" fontId="19" fillId="2" borderId="15" xfId="0" applyNumberFormat="1" applyFont="1" applyFill="1" applyBorder="1" applyAlignment="1">
      <alignment vertical="center"/>
    </xf>
    <xf numFmtId="0" fontId="3" fillId="2" borderId="5" xfId="0" applyFont="1" applyFill="1" applyBorder="1" applyAlignment="1">
      <alignment horizontal="left" vertical="center"/>
    </xf>
    <xf numFmtId="49" fontId="3" fillId="4" borderId="9" xfId="0" applyNumberFormat="1" applyFont="1" applyFill="1" applyBorder="1" applyAlignment="1">
      <alignment horizontal="justify" vertical="center" wrapText="1"/>
    </xf>
    <xf numFmtId="0" fontId="19" fillId="2" borderId="7" xfId="0" applyFont="1" applyFill="1" applyBorder="1" applyAlignment="1">
      <alignment vertical="center"/>
    </xf>
    <xf numFmtId="0" fontId="2" fillId="2" borderId="1" xfId="0" applyFont="1" applyFill="1" applyBorder="1" applyAlignment="1">
      <alignment horizontal="left" vertical="center" wrapText="1"/>
    </xf>
    <xf numFmtId="0" fontId="12" fillId="4" borderId="5" xfId="0" applyFont="1" applyFill="1" applyBorder="1" applyAlignment="1">
      <alignment horizontal="left" vertical="center" wrapText="1"/>
    </xf>
    <xf numFmtId="0" fontId="12" fillId="4" borderId="6" xfId="0" applyFont="1" applyFill="1" applyBorder="1" applyAlignment="1">
      <alignment horizontal="left" vertical="center" wrapText="1"/>
    </xf>
    <xf numFmtId="0" fontId="12" fillId="4" borderId="13" xfId="0" applyFont="1" applyFill="1" applyBorder="1" applyAlignment="1">
      <alignment horizontal="left" vertical="center" wrapText="1"/>
    </xf>
    <xf numFmtId="0" fontId="16" fillId="2" borderId="7" xfId="0" applyFont="1" applyFill="1" applyBorder="1" applyAlignment="1">
      <alignment vertical="center"/>
    </xf>
    <xf numFmtId="0" fontId="5" fillId="2" borderId="7" xfId="0" applyFont="1" applyFill="1" applyBorder="1" applyAlignment="1">
      <alignment vertical="center"/>
    </xf>
    <xf numFmtId="0" fontId="5" fillId="2" borderId="7" xfId="0" applyFont="1" applyFill="1" applyBorder="1" applyAlignment="1">
      <alignment vertical="center" wrapText="1"/>
    </xf>
    <xf numFmtId="0" fontId="5" fillId="2" borderId="1" xfId="0" applyFont="1" applyFill="1" applyBorder="1" applyAlignment="1">
      <alignment horizontal="left" vertical="center" wrapText="1"/>
    </xf>
    <xf numFmtId="49" fontId="6" fillId="4" borderId="10" xfId="0" applyNumberFormat="1" applyFont="1" applyFill="1" applyBorder="1" applyAlignment="1">
      <alignment horizontal="justify" vertical="center" wrapText="1"/>
    </xf>
    <xf numFmtId="0" fontId="13" fillId="4" borderId="5" xfId="0" applyFont="1" applyFill="1" applyBorder="1" applyAlignment="1">
      <alignment horizontal="left" vertical="center" wrapText="1"/>
    </xf>
    <xf numFmtId="0" fontId="13" fillId="4" borderId="1" xfId="0" applyFont="1" applyFill="1" applyBorder="1" applyAlignment="1">
      <alignment horizontal="left" vertical="center" wrapText="1"/>
    </xf>
    <xf numFmtId="0" fontId="14" fillId="2" borderId="1" xfId="0" applyFont="1" applyFill="1" applyBorder="1" applyAlignment="1">
      <alignment horizontal="left" vertical="center"/>
    </xf>
    <xf numFmtId="0" fontId="12" fillId="4" borderId="5" xfId="0" applyFont="1" applyFill="1" applyBorder="1" applyAlignment="1">
      <alignment horizontal="left" vertical="top" wrapText="1"/>
    </xf>
    <xf numFmtId="49" fontId="16" fillId="2" borderId="15" xfId="0" applyNumberFormat="1" applyFont="1" applyFill="1" applyBorder="1" applyAlignment="1">
      <alignment vertical="center"/>
    </xf>
    <xf numFmtId="0" fontId="16" fillId="2" borderId="5" xfId="0" applyFont="1" applyFill="1" applyBorder="1" applyAlignment="1">
      <alignment horizontal="left" vertical="center"/>
    </xf>
    <xf numFmtId="0" fontId="0" fillId="0" borderId="0" xfId="0" applyAlignment="1">
      <alignment horizontal="center"/>
    </xf>
    <xf numFmtId="0" fontId="2" fillId="2" borderId="2" xfId="0" applyFont="1" applyFill="1" applyBorder="1" applyAlignment="1">
      <alignment horizontal="center" vertical="top"/>
    </xf>
    <xf numFmtId="0" fontId="3" fillId="4" borderId="5"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4" borderId="6"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2" fillId="2" borderId="12" xfId="0" applyFont="1" applyFill="1" applyBorder="1" applyAlignment="1">
      <alignment horizontal="center" vertical="top"/>
    </xf>
    <xf numFmtId="0" fontId="2" fillId="2" borderId="3" xfId="0" applyFont="1" applyFill="1" applyBorder="1" applyAlignment="1">
      <alignment horizontal="center" vertical="top"/>
    </xf>
    <xf numFmtId="0" fontId="2"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4" fillId="2" borderId="2" xfId="0" applyFont="1" applyFill="1" applyBorder="1" applyAlignment="1">
      <alignment horizontal="center" vertical="center"/>
    </xf>
    <xf numFmtId="0" fontId="0" fillId="4" borderId="0" xfId="0" applyFill="1" applyAlignment="1">
      <alignment horizontal="center"/>
    </xf>
    <xf numFmtId="164" fontId="3" fillId="4" borderId="9" xfId="2" applyNumberFormat="1" applyFont="1" applyFill="1" applyBorder="1" applyAlignment="1">
      <alignment vertical="center" wrapText="1"/>
    </xf>
    <xf numFmtId="49" fontId="19" fillId="2" borderId="14" xfId="0" applyNumberFormat="1" applyFont="1" applyFill="1" applyBorder="1" applyAlignment="1">
      <alignment vertical="center"/>
    </xf>
    <xf numFmtId="0" fontId="3" fillId="0" borderId="12" xfId="0" applyFont="1" applyBorder="1" applyAlignment="1">
      <alignment vertical="center"/>
    </xf>
    <xf numFmtId="0" fontId="3" fillId="2" borderId="12" xfId="0" applyFont="1" applyFill="1" applyBorder="1" applyAlignment="1">
      <alignment vertical="center"/>
    </xf>
    <xf numFmtId="0" fontId="3" fillId="2" borderId="13" xfId="0" applyFont="1" applyFill="1" applyBorder="1" applyAlignment="1">
      <alignment horizontal="left" vertical="center"/>
    </xf>
    <xf numFmtId="0" fontId="2" fillId="2" borderId="2" xfId="0" applyFont="1" applyFill="1" applyBorder="1" applyAlignment="1">
      <alignment horizontal="left" vertical="center" wrapText="1"/>
    </xf>
    <xf numFmtId="2" fontId="0" fillId="2" borderId="0" xfId="0" applyNumberFormat="1" applyFill="1"/>
    <xf numFmtId="0" fontId="2" fillId="2" borderId="1" xfId="0" applyFont="1" applyFill="1" applyBorder="1" applyAlignment="1">
      <alignment vertical="center" wrapText="1"/>
    </xf>
    <xf numFmtId="0" fontId="2" fillId="2" borderId="1" xfId="0" applyFont="1" applyFill="1" applyBorder="1" applyAlignment="1">
      <alignment vertical="center"/>
    </xf>
    <xf numFmtId="166" fontId="9" fillId="0" borderId="0" xfId="0" applyNumberFormat="1" applyFont="1" applyAlignment="1">
      <alignment horizontal="left"/>
    </xf>
    <xf numFmtId="0" fontId="19" fillId="2" borderId="15" xfId="0" applyFont="1" applyFill="1" applyBorder="1" applyAlignment="1">
      <alignment vertical="center"/>
    </xf>
    <xf numFmtId="0" fontId="2" fillId="2" borderId="3" xfId="0" applyFont="1" applyFill="1" applyBorder="1" applyAlignment="1">
      <alignment vertical="center" wrapText="1"/>
    </xf>
    <xf numFmtId="0" fontId="2" fillId="0" borderId="3" xfId="0" applyFont="1" applyBorder="1" applyAlignment="1">
      <alignment vertical="center" wrapText="1"/>
    </xf>
    <xf numFmtId="0" fontId="2" fillId="2" borderId="5" xfId="0" applyFont="1" applyFill="1" applyBorder="1" applyAlignment="1">
      <alignment vertical="center" wrapText="1"/>
    </xf>
    <xf numFmtId="164" fontId="3" fillId="4" borderId="9" xfId="0" applyNumberFormat="1" applyFont="1" applyFill="1" applyBorder="1" applyAlignment="1">
      <alignment vertical="center" wrapText="1"/>
    </xf>
    <xf numFmtId="0" fontId="19" fillId="2" borderId="14" xfId="0" applyFont="1" applyFill="1" applyBorder="1" applyAlignment="1">
      <alignment vertical="center"/>
    </xf>
    <xf numFmtId="0" fontId="2" fillId="2" borderId="12" xfId="0" applyFont="1" applyFill="1" applyBorder="1" applyAlignment="1">
      <alignment vertical="center" wrapText="1"/>
    </xf>
    <xf numFmtId="0" fontId="2" fillId="0" borderId="12" xfId="0" applyFont="1" applyBorder="1" applyAlignment="1">
      <alignment vertical="center" wrapText="1"/>
    </xf>
    <xf numFmtId="0" fontId="2" fillId="2" borderId="13" xfId="0" applyFont="1" applyFill="1" applyBorder="1" applyAlignment="1">
      <alignment vertical="center" wrapText="1"/>
    </xf>
    <xf numFmtId="49" fontId="2" fillId="2" borderId="15" xfId="0" applyNumberFormat="1" applyFont="1" applyFill="1" applyBorder="1" applyAlignment="1">
      <alignment vertical="center"/>
    </xf>
    <xf numFmtId="0" fontId="15" fillId="2" borderId="3" xfId="0" applyFont="1" applyFill="1" applyBorder="1" applyAlignment="1">
      <alignment vertical="justify" wrapText="1"/>
    </xf>
    <xf numFmtId="0" fontId="15" fillId="2" borderId="3" xfId="0" applyFont="1" applyFill="1" applyBorder="1" applyAlignment="1">
      <alignment vertical="center"/>
    </xf>
    <xf numFmtId="0" fontId="15" fillId="2" borderId="5" xfId="0" applyFont="1" applyFill="1" applyBorder="1" applyAlignment="1">
      <alignment vertical="justify" wrapText="1"/>
    </xf>
    <xf numFmtId="164" fontId="4" fillId="4" borderId="9" xfId="0" applyNumberFormat="1" applyFont="1" applyFill="1" applyBorder="1" applyAlignment="1">
      <alignment vertical="center" wrapText="1"/>
    </xf>
    <xf numFmtId="49" fontId="2" fillId="2" borderId="14" xfId="0" applyNumberFormat="1" applyFont="1" applyFill="1" applyBorder="1" applyAlignment="1">
      <alignment vertical="center"/>
    </xf>
    <xf numFmtId="0" fontId="15" fillId="2" borderId="12" xfId="0" applyFont="1" applyFill="1" applyBorder="1" applyAlignment="1">
      <alignment vertical="justify" wrapText="1"/>
    </xf>
    <xf numFmtId="0" fontId="15" fillId="2" borderId="12" xfId="0" applyFont="1" applyFill="1" applyBorder="1" applyAlignment="1">
      <alignment vertical="center"/>
    </xf>
    <xf numFmtId="0" fontId="15" fillId="2" borderId="13" xfId="0" applyFont="1" applyFill="1" applyBorder="1" applyAlignment="1">
      <alignment vertical="justify" wrapText="1"/>
    </xf>
    <xf numFmtId="0" fontId="5" fillId="2" borderId="3" xfId="0" applyFont="1" applyFill="1" applyBorder="1" applyAlignment="1">
      <alignment horizontal="left" vertical="center" wrapText="1"/>
    </xf>
    <xf numFmtId="0" fontId="5" fillId="2" borderId="3" xfId="0" applyFont="1" applyFill="1" applyBorder="1" applyAlignment="1">
      <alignment horizontal="center" vertical="center"/>
    </xf>
    <xf numFmtId="0" fontId="5" fillId="2" borderId="5" xfId="0" applyFont="1" applyFill="1" applyBorder="1" applyAlignment="1">
      <alignment horizontal="left" vertical="center" wrapText="1"/>
    </xf>
    <xf numFmtId="49" fontId="2" fillId="6" borderId="11" xfId="0" applyNumberFormat="1" applyFont="1" applyFill="1" applyBorder="1" applyAlignment="1">
      <alignment horizontal="center" vertical="center" wrapText="1"/>
    </xf>
    <xf numFmtId="0" fontId="2" fillId="6" borderId="11" xfId="0" applyFont="1" applyFill="1" applyBorder="1" applyAlignment="1">
      <alignment horizontal="center" vertical="center" wrapText="1"/>
    </xf>
    <xf numFmtId="0" fontId="2" fillId="6" borderId="7" xfId="0" applyFont="1" applyFill="1" applyBorder="1" applyAlignment="1">
      <alignment horizontal="center" vertical="center" wrapText="1"/>
    </xf>
    <xf numFmtId="164" fontId="3" fillId="4" borderId="1" xfId="1" applyNumberFormat="1" applyFont="1" applyFill="1" applyBorder="1" applyAlignment="1">
      <alignment vertical="center" wrapText="1"/>
    </xf>
    <xf numFmtId="164" fontId="3" fillId="4" borderId="5" xfId="1" applyNumberFormat="1" applyFont="1" applyFill="1" applyBorder="1" applyAlignment="1">
      <alignment vertical="center" wrapText="1"/>
    </xf>
    <xf numFmtId="164" fontId="3" fillId="4" borderId="5" xfId="0" applyNumberFormat="1" applyFont="1" applyFill="1" applyBorder="1" applyAlignment="1">
      <alignment vertical="center" wrapText="1"/>
    </xf>
    <xf numFmtId="164" fontId="3" fillId="4" borderId="5" xfId="2" applyNumberFormat="1" applyFont="1" applyFill="1" applyBorder="1" applyAlignment="1">
      <alignment vertical="center" wrapText="1"/>
    </xf>
    <xf numFmtId="164" fontId="3" fillId="4" borderId="6" xfId="2" applyNumberFormat="1" applyFont="1" applyFill="1" applyBorder="1" applyAlignment="1">
      <alignment vertical="center" wrapText="1"/>
    </xf>
    <xf numFmtId="164" fontId="3" fillId="4" borderId="1" xfId="2" applyNumberFormat="1" applyFont="1" applyFill="1" applyBorder="1" applyAlignment="1">
      <alignment vertical="center" wrapText="1"/>
    </xf>
    <xf numFmtId="164" fontId="3" fillId="4" borderId="6" xfId="0" applyNumberFormat="1" applyFont="1" applyFill="1" applyBorder="1" applyAlignment="1">
      <alignment vertical="center" wrapText="1"/>
    </xf>
    <xf numFmtId="164" fontId="3" fillId="4" borderId="1" xfId="0" applyNumberFormat="1" applyFont="1" applyFill="1" applyBorder="1" applyAlignment="1">
      <alignment vertical="center" wrapText="1"/>
    </xf>
    <xf numFmtId="164" fontId="4" fillId="4" borderId="5" xfId="0" applyNumberFormat="1" applyFont="1" applyFill="1" applyBorder="1" applyAlignment="1">
      <alignment vertical="center" wrapText="1"/>
    </xf>
    <xf numFmtId="164" fontId="4" fillId="4" borderId="6" xfId="0" applyNumberFormat="1" applyFont="1" applyFill="1" applyBorder="1" applyAlignment="1">
      <alignment vertical="center" wrapText="1"/>
    </xf>
    <xf numFmtId="164" fontId="4" fillId="4" borderId="1" xfId="0" applyNumberFormat="1" applyFont="1" applyFill="1" applyBorder="1" applyAlignment="1">
      <alignment vertical="center" wrapText="1"/>
    </xf>
    <xf numFmtId="164" fontId="4" fillId="4" borderId="5" xfId="2" applyNumberFormat="1" applyFont="1" applyFill="1" applyBorder="1" applyAlignment="1">
      <alignment vertical="center" wrapText="1"/>
    </xf>
    <xf numFmtId="164" fontId="4" fillId="4" borderId="5" xfId="0" applyNumberFormat="1" applyFont="1" applyFill="1" applyBorder="1" applyAlignment="1">
      <alignment horizontal="justify" vertical="center" wrapText="1"/>
    </xf>
    <xf numFmtId="164" fontId="6" fillId="4" borderId="5" xfId="0" applyNumberFormat="1" applyFont="1" applyFill="1" applyBorder="1" applyAlignment="1">
      <alignment vertical="center" wrapText="1"/>
    </xf>
    <xf numFmtId="164" fontId="6" fillId="4" borderId="1" xfId="0" applyNumberFormat="1" applyFont="1" applyFill="1" applyBorder="1" applyAlignment="1">
      <alignment vertical="center" wrapText="1"/>
    </xf>
    <xf numFmtId="0" fontId="5" fillId="2" borderId="12" xfId="0" applyFont="1" applyFill="1" applyBorder="1" applyAlignment="1">
      <alignment vertical="center" wrapText="1"/>
    </xf>
    <xf numFmtId="0" fontId="5" fillId="2" borderId="13" xfId="0" applyFont="1" applyFill="1" applyBorder="1" applyAlignment="1">
      <alignment vertical="center" wrapText="1"/>
    </xf>
    <xf numFmtId="0" fontId="5" fillId="2" borderId="3" xfId="0" applyFont="1" applyFill="1" applyBorder="1" applyAlignment="1">
      <alignment vertical="center" wrapText="1"/>
    </xf>
    <xf numFmtId="0" fontId="5" fillId="2" borderId="5" xfId="0" applyFont="1" applyFill="1" applyBorder="1" applyAlignment="1">
      <alignment vertical="center" wrapText="1"/>
    </xf>
    <xf numFmtId="0" fontId="5" fillId="2" borderId="15" xfId="0" applyFont="1" applyFill="1" applyBorder="1" applyAlignment="1">
      <alignment vertical="center"/>
    </xf>
    <xf numFmtId="0" fontId="5" fillId="2" borderId="1" xfId="0" applyFont="1" applyFill="1" applyBorder="1" applyAlignment="1">
      <alignment vertical="center"/>
    </xf>
    <xf numFmtId="0" fontId="6" fillId="4" borderId="6" xfId="0" applyFont="1" applyFill="1" applyBorder="1" applyAlignment="1">
      <alignment horizontal="center" vertical="center" wrapText="1"/>
    </xf>
    <xf numFmtId="164" fontId="6" fillId="4" borderId="8" xfId="0" applyNumberFormat="1" applyFont="1" applyFill="1" applyBorder="1" applyAlignment="1">
      <alignment vertical="center" wrapText="1"/>
    </xf>
    <xf numFmtId="164" fontId="6" fillId="4" borderId="6" xfId="0" applyNumberFormat="1" applyFont="1" applyFill="1" applyBorder="1" applyAlignment="1">
      <alignment vertical="center" wrapText="1"/>
    </xf>
    <xf numFmtId="0" fontId="13" fillId="4" borderId="6" xfId="0" applyFont="1" applyFill="1" applyBorder="1" applyAlignment="1">
      <alignment horizontal="left" vertical="center" wrapText="1"/>
    </xf>
    <xf numFmtId="0" fontId="13" fillId="4" borderId="11" xfId="0" applyFont="1" applyFill="1" applyBorder="1" applyAlignment="1">
      <alignment horizontal="left" vertical="center" wrapText="1"/>
    </xf>
    <xf numFmtId="0" fontId="5" fillId="2" borderId="14" xfId="0" applyFont="1" applyFill="1" applyBorder="1" applyAlignment="1">
      <alignment vertical="center"/>
    </xf>
    <xf numFmtId="0" fontId="5" fillId="2" borderId="13" xfId="0" applyFont="1" applyFill="1" applyBorder="1" applyAlignment="1">
      <alignment vertical="center"/>
    </xf>
    <xf numFmtId="2" fontId="0" fillId="0" borderId="0" xfId="0" applyNumberFormat="1"/>
    <xf numFmtId="2" fontId="0" fillId="4" borderId="0" xfId="0" applyNumberFormat="1" applyFill="1"/>
    <xf numFmtId="2" fontId="6" fillId="4" borderId="0" xfId="0" applyNumberFormat="1" applyFont="1" applyFill="1" applyBorder="1" applyAlignment="1">
      <alignment horizontal="justify" vertical="center" wrapText="1"/>
    </xf>
    <xf numFmtId="0" fontId="10" fillId="2" borderId="15" xfId="0" applyFont="1" applyFill="1" applyBorder="1" applyAlignment="1">
      <alignment horizontal="left" vertical="top"/>
    </xf>
    <xf numFmtId="49" fontId="19" fillId="2" borderId="7" xfId="0" applyNumberFormat="1" applyFont="1" applyFill="1" applyBorder="1" applyAlignment="1">
      <alignment vertical="center"/>
    </xf>
    <xf numFmtId="0" fontId="16" fillId="2" borderId="14" xfId="0" applyFont="1" applyFill="1" applyBorder="1" applyAlignment="1">
      <alignment horizontal="left" vertical="top"/>
    </xf>
    <xf numFmtId="0" fontId="16" fillId="2" borderId="15" xfId="0" applyFont="1" applyFill="1" applyBorder="1" applyAlignment="1">
      <alignment vertical="center"/>
    </xf>
    <xf numFmtId="0" fontId="17" fillId="2" borderId="15" xfId="0" applyFont="1" applyFill="1" applyBorder="1" applyAlignment="1">
      <alignment horizontal="left" vertical="center"/>
    </xf>
    <xf numFmtId="0" fontId="17" fillId="2" borderId="14" xfId="0" applyFont="1" applyFill="1" applyBorder="1" applyAlignment="1">
      <alignment horizontal="left" vertical="center"/>
    </xf>
    <xf numFmtId="49" fontId="5" fillId="2" borderId="14" xfId="0" applyNumberFormat="1" applyFont="1" applyFill="1" applyBorder="1" applyAlignment="1">
      <alignment horizontal="left" vertical="center"/>
    </xf>
    <xf numFmtId="0" fontId="5" fillId="2" borderId="12" xfId="0" applyFont="1" applyFill="1" applyBorder="1" applyAlignment="1">
      <alignment horizontal="center" vertical="center"/>
    </xf>
    <xf numFmtId="0" fontId="5" fillId="2" borderId="13" xfId="0" applyFont="1" applyFill="1" applyBorder="1" applyAlignment="1">
      <alignment horizontal="left" vertical="center"/>
    </xf>
    <xf numFmtId="0" fontId="5" fillId="2" borderId="5" xfId="0" applyFont="1" applyFill="1" applyBorder="1" applyAlignment="1">
      <alignment vertical="center"/>
    </xf>
    <xf numFmtId="0" fontId="16" fillId="2" borderId="14" xfId="0" applyFont="1" applyFill="1" applyBorder="1" applyAlignment="1">
      <alignment vertical="center"/>
    </xf>
    <xf numFmtId="0" fontId="16" fillId="2" borderId="15" xfId="0" applyFont="1" applyFill="1" applyBorder="1" applyAlignment="1">
      <alignment horizontal="left" vertical="center"/>
    </xf>
    <xf numFmtId="0" fontId="17" fillId="2" borderId="15" xfId="0" applyFont="1" applyFill="1" applyBorder="1" applyAlignment="1">
      <alignment vertical="center"/>
    </xf>
    <xf numFmtId="0" fontId="17" fillId="2" borderId="3" xfId="0" applyFont="1" applyFill="1" applyBorder="1" applyAlignment="1">
      <alignment vertical="center"/>
    </xf>
    <xf numFmtId="0" fontId="17" fillId="2" borderId="5" xfId="0" applyFont="1" applyFill="1" applyBorder="1" applyAlignment="1">
      <alignment vertical="center"/>
    </xf>
    <xf numFmtId="0" fontId="17" fillId="2" borderId="14" xfId="0" applyFont="1" applyFill="1" applyBorder="1" applyAlignment="1">
      <alignment vertical="center"/>
    </xf>
    <xf numFmtId="0" fontId="17" fillId="2" borderId="12" xfId="0" applyFont="1" applyFill="1" applyBorder="1" applyAlignment="1">
      <alignment vertical="center"/>
    </xf>
    <xf numFmtId="0" fontId="17" fillId="2" borderId="13" xfId="0" applyFont="1" applyFill="1" applyBorder="1" applyAlignment="1">
      <alignment vertical="center"/>
    </xf>
    <xf numFmtId="0" fontId="15" fillId="2" borderId="7" xfId="0" applyFont="1" applyFill="1" applyBorder="1" applyAlignment="1">
      <alignment vertical="center"/>
    </xf>
    <xf numFmtId="2" fontId="18" fillId="0" borderId="0" xfId="0" applyNumberFormat="1" applyFont="1" applyAlignment="1">
      <alignment horizontal="center" vertical="center"/>
    </xf>
    <xf numFmtId="43" fontId="18" fillId="0" borderId="0" xfId="1" applyFont="1" applyAlignment="1">
      <alignment vertical="center"/>
    </xf>
    <xf numFmtId="0" fontId="22" fillId="4" borderId="0" xfId="0" applyFont="1" applyFill="1"/>
    <xf numFmtId="0" fontId="4" fillId="4" borderId="11" xfId="0" applyFont="1" applyFill="1" applyBorder="1" applyAlignment="1">
      <alignment horizontal="center" vertical="center" wrapText="1"/>
    </xf>
    <xf numFmtId="164" fontId="3" fillId="4" borderId="5" xfId="0" applyNumberFormat="1" applyFont="1" applyFill="1" applyBorder="1" applyAlignment="1">
      <alignment horizontal="center" vertical="center" wrapText="1"/>
    </xf>
    <xf numFmtId="43" fontId="0" fillId="0" borderId="0" xfId="1" applyFont="1"/>
    <xf numFmtId="0" fontId="22" fillId="0" borderId="0" xfId="0" applyFont="1" applyFill="1"/>
    <xf numFmtId="164" fontId="3" fillId="0" borderId="5" xfId="0" applyNumberFormat="1" applyFont="1" applyFill="1" applyBorder="1" applyAlignment="1">
      <alignment vertical="center" wrapText="1"/>
    </xf>
    <xf numFmtId="164" fontId="3" fillId="0" borderId="5" xfId="2" applyNumberFormat="1" applyFont="1" applyFill="1" applyBorder="1" applyAlignment="1">
      <alignment vertical="center" wrapText="1"/>
    </xf>
    <xf numFmtId="164" fontId="3" fillId="0" borderId="6" xfId="2" applyNumberFormat="1" applyFont="1" applyFill="1" applyBorder="1" applyAlignment="1">
      <alignment vertical="center" wrapText="1"/>
    </xf>
    <xf numFmtId="164" fontId="3" fillId="0" borderId="1" xfId="2" applyNumberFormat="1" applyFont="1" applyFill="1" applyBorder="1" applyAlignment="1">
      <alignment vertical="center" wrapText="1"/>
    </xf>
    <xf numFmtId="164" fontId="3" fillId="0" borderId="6" xfId="0" applyNumberFormat="1" applyFont="1" applyFill="1" applyBorder="1" applyAlignment="1">
      <alignment vertical="center" wrapText="1"/>
    </xf>
    <xf numFmtId="164" fontId="3" fillId="0" borderId="1" xfId="0" applyNumberFormat="1" applyFont="1" applyFill="1" applyBorder="1" applyAlignment="1">
      <alignment vertical="center" wrapText="1"/>
    </xf>
    <xf numFmtId="164" fontId="4" fillId="0" borderId="5" xfId="0" applyNumberFormat="1" applyFont="1" applyFill="1" applyBorder="1" applyAlignment="1">
      <alignment vertical="center" wrapText="1"/>
    </xf>
    <xf numFmtId="164" fontId="4" fillId="0" borderId="6" xfId="0" applyNumberFormat="1" applyFont="1" applyFill="1" applyBorder="1" applyAlignment="1">
      <alignment vertical="center" wrapText="1"/>
    </xf>
    <xf numFmtId="164" fontId="4" fillId="0" borderId="1" xfId="0" applyNumberFormat="1" applyFont="1" applyFill="1" applyBorder="1" applyAlignment="1">
      <alignment vertical="center" wrapText="1"/>
    </xf>
    <xf numFmtId="164" fontId="4" fillId="0" borderId="11" xfId="0" applyNumberFormat="1" applyFont="1" applyFill="1" applyBorder="1" applyAlignment="1">
      <alignment vertical="center" wrapText="1"/>
    </xf>
    <xf numFmtId="164" fontId="4" fillId="0" borderId="5" xfId="2" applyNumberFormat="1" applyFont="1" applyFill="1" applyBorder="1" applyAlignment="1">
      <alignment vertical="center" wrapText="1"/>
    </xf>
    <xf numFmtId="164" fontId="4" fillId="0" borderId="5" xfId="0" applyNumberFormat="1" applyFont="1" applyFill="1" applyBorder="1" applyAlignment="1">
      <alignment horizontal="justify" vertical="center" wrapText="1"/>
    </xf>
    <xf numFmtId="164" fontId="3" fillId="0" borderId="5" xfId="0" applyNumberFormat="1" applyFont="1" applyFill="1" applyBorder="1" applyAlignment="1">
      <alignment horizontal="center" vertical="center" wrapText="1"/>
    </xf>
    <xf numFmtId="164" fontId="6" fillId="0" borderId="5" xfId="0" applyNumberFormat="1" applyFont="1" applyFill="1" applyBorder="1" applyAlignment="1">
      <alignment vertical="center" wrapText="1"/>
    </xf>
    <xf numFmtId="164" fontId="6" fillId="0" borderId="6" xfId="0" applyNumberFormat="1" applyFont="1" applyFill="1" applyBorder="1" applyAlignment="1">
      <alignment vertical="center" wrapText="1"/>
    </xf>
    <xf numFmtId="164" fontId="6" fillId="0" borderId="1" xfId="0" applyNumberFormat="1" applyFont="1" applyFill="1" applyBorder="1" applyAlignment="1">
      <alignment vertical="center" wrapText="1"/>
    </xf>
    <xf numFmtId="164" fontId="6" fillId="0" borderId="11" xfId="0" applyNumberFormat="1" applyFont="1" applyFill="1" applyBorder="1" applyAlignment="1">
      <alignment vertical="center" wrapText="1"/>
    </xf>
    <xf numFmtId="0" fontId="0" fillId="0" borderId="0" xfId="0" applyFill="1"/>
    <xf numFmtId="164" fontId="3" fillId="0" borderId="11" xfId="1" applyNumberFormat="1" applyFont="1" applyFill="1" applyBorder="1" applyAlignment="1">
      <alignment vertical="center" wrapText="1"/>
    </xf>
    <xf numFmtId="164" fontId="3" fillId="0" borderId="10" xfId="1" applyNumberFormat="1" applyFont="1" applyFill="1" applyBorder="1" applyAlignment="1">
      <alignment vertical="center" wrapText="1"/>
    </xf>
    <xf numFmtId="164" fontId="3" fillId="0" borderId="11" xfId="0" applyNumberFormat="1" applyFont="1" applyFill="1" applyBorder="1" applyAlignment="1">
      <alignment vertical="center" wrapText="1"/>
    </xf>
    <xf numFmtId="164" fontId="3" fillId="0" borderId="10" xfId="0" applyNumberFormat="1" applyFont="1" applyFill="1" applyBorder="1" applyAlignment="1">
      <alignment vertical="center" wrapText="1"/>
    </xf>
    <xf numFmtId="164" fontId="3" fillId="0" borderId="11" xfId="2" applyNumberFormat="1" applyFont="1" applyFill="1" applyBorder="1" applyAlignment="1">
      <alignment vertical="center" wrapText="1"/>
    </xf>
    <xf numFmtId="164" fontId="3" fillId="0" borderId="10" xfId="2" applyNumberFormat="1" applyFont="1" applyFill="1" applyBorder="1" applyAlignment="1">
      <alignment vertical="center" wrapText="1"/>
    </xf>
    <xf numFmtId="9" fontId="6" fillId="4" borderId="5" xfId="0" applyNumberFormat="1" applyFont="1" applyFill="1" applyBorder="1" applyAlignment="1">
      <alignment horizontal="center" vertical="center" wrapText="1"/>
    </xf>
    <xf numFmtId="49" fontId="4" fillId="4" borderId="8" xfId="0" applyNumberFormat="1" applyFont="1" applyFill="1" applyBorder="1" applyAlignment="1">
      <alignment horizontal="justify" vertical="center" wrapText="1"/>
    </xf>
    <xf numFmtId="49" fontId="4" fillId="4" borderId="9" xfId="0" applyNumberFormat="1" applyFont="1" applyFill="1" applyBorder="1" applyAlignment="1">
      <alignment horizontal="justify" vertical="center" wrapText="1"/>
    </xf>
    <xf numFmtId="49" fontId="4" fillId="4" borderId="10" xfId="0" applyNumberFormat="1" applyFont="1" applyFill="1" applyBorder="1" applyAlignment="1">
      <alignment horizontal="justify" vertical="center" wrapText="1"/>
    </xf>
    <xf numFmtId="9" fontId="23" fillId="4" borderId="0" xfId="0" applyNumberFormat="1" applyFont="1" applyFill="1"/>
    <xf numFmtId="164" fontId="4" fillId="0" borderId="10" xfId="0" applyNumberFormat="1" applyFont="1" applyFill="1" applyBorder="1" applyAlignment="1">
      <alignment vertical="center" wrapText="1"/>
    </xf>
    <xf numFmtId="2" fontId="0" fillId="0" borderId="0" xfId="0" applyNumberFormat="1" applyFill="1"/>
    <xf numFmtId="49" fontId="3" fillId="4" borderId="7" xfId="0" applyNumberFormat="1" applyFont="1" applyFill="1" applyBorder="1" applyAlignment="1">
      <alignment horizontal="justify" vertical="center" wrapText="1"/>
    </xf>
    <xf numFmtId="49" fontId="3" fillId="4" borderId="15" xfId="0" applyNumberFormat="1" applyFont="1" applyFill="1" applyBorder="1" applyAlignment="1">
      <alignment horizontal="justify" vertical="center" wrapText="1"/>
    </xf>
    <xf numFmtId="49" fontId="3" fillId="4" borderId="7" xfId="0" applyNumberFormat="1" applyFont="1" applyFill="1" applyBorder="1" applyAlignment="1">
      <alignment vertical="center" wrapText="1"/>
    </xf>
    <xf numFmtId="49" fontId="3" fillId="4" borderId="16" xfId="0" applyNumberFormat="1" applyFont="1" applyFill="1" applyBorder="1" applyAlignment="1">
      <alignment horizontal="justify" vertical="center" wrapText="1"/>
    </xf>
    <xf numFmtId="164" fontId="3" fillId="0" borderId="1" xfId="1" applyNumberFormat="1" applyFont="1" applyBorder="1" applyAlignment="1">
      <alignment vertical="center" wrapText="1"/>
    </xf>
    <xf numFmtId="164" fontId="3" fillId="0" borderId="5" xfId="1" applyNumberFormat="1" applyFont="1" applyBorder="1" applyAlignment="1">
      <alignment vertical="center" wrapText="1"/>
    </xf>
    <xf numFmtId="44" fontId="3" fillId="0" borderId="1" xfId="2" applyFont="1" applyBorder="1" applyAlignment="1">
      <alignment vertical="center" wrapText="1"/>
    </xf>
    <xf numFmtId="164" fontId="3" fillId="0" borderId="1" xfId="2" applyNumberFormat="1" applyFont="1" applyBorder="1" applyAlignment="1">
      <alignment vertical="center" wrapText="1"/>
    </xf>
    <xf numFmtId="164" fontId="3" fillId="0" borderId="13" xfId="2" applyNumberFormat="1" applyFont="1" applyBorder="1" applyAlignment="1">
      <alignment vertical="center" wrapText="1"/>
    </xf>
    <xf numFmtId="164" fontId="3" fillId="0" borderId="5" xfId="0" applyNumberFormat="1" applyFont="1" applyBorder="1" applyAlignment="1">
      <alignment vertical="center" wrapText="1"/>
    </xf>
    <xf numFmtId="0" fontId="3" fillId="4" borderId="10" xfId="0" applyFont="1" applyFill="1" applyBorder="1" applyAlignment="1">
      <alignment horizontal="center" vertical="center" wrapText="1"/>
    </xf>
    <xf numFmtId="0" fontId="2" fillId="2" borderId="11" xfId="0" applyFont="1" applyFill="1" applyBorder="1" applyAlignment="1">
      <alignment horizontal="center" vertical="center"/>
    </xf>
    <xf numFmtId="0" fontId="3" fillId="2" borderId="11" xfId="0" applyFont="1" applyFill="1" applyBorder="1" applyAlignment="1">
      <alignment horizontal="center" vertical="center"/>
    </xf>
    <xf numFmtId="0" fontId="3" fillId="4" borderId="9"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10" xfId="0" applyFont="1" applyFill="1" applyBorder="1" applyAlignment="1">
      <alignment horizontal="center" vertical="center"/>
    </xf>
    <xf numFmtId="49" fontId="18" fillId="0" borderId="3" xfId="0" applyNumberFormat="1" applyFont="1" applyBorder="1" applyAlignment="1">
      <alignment horizontal="center"/>
    </xf>
    <xf numFmtId="49" fontId="4" fillId="0" borderId="8" xfId="0" applyNumberFormat="1" applyFont="1" applyFill="1" applyBorder="1" applyAlignment="1">
      <alignment horizontal="left" vertical="center" wrapText="1"/>
    </xf>
    <xf numFmtId="49" fontId="4" fillId="0" borderId="10" xfId="0" applyNumberFormat="1" applyFont="1" applyFill="1" applyBorder="1" applyAlignment="1">
      <alignment horizontal="left" vertical="center" wrapText="1"/>
    </xf>
    <xf numFmtId="0" fontId="4" fillId="0" borderId="8"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12" fillId="0" borderId="8" xfId="0" applyFont="1" applyFill="1" applyBorder="1" applyAlignment="1">
      <alignment horizontal="left" vertical="center" wrapText="1"/>
    </xf>
    <xf numFmtId="0" fontId="12" fillId="0" borderId="10" xfId="0" applyFont="1" applyFill="1" applyBorder="1" applyAlignment="1">
      <alignment horizontal="left" vertical="center" wrapText="1"/>
    </xf>
    <xf numFmtId="49" fontId="4" fillId="4" borderId="8" xfId="0" applyNumberFormat="1" applyFont="1" applyFill="1" applyBorder="1" applyAlignment="1">
      <alignment horizontal="justify" vertical="center" wrapText="1"/>
    </xf>
    <xf numFmtId="49" fontId="4" fillId="4" borderId="9" xfId="0" applyNumberFormat="1" applyFont="1" applyFill="1" applyBorder="1" applyAlignment="1">
      <alignment horizontal="justify" vertical="center" wrapText="1"/>
    </xf>
    <xf numFmtId="49" fontId="4" fillId="4" borderId="10" xfId="0" applyNumberFormat="1" applyFont="1" applyFill="1" applyBorder="1" applyAlignment="1">
      <alignment horizontal="justify" vertical="center" wrapText="1"/>
    </xf>
    <xf numFmtId="0" fontId="4" fillId="4" borderId="8"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cellXfs>
  <cellStyles count="3">
    <cellStyle name="Millares" xfId="1" builtinId="3"/>
    <cellStyle name="Mon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19050</xdr:colOff>
      <xdr:row>966</xdr:row>
      <xdr:rowOff>171451</xdr:rowOff>
    </xdr:from>
    <xdr:to>
      <xdr:col>10</xdr:col>
      <xdr:colOff>2333625</xdr:colOff>
      <xdr:row>993</xdr:row>
      <xdr:rowOff>95251</xdr:rowOff>
    </xdr:to>
    <xdr:sp macro="" textlink="">
      <xdr:nvSpPr>
        <xdr:cNvPr id="2" name="CuadroTexto 1"/>
        <xdr:cNvSpPr txBox="1"/>
      </xdr:nvSpPr>
      <xdr:spPr>
        <a:xfrm>
          <a:off x="19050" y="458228701"/>
          <a:ext cx="10039350" cy="50673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ES" sz="1100" b="1" u="sng">
              <a:solidFill>
                <a:schemeClr val="dk1"/>
              </a:solidFill>
              <a:effectLst/>
              <a:latin typeface="+mn-lt"/>
              <a:ea typeface="+mn-ea"/>
              <a:cs typeface="+mn-cs"/>
            </a:rPr>
            <a:t>NOTAS: </a:t>
          </a:r>
          <a:r>
            <a:rPr lang="es-ES" sz="1100">
              <a:solidFill>
                <a:schemeClr val="dk1"/>
              </a:solidFill>
              <a:effectLst/>
              <a:latin typeface="+mn-lt"/>
              <a:ea typeface="+mn-ea"/>
              <a:cs typeface="+mn-cs"/>
            </a:rPr>
            <a:t>Entiéndase por </a:t>
          </a:r>
          <a:r>
            <a:rPr lang="es-ES" sz="1100" u="sng">
              <a:solidFill>
                <a:schemeClr val="dk1"/>
              </a:solidFill>
              <a:effectLst/>
              <a:latin typeface="+mn-lt"/>
              <a:ea typeface="+mn-ea"/>
              <a:cs typeface="+mn-cs"/>
            </a:rPr>
            <a:t>Supermercado/</a:t>
          </a:r>
          <a:r>
            <a:rPr lang="es-ES" sz="1100">
              <a:solidFill>
                <a:schemeClr val="dk1"/>
              </a:solidFill>
              <a:effectLst/>
              <a:latin typeface="+mn-lt"/>
              <a:ea typeface="+mn-ea"/>
              <a:cs typeface="+mn-cs"/>
            </a:rPr>
            <a:t>s al/los establecimiento/s comercial/es de todo tipo de artículos, en especial alimentos, con sistema de autoservicio.</a:t>
          </a:r>
          <a:endParaRPr lang="es-AR" sz="1100">
            <a:solidFill>
              <a:schemeClr val="dk1"/>
            </a:solidFill>
            <a:effectLst/>
            <a:latin typeface="+mn-lt"/>
            <a:ea typeface="+mn-ea"/>
            <a:cs typeface="+mn-cs"/>
          </a:endParaRPr>
        </a:p>
        <a:p>
          <a:r>
            <a:rPr lang="es-ES" sz="1100">
              <a:solidFill>
                <a:schemeClr val="dk1"/>
              </a:solidFill>
              <a:effectLst/>
              <a:latin typeface="+mn-lt"/>
              <a:ea typeface="+mn-ea"/>
              <a:cs typeface="+mn-cs"/>
            </a:rPr>
            <a:t>La clasificación entre los subcódigos 521140.1 y 521140.2 se realizará de oficio por la Dirección de Ingresos Públicos en el mes de enero y regirá para todo el año de vigencia de la presente Ordenanza. Se entenderá </a:t>
          </a:r>
          <a:r>
            <a:rPr lang="es-ES" sz="1100" b="0">
              <a:solidFill>
                <a:schemeClr val="dk1"/>
              </a:solidFill>
              <a:effectLst/>
              <a:latin typeface="+mn-lt"/>
              <a:ea typeface="+mn-ea"/>
              <a:cs typeface="+mn-cs"/>
            </a:rPr>
            <a:t>por ventas anuales al monto total de base imponible presentada por los contribuyentes entre los meses de noviembre 2017 y octubre 2018. Si una persona física o jurídica, tuvieran o pretendieran abrir dos o más locales en el territorio municipal, las ventas de todos los locales se sumarán.</a:t>
          </a:r>
          <a:endParaRPr lang="es-AR" sz="1100" b="0">
            <a:solidFill>
              <a:schemeClr val="dk1"/>
            </a:solidFill>
            <a:effectLst/>
            <a:latin typeface="+mn-lt"/>
            <a:ea typeface="+mn-ea"/>
            <a:cs typeface="+mn-cs"/>
          </a:endParaRPr>
        </a:p>
        <a:p>
          <a:r>
            <a:rPr lang="es-ES" sz="1100" b="0">
              <a:solidFill>
                <a:schemeClr val="dk1"/>
              </a:solidFill>
              <a:effectLst/>
              <a:latin typeface="+mn-lt"/>
              <a:ea typeface="+mn-ea"/>
              <a:cs typeface="+mn-cs"/>
            </a:rPr>
            <a:t>Para el supuesto de inscripción de un nuevo contribuyente por inicio de actividad, dicho sujeto se considerará incluido en el subcódigo </a:t>
          </a:r>
          <a:r>
            <a:rPr lang="es-ES" sz="1100">
              <a:solidFill>
                <a:schemeClr val="dk1"/>
              </a:solidFill>
              <a:effectLst/>
              <a:latin typeface="+mn-lt"/>
              <a:ea typeface="+mn-ea"/>
              <a:cs typeface="+mn-cs"/>
            </a:rPr>
            <a:t>521140.1 o en el subcódigo 521140.2 en base al monto total anual de base imponible estimado por el contribuyente. Cuando el período comprendido entre la inscripción y el fin del año fuese inferior a 12 meses, las bases imponibles estimadas deberán anualizarse. Transcurridos los tres primeros meses de actividad del contribuyente, se revisará que la clasificación mantenga su vigencia anualizando las bases imponibles presentadas durante el primer trimestre de actividad del mismo y en caso de ser necesario se realizará la adecuación al subcógido correspondiente según esta información.</a:t>
          </a:r>
          <a:endParaRPr lang="es-AR" sz="1100">
            <a:solidFill>
              <a:schemeClr val="dk1"/>
            </a:solidFill>
            <a:effectLst/>
            <a:latin typeface="+mn-lt"/>
            <a:ea typeface="+mn-ea"/>
            <a:cs typeface="+mn-cs"/>
          </a:endParaRPr>
        </a:p>
        <a:p>
          <a:r>
            <a:rPr lang="es-ES" sz="1100" u="sng">
              <a:solidFill>
                <a:schemeClr val="dk1"/>
              </a:solidFill>
              <a:effectLst/>
              <a:latin typeface="+mn-lt"/>
              <a:ea typeface="+mn-ea"/>
              <a:cs typeface="+mn-cs"/>
            </a:rPr>
            <a:t>Hipermercado</a:t>
          </a:r>
          <a:endParaRPr lang="es-AR" sz="1100">
            <a:solidFill>
              <a:schemeClr val="dk1"/>
            </a:solidFill>
            <a:effectLst/>
            <a:latin typeface="+mn-lt"/>
            <a:ea typeface="+mn-ea"/>
            <a:cs typeface="+mn-cs"/>
          </a:endParaRPr>
        </a:p>
        <a:p>
          <a:r>
            <a:rPr lang="es-ES" sz="1100">
              <a:solidFill>
                <a:schemeClr val="dk1"/>
              </a:solidFill>
              <a:effectLst/>
              <a:latin typeface="+mn-lt"/>
              <a:ea typeface="+mn-ea"/>
              <a:cs typeface="+mn-cs"/>
            </a:rPr>
            <a:t>Entiéndase por hipermercado a la actividad, desarrollada por personas físicas o jurídicas, de </a:t>
          </a:r>
          <a:r>
            <a:rPr lang="es-ES" sz="1100" b="0">
              <a:solidFill>
                <a:schemeClr val="dk1"/>
              </a:solidFill>
              <a:effectLst/>
              <a:latin typeface="+mn-lt"/>
              <a:ea typeface="+mn-ea"/>
              <a:cs typeface="+mn-cs"/>
            </a:rPr>
            <a:t>comercialización de alimentos y bebidas en cualquiera de los rubros establecidos en la Ordenanza Tarifaria Anual, en forma conjunta con uno o más productos de: indumentaria, artículos del hogar, electrodomésticos, artículos de electrónica, juguetería, papelería, artículos de oficina, escolares, ferretería, perfumería, artículos de tocador, óptica, fotografía, bijouterie, joyería, jardinería, vivero, vehículos y accesorios, y otros; y que tengan, en cualquiera de sus establecimientos,  una superficie (cubierta y/o descubierta) destinada directa o indirectamente a la actividad, superior a 9.000 m2 , incluyendo salón de ventas, depósitos, playas o lugares destinados al estacionamiento exclusivo de cliente , locales explotados por terceros dentro del mismo predio comercial, etc. Será suficiente con que uno de los establecimientos supere la superficie mencionada </a:t>
          </a:r>
          <a:r>
            <a:rPr lang="es-ES" sz="1100">
              <a:solidFill>
                <a:schemeClr val="dk1"/>
              </a:solidFill>
              <a:effectLst/>
              <a:latin typeface="+mn-lt"/>
              <a:ea typeface="+mn-ea"/>
              <a:cs typeface="+mn-cs"/>
            </a:rPr>
            <a:t>para encuadrar en el rubro de hipermercado al contribuyente por todos los establecimientos que, directa o indirectamente, produzcan y/o comercialicen bienes y/o presten servicios que comprendan más de un rubro. 	</a:t>
          </a:r>
          <a:r>
            <a:rPr lang="es-ES" sz="1100" baseline="0">
              <a:solidFill>
                <a:schemeClr val="dk1"/>
              </a:solidFill>
              <a:effectLst/>
              <a:latin typeface="+mn-lt"/>
              <a:ea typeface="+mn-ea"/>
              <a:cs typeface="+mn-cs"/>
            </a:rPr>
            <a:t> </a:t>
          </a:r>
          <a:endParaRPr lang="es-AR" sz="1100" u="none">
            <a:solidFill>
              <a:schemeClr val="dk1"/>
            </a:solidFill>
            <a:effectLst/>
            <a:latin typeface="+mn-lt"/>
            <a:ea typeface="+mn-ea"/>
            <a:cs typeface="+mn-cs"/>
          </a:endParaRPr>
        </a:p>
      </xdr:txBody>
    </xdr:sp>
    <xdr:clientData/>
  </xdr:twoCellAnchor>
  <xdr:twoCellAnchor>
    <xdr:from>
      <xdr:col>0</xdr:col>
      <xdr:colOff>28575</xdr:colOff>
      <xdr:row>994</xdr:row>
      <xdr:rowOff>0</xdr:rowOff>
    </xdr:from>
    <xdr:to>
      <xdr:col>10</xdr:col>
      <xdr:colOff>2343150</xdr:colOff>
      <xdr:row>999</xdr:row>
      <xdr:rowOff>104775</xdr:rowOff>
    </xdr:to>
    <xdr:sp macro="" textlink="">
      <xdr:nvSpPr>
        <xdr:cNvPr id="3" name="CuadroTexto 2"/>
        <xdr:cNvSpPr txBox="1"/>
      </xdr:nvSpPr>
      <xdr:spPr>
        <a:xfrm>
          <a:off x="28575" y="463391250"/>
          <a:ext cx="10039350" cy="10572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kumimoji="0" lang="es-ES" sz="1100" b="1" i="0" u="sng" strike="noStrike" kern="0" cap="none" spc="0" normalizeH="0" baseline="0" noProof="0">
              <a:ln>
                <a:noFill/>
              </a:ln>
              <a:solidFill>
                <a:prstClr val="black"/>
              </a:solidFill>
              <a:effectLst/>
              <a:uLnTx/>
              <a:uFillTx/>
              <a:latin typeface="+mn-lt"/>
              <a:ea typeface="+mn-ea"/>
              <a:cs typeface="+mn-cs"/>
            </a:rPr>
            <a:t>Código 701090.3:  LOCACIÓN DE BIENES INMUEBLES PROPIOS:</a:t>
          </a:r>
          <a:r>
            <a:rPr kumimoji="0" lang="es-ES" sz="1100" b="1" i="0" u="none" strike="noStrike" kern="0" cap="none" spc="0" normalizeH="0" baseline="0" noProof="0">
              <a:ln>
                <a:noFill/>
              </a:ln>
              <a:solidFill>
                <a:prstClr val="black"/>
              </a:solidFill>
              <a:effectLst/>
              <a:uLnTx/>
              <a:uFillTx/>
              <a:latin typeface="+mn-lt"/>
              <a:ea typeface="+mn-ea"/>
              <a:cs typeface="+mn-cs"/>
            </a:rPr>
            <a:t> </a:t>
          </a:r>
        </a:p>
        <a:p>
          <a:r>
            <a:rPr kumimoji="0" lang="es-ES" sz="1100" b="0" i="0" u="none" strike="noStrike" kern="0" cap="none" spc="0" normalizeH="0" baseline="0" noProof="0">
              <a:ln>
                <a:noFill/>
              </a:ln>
              <a:solidFill>
                <a:prstClr val="black"/>
              </a:solidFill>
              <a:effectLst/>
              <a:uLnTx/>
              <a:uFillTx/>
              <a:latin typeface="+mn-lt"/>
              <a:ea typeface="+mn-ea"/>
              <a:cs typeface="+mn-cs"/>
            </a:rPr>
            <a:t>Mínimo de $ 227,93.- Corresponde para una Base imponible, deducida de ingresos no computables de hasta $23.567,60.                                                                </a:t>
          </a:r>
        </a:p>
        <a:p>
          <a:r>
            <a:rPr kumimoji="0" lang="es-ES" sz="1100" b="0" i="0" u="none" strike="noStrike" kern="0" cap="none" spc="0" normalizeH="0" baseline="0" noProof="0">
              <a:ln>
                <a:noFill/>
              </a:ln>
              <a:solidFill>
                <a:prstClr val="black"/>
              </a:solidFill>
              <a:effectLst/>
              <a:uLnTx/>
              <a:uFillTx/>
              <a:latin typeface="+mn-lt"/>
              <a:ea typeface="+mn-ea"/>
              <a:cs typeface="+mn-cs"/>
            </a:rPr>
            <a:t>Minimo de $ 850,05.- Corresponde para una base imponible, deducida de ingresos no computables mayor de $23567,60.-</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1145"/>
  <sheetViews>
    <sheetView showGridLines="0" tabSelected="1" topLeftCell="A708" zoomScale="90" zoomScaleNormal="90" workbookViewId="0">
      <selection activeCell="K789" sqref="K789"/>
    </sheetView>
  </sheetViews>
  <sheetFormatPr baseColWidth="10" defaultRowHeight="15" x14ac:dyDescent="0.25"/>
  <cols>
    <col min="1" max="1" width="17.140625" style="70" customWidth="1"/>
    <col min="2" max="2" width="20" style="135" customWidth="1"/>
    <col min="3" max="3" width="20" hidden="1" customWidth="1"/>
    <col min="4" max="4" width="20" style="64" hidden="1" customWidth="1"/>
    <col min="5" max="6" width="21" style="64" hidden="1" customWidth="1"/>
    <col min="7" max="7" width="21" style="30" hidden="1" customWidth="1"/>
    <col min="8" max="8" width="21" style="64" hidden="1" customWidth="1"/>
    <col min="9" max="9" width="23.85546875" style="64" customWidth="1"/>
    <col min="10" max="10" width="21" style="64" hidden="1" customWidth="1"/>
    <col min="11" max="11" width="55.42578125" style="94" customWidth="1"/>
    <col min="16" max="16" width="13" bestFit="1" customWidth="1"/>
  </cols>
  <sheetData>
    <row r="1" spans="1:13" ht="15" customHeight="1" x14ac:dyDescent="0.25">
      <c r="A1" s="18"/>
      <c r="B1" s="121"/>
      <c r="D1" s="142">
        <v>1.3570135746606333</v>
      </c>
      <c r="F1" s="222">
        <v>1.35</v>
      </c>
      <c r="G1" s="226"/>
      <c r="J1" s="255">
        <v>0.33</v>
      </c>
      <c r="K1" s="145"/>
    </row>
    <row r="2" spans="1:13" ht="15.75" thickBot="1" x14ac:dyDescent="0.3">
      <c r="A2" s="274" t="s">
        <v>994</v>
      </c>
      <c r="B2" s="274"/>
      <c r="C2" s="274"/>
      <c r="D2" s="274"/>
      <c r="E2" s="274"/>
      <c r="F2" s="274"/>
      <c r="G2" s="274"/>
      <c r="H2" s="274"/>
      <c r="I2" s="274"/>
      <c r="J2" s="274"/>
      <c r="K2" s="274"/>
    </row>
    <row r="3" spans="1:13" ht="33.75" thickBot="1" x14ac:dyDescent="0.3">
      <c r="A3" s="167" t="s">
        <v>927</v>
      </c>
      <c r="B3" s="168" t="s">
        <v>928</v>
      </c>
      <c r="C3" s="31" t="s">
        <v>929</v>
      </c>
      <c r="D3" s="77" t="s">
        <v>930</v>
      </c>
      <c r="E3" s="77" t="s">
        <v>995</v>
      </c>
      <c r="F3" s="77" t="s">
        <v>1030</v>
      </c>
      <c r="G3" s="168" t="s">
        <v>1051</v>
      </c>
      <c r="H3" s="169" t="s">
        <v>1052</v>
      </c>
      <c r="I3" s="168" t="s">
        <v>1059</v>
      </c>
      <c r="J3" s="169" t="s">
        <v>1060</v>
      </c>
      <c r="K3" s="168" t="s">
        <v>926</v>
      </c>
    </row>
    <row r="4" spans="1:13" ht="17.25" customHeight="1" thickBot="1" x14ac:dyDescent="0.3">
      <c r="A4" s="78" t="s">
        <v>0</v>
      </c>
      <c r="B4" s="122"/>
      <c r="C4" s="32"/>
      <c r="D4" s="32"/>
      <c r="E4" s="32"/>
      <c r="F4" s="32"/>
      <c r="G4" s="32"/>
      <c r="H4" s="32"/>
      <c r="I4" s="32"/>
      <c r="J4" s="32"/>
      <c r="K4" s="79"/>
    </row>
    <row r="5" spans="1:13" ht="17.25" customHeight="1" thickBot="1" x14ac:dyDescent="0.3">
      <c r="A5" s="80" t="s">
        <v>982</v>
      </c>
      <c r="B5" s="122"/>
      <c r="C5" s="33"/>
      <c r="D5" s="33"/>
      <c r="E5" s="33"/>
      <c r="F5" s="33"/>
      <c r="G5" s="33"/>
      <c r="H5" s="33"/>
      <c r="I5" s="33"/>
      <c r="J5" s="33"/>
      <c r="K5" s="79"/>
    </row>
    <row r="6" spans="1:13" ht="27.75" thickBot="1" x14ac:dyDescent="0.3">
      <c r="A6" s="258" t="s">
        <v>931</v>
      </c>
      <c r="B6" s="127" t="s">
        <v>1</v>
      </c>
      <c r="C6" s="262">
        <v>221</v>
      </c>
      <c r="D6" s="81">
        <f>+C6*$D$1</f>
        <v>299.89999999999998</v>
      </c>
      <c r="E6" s="81">
        <f>+D6*1.36</f>
        <v>407.86399999999998</v>
      </c>
      <c r="F6" s="81">
        <v>550.1</v>
      </c>
      <c r="G6" s="245">
        <v>659.8</v>
      </c>
      <c r="H6" s="170">
        <f>G6*1.167</f>
        <v>769.98659999999995</v>
      </c>
      <c r="I6" s="170">
        <f>+J6/1.167</f>
        <v>877.46358183376174</v>
      </c>
      <c r="J6" s="170">
        <f>ROUND(+H6*(1+$J$1),0)</f>
        <v>1024</v>
      </c>
      <c r="K6" s="92" t="s">
        <v>2</v>
      </c>
      <c r="L6" s="52"/>
      <c r="M6" s="52"/>
    </row>
    <row r="7" spans="1:13" ht="16.5" thickBot="1" x14ac:dyDescent="0.3">
      <c r="A7" s="259" t="s">
        <v>954</v>
      </c>
      <c r="B7" s="268" t="s">
        <v>1</v>
      </c>
      <c r="C7" s="262">
        <v>221</v>
      </c>
      <c r="D7" s="82">
        <f t="shared" ref="D7:D35" si="0">+C7*$D$1</f>
        <v>299.89999999999998</v>
      </c>
      <c r="E7" s="82">
        <f t="shared" ref="E7:E62" si="1">+D7*1.36</f>
        <v>407.86399999999998</v>
      </c>
      <c r="F7" s="82">
        <v>550.1</v>
      </c>
      <c r="G7" s="246">
        <v>659.8</v>
      </c>
      <c r="H7" s="171">
        <f t="shared" ref="H7:H70" si="2">G7*1.167</f>
        <v>769.98659999999995</v>
      </c>
      <c r="I7" s="170">
        <f t="shared" ref="I7:I66" si="3">+J7/1.167</f>
        <v>877.46358183376174</v>
      </c>
      <c r="J7" s="170">
        <f>ROUND(+H7*(1+$J$1),0)</f>
        <v>1024</v>
      </c>
      <c r="K7" s="96" t="s">
        <v>3</v>
      </c>
      <c r="L7" s="198"/>
    </row>
    <row r="8" spans="1:13" ht="16.5" thickBot="1" x14ac:dyDescent="0.3">
      <c r="A8" s="259" t="s">
        <v>932</v>
      </c>
      <c r="B8" s="268" t="s">
        <v>1</v>
      </c>
      <c r="C8" s="262">
        <v>221</v>
      </c>
      <c r="D8" s="82">
        <f t="shared" si="0"/>
        <v>299.89999999999998</v>
      </c>
      <c r="E8" s="82">
        <f t="shared" si="1"/>
        <v>407.86399999999998</v>
      </c>
      <c r="F8" s="82">
        <v>550.1</v>
      </c>
      <c r="G8" s="246">
        <v>659.8</v>
      </c>
      <c r="H8" s="171">
        <f t="shared" si="2"/>
        <v>769.98659999999995</v>
      </c>
      <c r="I8" s="170">
        <f t="shared" si="3"/>
        <v>877.46358183376174</v>
      </c>
      <c r="J8" s="170">
        <f>ROUND(+H8*(1+$J$1),0)</f>
        <v>1024</v>
      </c>
      <c r="K8" s="96" t="s">
        <v>4</v>
      </c>
      <c r="L8" s="198"/>
    </row>
    <row r="9" spans="1:13" ht="68.25" thickBot="1" x14ac:dyDescent="0.3">
      <c r="A9" s="258" t="s">
        <v>933</v>
      </c>
      <c r="B9" s="127" t="s">
        <v>1</v>
      </c>
      <c r="C9" s="262">
        <v>221</v>
      </c>
      <c r="D9" s="81">
        <f t="shared" si="0"/>
        <v>299.89999999999998</v>
      </c>
      <c r="E9" s="81">
        <f t="shared" si="1"/>
        <v>407.86399999999998</v>
      </c>
      <c r="F9" s="81">
        <v>550.1</v>
      </c>
      <c r="G9" s="245">
        <v>659.8</v>
      </c>
      <c r="H9" s="170">
        <f t="shared" si="2"/>
        <v>769.98659999999995</v>
      </c>
      <c r="I9" s="170">
        <f t="shared" si="3"/>
        <v>877.46358183376174</v>
      </c>
      <c r="J9" s="170">
        <f>ROUND(+H9*(1+$J$1),0)</f>
        <v>1024</v>
      </c>
      <c r="K9" s="92" t="s">
        <v>5</v>
      </c>
      <c r="L9" s="198"/>
    </row>
    <row r="10" spans="1:13" ht="54.75" thickBot="1" x14ac:dyDescent="0.3">
      <c r="A10" s="259" t="s">
        <v>955</v>
      </c>
      <c r="B10" s="268" t="s">
        <v>1</v>
      </c>
      <c r="C10" s="263">
        <v>221</v>
      </c>
      <c r="D10" s="82">
        <f t="shared" si="0"/>
        <v>299.89999999999998</v>
      </c>
      <c r="E10" s="82">
        <f t="shared" si="1"/>
        <v>407.86399999999998</v>
      </c>
      <c r="F10" s="82">
        <v>550.1</v>
      </c>
      <c r="G10" s="246">
        <v>659.8</v>
      </c>
      <c r="H10" s="171">
        <f t="shared" si="2"/>
        <v>769.98659999999995</v>
      </c>
      <c r="I10" s="170">
        <f t="shared" si="3"/>
        <v>877.46358183376174</v>
      </c>
      <c r="J10" s="170">
        <f>ROUND(+H10*(1+$J$1),0)</f>
        <v>1024</v>
      </c>
      <c r="K10" s="96" t="s">
        <v>6</v>
      </c>
      <c r="L10" s="198"/>
    </row>
    <row r="11" spans="1:13" ht="27.75" thickBot="1" x14ac:dyDescent="0.3">
      <c r="A11" s="259" t="s">
        <v>934</v>
      </c>
      <c r="B11" s="268" t="s">
        <v>1</v>
      </c>
      <c r="C11" s="262">
        <v>221</v>
      </c>
      <c r="D11" s="82">
        <f t="shared" si="0"/>
        <v>299.89999999999998</v>
      </c>
      <c r="E11" s="81">
        <f t="shared" si="1"/>
        <v>407.86399999999998</v>
      </c>
      <c r="F11" s="82">
        <v>550.1</v>
      </c>
      <c r="G11" s="246">
        <v>659.8</v>
      </c>
      <c r="H11" s="171">
        <f t="shared" si="2"/>
        <v>769.98659999999995</v>
      </c>
      <c r="I11" s="170">
        <f t="shared" si="3"/>
        <v>877.46358183376174</v>
      </c>
      <c r="J11" s="170">
        <f t="shared" ref="J11:J35" si="4">ROUND(+H11*(1+$J$1),0)</f>
        <v>1024</v>
      </c>
      <c r="K11" s="96" t="s">
        <v>7</v>
      </c>
      <c r="L11" s="198"/>
    </row>
    <row r="12" spans="1:13" ht="27.75" thickBot="1" x14ac:dyDescent="0.3">
      <c r="A12" s="259" t="s">
        <v>935</v>
      </c>
      <c r="B12" s="268" t="s">
        <v>1</v>
      </c>
      <c r="C12" s="262">
        <v>221</v>
      </c>
      <c r="D12" s="82">
        <f t="shared" si="0"/>
        <v>299.89999999999998</v>
      </c>
      <c r="E12" s="82">
        <f t="shared" si="1"/>
        <v>407.86399999999998</v>
      </c>
      <c r="F12" s="82">
        <v>550.1</v>
      </c>
      <c r="G12" s="246">
        <v>659.8</v>
      </c>
      <c r="H12" s="171">
        <f t="shared" si="2"/>
        <v>769.98659999999995</v>
      </c>
      <c r="I12" s="170">
        <f t="shared" si="3"/>
        <v>877.46358183376174</v>
      </c>
      <c r="J12" s="170">
        <f t="shared" si="4"/>
        <v>1024</v>
      </c>
      <c r="K12" s="96" t="s">
        <v>8</v>
      </c>
      <c r="L12" s="198"/>
    </row>
    <row r="13" spans="1:13" ht="16.5" thickBot="1" x14ac:dyDescent="0.3">
      <c r="A13" s="258" t="s">
        <v>936</v>
      </c>
      <c r="B13" s="127" t="s">
        <v>1</v>
      </c>
      <c r="C13" s="262">
        <v>221</v>
      </c>
      <c r="D13" s="81">
        <f t="shared" si="0"/>
        <v>299.89999999999998</v>
      </c>
      <c r="E13" s="81">
        <f t="shared" si="1"/>
        <v>407.86399999999998</v>
      </c>
      <c r="F13" s="81">
        <v>550.1</v>
      </c>
      <c r="G13" s="245">
        <v>659.8</v>
      </c>
      <c r="H13" s="170">
        <f t="shared" si="2"/>
        <v>769.98659999999995</v>
      </c>
      <c r="I13" s="170">
        <f t="shared" si="3"/>
        <v>877.46358183376174</v>
      </c>
      <c r="J13" s="170">
        <f t="shared" si="4"/>
        <v>1024</v>
      </c>
      <c r="K13" s="92" t="s">
        <v>9</v>
      </c>
      <c r="L13" s="198"/>
    </row>
    <row r="14" spans="1:13" ht="16.5" thickBot="1" x14ac:dyDescent="0.3">
      <c r="A14" s="259" t="s">
        <v>937</v>
      </c>
      <c r="B14" s="268" t="s">
        <v>1</v>
      </c>
      <c r="C14" s="263">
        <v>221</v>
      </c>
      <c r="D14" s="82">
        <f t="shared" si="0"/>
        <v>299.89999999999998</v>
      </c>
      <c r="E14" s="82">
        <f t="shared" si="1"/>
        <v>407.86399999999998</v>
      </c>
      <c r="F14" s="82">
        <v>550.1</v>
      </c>
      <c r="G14" s="246">
        <v>659.8</v>
      </c>
      <c r="H14" s="171">
        <f t="shared" si="2"/>
        <v>769.98659999999995</v>
      </c>
      <c r="I14" s="170">
        <f t="shared" si="3"/>
        <v>877.46358183376174</v>
      </c>
      <c r="J14" s="170">
        <f t="shared" si="4"/>
        <v>1024</v>
      </c>
      <c r="K14" s="96" t="s">
        <v>10</v>
      </c>
      <c r="L14" s="198"/>
    </row>
    <row r="15" spans="1:13" ht="16.5" thickBot="1" x14ac:dyDescent="0.3">
      <c r="A15" s="259" t="s">
        <v>938</v>
      </c>
      <c r="B15" s="268" t="s">
        <v>1</v>
      </c>
      <c r="C15" s="262">
        <v>221</v>
      </c>
      <c r="D15" s="82">
        <f t="shared" si="0"/>
        <v>299.89999999999998</v>
      </c>
      <c r="E15" s="82">
        <f t="shared" si="1"/>
        <v>407.86399999999998</v>
      </c>
      <c r="F15" s="82">
        <v>550.1</v>
      </c>
      <c r="G15" s="246">
        <v>659.8</v>
      </c>
      <c r="H15" s="171">
        <f t="shared" si="2"/>
        <v>769.98659999999995</v>
      </c>
      <c r="I15" s="170">
        <f t="shared" si="3"/>
        <v>877.46358183376174</v>
      </c>
      <c r="J15" s="170">
        <f t="shared" si="4"/>
        <v>1024</v>
      </c>
      <c r="K15" s="96" t="s">
        <v>11</v>
      </c>
      <c r="L15" s="198"/>
    </row>
    <row r="16" spans="1:13" ht="27.75" thickBot="1" x14ac:dyDescent="0.3">
      <c r="A16" s="259" t="s">
        <v>939</v>
      </c>
      <c r="B16" s="268" t="s">
        <v>1</v>
      </c>
      <c r="C16" s="262">
        <v>221</v>
      </c>
      <c r="D16" s="82">
        <f t="shared" si="0"/>
        <v>299.89999999999998</v>
      </c>
      <c r="E16" s="82">
        <f t="shared" si="1"/>
        <v>407.86399999999998</v>
      </c>
      <c r="F16" s="82">
        <v>550.1</v>
      </c>
      <c r="G16" s="246">
        <v>659.8</v>
      </c>
      <c r="H16" s="171">
        <f t="shared" si="2"/>
        <v>769.98659999999995</v>
      </c>
      <c r="I16" s="170">
        <f t="shared" si="3"/>
        <v>877.46358183376174</v>
      </c>
      <c r="J16" s="170">
        <f t="shared" si="4"/>
        <v>1024</v>
      </c>
      <c r="K16" s="96" t="s">
        <v>12</v>
      </c>
      <c r="L16" s="198"/>
    </row>
    <row r="17" spans="1:12" ht="27.75" thickBot="1" x14ac:dyDescent="0.3">
      <c r="A17" s="259" t="s">
        <v>956</v>
      </c>
      <c r="B17" s="268" t="s">
        <v>1</v>
      </c>
      <c r="C17" s="262">
        <v>221</v>
      </c>
      <c r="D17" s="82">
        <f t="shared" si="0"/>
        <v>299.89999999999998</v>
      </c>
      <c r="E17" s="82">
        <f t="shared" si="1"/>
        <v>407.86399999999998</v>
      </c>
      <c r="F17" s="82">
        <v>550.1</v>
      </c>
      <c r="G17" s="246">
        <v>659.8</v>
      </c>
      <c r="H17" s="171">
        <f t="shared" si="2"/>
        <v>769.98659999999995</v>
      </c>
      <c r="I17" s="170">
        <f t="shared" si="3"/>
        <v>877.46358183376174</v>
      </c>
      <c r="J17" s="170">
        <f t="shared" si="4"/>
        <v>1024</v>
      </c>
      <c r="K17" s="96" t="s">
        <v>13</v>
      </c>
      <c r="L17" s="198"/>
    </row>
    <row r="18" spans="1:12" ht="41.25" thickBot="1" x14ac:dyDescent="0.3">
      <c r="A18" s="259" t="s">
        <v>957</v>
      </c>
      <c r="B18" s="268" t="s">
        <v>1</v>
      </c>
      <c r="C18" s="262">
        <v>221</v>
      </c>
      <c r="D18" s="82">
        <f t="shared" si="0"/>
        <v>299.89999999999998</v>
      </c>
      <c r="E18" s="82">
        <f t="shared" si="1"/>
        <v>407.86399999999998</v>
      </c>
      <c r="F18" s="82">
        <v>550.1</v>
      </c>
      <c r="G18" s="246">
        <v>659.8</v>
      </c>
      <c r="H18" s="171">
        <f t="shared" si="2"/>
        <v>769.98659999999995</v>
      </c>
      <c r="I18" s="170">
        <f t="shared" si="3"/>
        <v>877.46358183376174</v>
      </c>
      <c r="J18" s="170">
        <f t="shared" si="4"/>
        <v>1024</v>
      </c>
      <c r="K18" s="96" t="s">
        <v>14</v>
      </c>
      <c r="L18" s="198"/>
    </row>
    <row r="19" spans="1:12" ht="27.75" thickBot="1" x14ac:dyDescent="0.3">
      <c r="A19" s="259" t="s">
        <v>958</v>
      </c>
      <c r="B19" s="268" t="s">
        <v>1</v>
      </c>
      <c r="C19" s="262">
        <v>221</v>
      </c>
      <c r="D19" s="82">
        <f t="shared" si="0"/>
        <v>299.89999999999998</v>
      </c>
      <c r="E19" s="82">
        <f t="shared" si="1"/>
        <v>407.86399999999998</v>
      </c>
      <c r="F19" s="82">
        <v>550.1</v>
      </c>
      <c r="G19" s="246">
        <v>659.8</v>
      </c>
      <c r="H19" s="171">
        <f t="shared" si="2"/>
        <v>769.98659999999995</v>
      </c>
      <c r="I19" s="170">
        <f t="shared" si="3"/>
        <v>877.46358183376174</v>
      </c>
      <c r="J19" s="170">
        <f t="shared" si="4"/>
        <v>1024</v>
      </c>
      <c r="K19" s="96" t="s">
        <v>15</v>
      </c>
      <c r="L19" s="198"/>
    </row>
    <row r="20" spans="1:12" ht="27.75" thickBot="1" x14ac:dyDescent="0.3">
      <c r="A20" s="259" t="s">
        <v>959</v>
      </c>
      <c r="B20" s="268" t="s">
        <v>1</v>
      </c>
      <c r="C20" s="262">
        <v>221</v>
      </c>
      <c r="D20" s="82">
        <f t="shared" si="0"/>
        <v>299.89999999999998</v>
      </c>
      <c r="E20" s="82">
        <f t="shared" si="1"/>
        <v>407.86399999999998</v>
      </c>
      <c r="F20" s="82">
        <v>550.1</v>
      </c>
      <c r="G20" s="246">
        <v>659.8</v>
      </c>
      <c r="H20" s="171">
        <f t="shared" si="2"/>
        <v>769.98659999999995</v>
      </c>
      <c r="I20" s="170">
        <f t="shared" si="3"/>
        <v>877.46358183376174</v>
      </c>
      <c r="J20" s="170">
        <f t="shared" si="4"/>
        <v>1024</v>
      </c>
      <c r="K20" s="96" t="s">
        <v>16</v>
      </c>
      <c r="L20" s="198"/>
    </row>
    <row r="21" spans="1:12" ht="16.5" thickBot="1" x14ac:dyDescent="0.3">
      <c r="A21" s="259" t="s">
        <v>940</v>
      </c>
      <c r="B21" s="268" t="s">
        <v>1</v>
      </c>
      <c r="C21" s="262">
        <v>221</v>
      </c>
      <c r="D21" s="82">
        <f t="shared" si="0"/>
        <v>299.89999999999998</v>
      </c>
      <c r="E21" s="82">
        <f t="shared" si="1"/>
        <v>407.86399999999998</v>
      </c>
      <c r="F21" s="82">
        <v>550.1</v>
      </c>
      <c r="G21" s="246">
        <v>659.8</v>
      </c>
      <c r="H21" s="171">
        <f t="shared" si="2"/>
        <v>769.98659999999995</v>
      </c>
      <c r="I21" s="170">
        <f t="shared" si="3"/>
        <v>877.46358183376174</v>
      </c>
      <c r="J21" s="170">
        <f t="shared" si="4"/>
        <v>1024</v>
      </c>
      <c r="K21" s="96" t="s">
        <v>17</v>
      </c>
      <c r="L21" s="198"/>
    </row>
    <row r="22" spans="1:12" ht="41.25" thickBot="1" x14ac:dyDescent="0.3">
      <c r="A22" s="259" t="s">
        <v>941</v>
      </c>
      <c r="B22" s="268" t="s">
        <v>1</v>
      </c>
      <c r="C22" s="262">
        <v>221</v>
      </c>
      <c r="D22" s="82">
        <f t="shared" si="0"/>
        <v>299.89999999999998</v>
      </c>
      <c r="E22" s="82">
        <f t="shared" si="1"/>
        <v>407.86399999999998</v>
      </c>
      <c r="F22" s="82">
        <v>550.1</v>
      </c>
      <c r="G22" s="246">
        <v>659.8</v>
      </c>
      <c r="H22" s="171">
        <f t="shared" si="2"/>
        <v>769.98659999999995</v>
      </c>
      <c r="I22" s="170">
        <f t="shared" si="3"/>
        <v>877.46358183376174</v>
      </c>
      <c r="J22" s="170">
        <f t="shared" si="4"/>
        <v>1024</v>
      </c>
      <c r="K22" s="96" t="s">
        <v>18</v>
      </c>
      <c r="L22" s="198"/>
    </row>
    <row r="23" spans="1:12" ht="16.5" thickBot="1" x14ac:dyDescent="0.3">
      <c r="A23" s="259" t="s">
        <v>942</v>
      </c>
      <c r="B23" s="268" t="s">
        <v>1</v>
      </c>
      <c r="C23" s="262">
        <v>221</v>
      </c>
      <c r="D23" s="82">
        <f t="shared" si="0"/>
        <v>299.89999999999998</v>
      </c>
      <c r="E23" s="82">
        <f t="shared" si="1"/>
        <v>407.86399999999998</v>
      </c>
      <c r="F23" s="82">
        <v>550.1</v>
      </c>
      <c r="G23" s="246">
        <v>659.8</v>
      </c>
      <c r="H23" s="171">
        <f t="shared" si="2"/>
        <v>769.98659999999995</v>
      </c>
      <c r="I23" s="170">
        <f t="shared" si="3"/>
        <v>877.46358183376174</v>
      </c>
      <c r="J23" s="170">
        <f t="shared" si="4"/>
        <v>1024</v>
      </c>
      <c r="K23" s="96" t="s">
        <v>19</v>
      </c>
      <c r="L23" s="198"/>
    </row>
    <row r="24" spans="1:12" ht="27.75" thickBot="1" x14ac:dyDescent="0.3">
      <c r="A24" s="259" t="s">
        <v>943</v>
      </c>
      <c r="B24" s="268" t="s">
        <v>1</v>
      </c>
      <c r="C24" s="262">
        <v>221</v>
      </c>
      <c r="D24" s="82">
        <f t="shared" si="0"/>
        <v>299.89999999999998</v>
      </c>
      <c r="E24" s="82">
        <f t="shared" si="1"/>
        <v>407.86399999999998</v>
      </c>
      <c r="F24" s="82">
        <v>550.1</v>
      </c>
      <c r="G24" s="246">
        <v>659.8</v>
      </c>
      <c r="H24" s="171">
        <f t="shared" si="2"/>
        <v>769.98659999999995</v>
      </c>
      <c r="I24" s="170">
        <f t="shared" si="3"/>
        <v>877.46358183376174</v>
      </c>
      <c r="J24" s="170">
        <f t="shared" si="4"/>
        <v>1024</v>
      </c>
      <c r="K24" s="96" t="s">
        <v>20</v>
      </c>
      <c r="L24" s="198"/>
    </row>
    <row r="25" spans="1:12" ht="16.5" thickBot="1" x14ac:dyDescent="0.3">
      <c r="A25" s="259" t="s">
        <v>960</v>
      </c>
      <c r="B25" s="268" t="s">
        <v>1</v>
      </c>
      <c r="C25" s="262">
        <v>221</v>
      </c>
      <c r="D25" s="82">
        <f t="shared" si="0"/>
        <v>299.89999999999998</v>
      </c>
      <c r="E25" s="82">
        <f t="shared" si="1"/>
        <v>407.86399999999998</v>
      </c>
      <c r="F25" s="82">
        <v>550.1</v>
      </c>
      <c r="G25" s="246">
        <v>659.8</v>
      </c>
      <c r="H25" s="171">
        <f t="shared" si="2"/>
        <v>769.98659999999995</v>
      </c>
      <c r="I25" s="170">
        <f t="shared" si="3"/>
        <v>877.46358183376174</v>
      </c>
      <c r="J25" s="170">
        <f t="shared" si="4"/>
        <v>1024</v>
      </c>
      <c r="K25" s="96" t="s">
        <v>21</v>
      </c>
      <c r="L25" s="198"/>
    </row>
    <row r="26" spans="1:12" ht="41.25" thickBot="1" x14ac:dyDescent="0.3">
      <c r="A26" s="259" t="s">
        <v>961</v>
      </c>
      <c r="B26" s="268" t="s">
        <v>1</v>
      </c>
      <c r="C26" s="262">
        <v>221</v>
      </c>
      <c r="D26" s="82">
        <f t="shared" si="0"/>
        <v>299.89999999999998</v>
      </c>
      <c r="E26" s="82">
        <f t="shared" si="1"/>
        <v>407.86399999999998</v>
      </c>
      <c r="F26" s="82">
        <v>550.1</v>
      </c>
      <c r="G26" s="246">
        <v>659.8</v>
      </c>
      <c r="H26" s="171">
        <f t="shared" si="2"/>
        <v>769.98659999999995</v>
      </c>
      <c r="I26" s="170">
        <f t="shared" si="3"/>
        <v>877.46358183376174</v>
      </c>
      <c r="J26" s="170">
        <f t="shared" si="4"/>
        <v>1024</v>
      </c>
      <c r="K26" s="96" t="s">
        <v>22</v>
      </c>
      <c r="L26" s="198"/>
    </row>
    <row r="27" spans="1:12" ht="16.5" thickBot="1" x14ac:dyDescent="0.3">
      <c r="A27" s="259" t="s">
        <v>962</v>
      </c>
      <c r="B27" s="268" t="s">
        <v>1</v>
      </c>
      <c r="C27" s="262">
        <v>221</v>
      </c>
      <c r="D27" s="82">
        <f t="shared" si="0"/>
        <v>299.89999999999998</v>
      </c>
      <c r="E27" s="82">
        <f t="shared" si="1"/>
        <v>407.86399999999998</v>
      </c>
      <c r="F27" s="82">
        <v>550.1</v>
      </c>
      <c r="G27" s="246">
        <v>659.8</v>
      </c>
      <c r="H27" s="171">
        <f t="shared" si="2"/>
        <v>769.98659999999995</v>
      </c>
      <c r="I27" s="170">
        <f t="shared" si="3"/>
        <v>877.46358183376174</v>
      </c>
      <c r="J27" s="170">
        <f t="shared" si="4"/>
        <v>1024</v>
      </c>
      <c r="K27" s="96" t="s">
        <v>23</v>
      </c>
      <c r="L27" s="198"/>
    </row>
    <row r="28" spans="1:12" ht="41.25" thickBot="1" x14ac:dyDescent="0.3">
      <c r="A28" s="259" t="s">
        <v>963</v>
      </c>
      <c r="B28" s="268" t="s">
        <v>1</v>
      </c>
      <c r="C28" s="262">
        <v>221</v>
      </c>
      <c r="D28" s="82">
        <f t="shared" si="0"/>
        <v>299.89999999999998</v>
      </c>
      <c r="E28" s="82">
        <f t="shared" si="1"/>
        <v>407.86399999999998</v>
      </c>
      <c r="F28" s="82">
        <v>550.1</v>
      </c>
      <c r="G28" s="246">
        <v>659.8</v>
      </c>
      <c r="H28" s="171">
        <f t="shared" si="2"/>
        <v>769.98659999999995</v>
      </c>
      <c r="I28" s="170">
        <f t="shared" si="3"/>
        <v>877.46358183376174</v>
      </c>
      <c r="J28" s="170">
        <f t="shared" si="4"/>
        <v>1024</v>
      </c>
      <c r="K28" s="96" t="s">
        <v>24</v>
      </c>
      <c r="L28" s="198"/>
    </row>
    <row r="29" spans="1:12" ht="27.75" thickBot="1" x14ac:dyDescent="0.3">
      <c r="A29" s="259" t="s">
        <v>964</v>
      </c>
      <c r="B29" s="268" t="s">
        <v>1</v>
      </c>
      <c r="C29" s="262">
        <v>221</v>
      </c>
      <c r="D29" s="82">
        <f t="shared" si="0"/>
        <v>299.89999999999998</v>
      </c>
      <c r="E29" s="82">
        <f t="shared" si="1"/>
        <v>407.86399999999998</v>
      </c>
      <c r="F29" s="82">
        <v>550.1</v>
      </c>
      <c r="G29" s="246">
        <v>659.8</v>
      </c>
      <c r="H29" s="171">
        <f t="shared" si="2"/>
        <v>769.98659999999995</v>
      </c>
      <c r="I29" s="170">
        <f t="shared" si="3"/>
        <v>877.46358183376174</v>
      </c>
      <c r="J29" s="170">
        <f t="shared" si="4"/>
        <v>1024</v>
      </c>
      <c r="K29" s="96" t="s">
        <v>25</v>
      </c>
      <c r="L29" s="198"/>
    </row>
    <row r="30" spans="1:12" ht="27.75" thickBot="1" x14ac:dyDescent="0.3">
      <c r="A30" s="259" t="s">
        <v>944</v>
      </c>
      <c r="B30" s="268" t="s">
        <v>1</v>
      </c>
      <c r="C30" s="262">
        <v>221</v>
      </c>
      <c r="D30" s="82">
        <f t="shared" si="0"/>
        <v>299.89999999999998</v>
      </c>
      <c r="E30" s="82">
        <f t="shared" si="1"/>
        <v>407.86399999999998</v>
      </c>
      <c r="F30" s="82">
        <v>550.1</v>
      </c>
      <c r="G30" s="246">
        <v>659.8</v>
      </c>
      <c r="H30" s="171">
        <f t="shared" si="2"/>
        <v>769.98659999999995</v>
      </c>
      <c r="I30" s="170">
        <f t="shared" si="3"/>
        <v>877.46358183376174</v>
      </c>
      <c r="J30" s="170">
        <f t="shared" si="4"/>
        <v>1024</v>
      </c>
      <c r="K30" s="96" t="s">
        <v>26</v>
      </c>
      <c r="L30" s="198"/>
    </row>
    <row r="31" spans="1:12" ht="41.25" thickBot="1" x14ac:dyDescent="0.3">
      <c r="A31" s="259" t="s">
        <v>945</v>
      </c>
      <c r="B31" s="268" t="s">
        <v>1</v>
      </c>
      <c r="C31" s="262">
        <v>221</v>
      </c>
      <c r="D31" s="82">
        <f t="shared" si="0"/>
        <v>299.89999999999998</v>
      </c>
      <c r="E31" s="82">
        <f t="shared" si="1"/>
        <v>407.86399999999998</v>
      </c>
      <c r="F31" s="82">
        <v>550.1</v>
      </c>
      <c r="G31" s="246">
        <v>659.8</v>
      </c>
      <c r="H31" s="171">
        <f t="shared" si="2"/>
        <v>769.98659999999995</v>
      </c>
      <c r="I31" s="170">
        <f t="shared" si="3"/>
        <v>877.46358183376174</v>
      </c>
      <c r="J31" s="170">
        <f t="shared" si="4"/>
        <v>1024</v>
      </c>
      <c r="K31" s="96" t="s">
        <v>27</v>
      </c>
      <c r="L31" s="198"/>
    </row>
    <row r="32" spans="1:12" ht="41.25" thickBot="1" x14ac:dyDescent="0.3">
      <c r="A32" s="259" t="s">
        <v>946</v>
      </c>
      <c r="B32" s="268" t="s">
        <v>1</v>
      </c>
      <c r="C32" s="262">
        <v>221</v>
      </c>
      <c r="D32" s="82">
        <f t="shared" si="0"/>
        <v>299.89999999999998</v>
      </c>
      <c r="E32" s="82">
        <f t="shared" si="1"/>
        <v>407.86399999999998</v>
      </c>
      <c r="F32" s="82">
        <v>550.1</v>
      </c>
      <c r="G32" s="246">
        <v>659.8</v>
      </c>
      <c r="H32" s="171">
        <f t="shared" si="2"/>
        <v>769.98659999999995</v>
      </c>
      <c r="I32" s="170">
        <f t="shared" si="3"/>
        <v>877.46358183376174</v>
      </c>
      <c r="J32" s="170">
        <f t="shared" si="4"/>
        <v>1024</v>
      </c>
      <c r="K32" s="96" t="s">
        <v>28</v>
      </c>
      <c r="L32" s="198"/>
    </row>
    <row r="33" spans="1:12" ht="27.75" thickBot="1" x14ac:dyDescent="0.3">
      <c r="A33" s="259" t="s">
        <v>947</v>
      </c>
      <c r="B33" s="268" t="s">
        <v>1</v>
      </c>
      <c r="C33" s="262">
        <v>221</v>
      </c>
      <c r="D33" s="82">
        <f t="shared" si="0"/>
        <v>299.89999999999998</v>
      </c>
      <c r="E33" s="82">
        <f t="shared" si="1"/>
        <v>407.86399999999998</v>
      </c>
      <c r="F33" s="82">
        <v>550.1</v>
      </c>
      <c r="G33" s="246">
        <v>659.8</v>
      </c>
      <c r="H33" s="171">
        <f t="shared" si="2"/>
        <v>769.98659999999995</v>
      </c>
      <c r="I33" s="170">
        <f t="shared" si="3"/>
        <v>877.46358183376174</v>
      </c>
      <c r="J33" s="170">
        <f t="shared" si="4"/>
        <v>1024</v>
      </c>
      <c r="K33" s="96" t="s">
        <v>29</v>
      </c>
      <c r="L33" s="198"/>
    </row>
    <row r="34" spans="1:12" ht="41.25" thickBot="1" x14ac:dyDescent="0.3">
      <c r="A34" s="259" t="s">
        <v>965</v>
      </c>
      <c r="B34" s="268" t="s">
        <v>1</v>
      </c>
      <c r="C34" s="262">
        <v>221</v>
      </c>
      <c r="D34" s="82">
        <f t="shared" si="0"/>
        <v>299.89999999999998</v>
      </c>
      <c r="E34" s="82">
        <f t="shared" si="1"/>
        <v>407.86399999999998</v>
      </c>
      <c r="F34" s="82">
        <v>550.1</v>
      </c>
      <c r="G34" s="246">
        <v>659.8</v>
      </c>
      <c r="H34" s="171">
        <f t="shared" si="2"/>
        <v>769.98659999999995</v>
      </c>
      <c r="I34" s="170">
        <f t="shared" si="3"/>
        <v>877.46358183376174</v>
      </c>
      <c r="J34" s="170">
        <f t="shared" si="4"/>
        <v>1024</v>
      </c>
      <c r="K34" s="96" t="s">
        <v>30</v>
      </c>
      <c r="L34" s="198"/>
    </row>
    <row r="35" spans="1:12" ht="16.5" thickBot="1" x14ac:dyDescent="0.3">
      <c r="A35" s="259" t="s">
        <v>966</v>
      </c>
      <c r="B35" s="268" t="s">
        <v>1</v>
      </c>
      <c r="C35" s="262">
        <v>221</v>
      </c>
      <c r="D35" s="82">
        <f t="shared" si="0"/>
        <v>299.89999999999998</v>
      </c>
      <c r="E35" s="82">
        <f t="shared" si="1"/>
        <v>407.86399999999998</v>
      </c>
      <c r="F35" s="82">
        <v>550.1</v>
      </c>
      <c r="G35" s="246">
        <v>659.8</v>
      </c>
      <c r="H35" s="171">
        <f t="shared" si="2"/>
        <v>769.98659999999995</v>
      </c>
      <c r="I35" s="170">
        <f t="shared" si="3"/>
        <v>877.46358183376174</v>
      </c>
      <c r="J35" s="170">
        <f t="shared" si="4"/>
        <v>1024</v>
      </c>
      <c r="K35" s="96" t="s">
        <v>31</v>
      </c>
      <c r="L35" s="198"/>
    </row>
    <row r="36" spans="1:12" ht="17.25" customHeight="1" thickBot="1" x14ac:dyDescent="0.3">
      <c r="A36" s="97" t="s">
        <v>32</v>
      </c>
      <c r="B36" s="269"/>
      <c r="C36" s="144"/>
      <c r="D36" s="34"/>
      <c r="E36" s="34"/>
      <c r="F36" s="34"/>
      <c r="G36" s="34"/>
      <c r="H36" s="34"/>
      <c r="I36" s="34"/>
      <c r="J36" s="34"/>
      <c r="K36" s="98"/>
      <c r="L36" s="198"/>
    </row>
    <row r="37" spans="1:12" ht="27.75" thickBot="1" x14ac:dyDescent="0.3">
      <c r="A37" s="259" t="s">
        <v>948</v>
      </c>
      <c r="B37" s="268" t="s">
        <v>1</v>
      </c>
      <c r="C37" s="2">
        <v>221</v>
      </c>
      <c r="D37" s="56">
        <f t="shared" ref="D37:D45" si="5">+C37*$D$1</f>
        <v>299.89999999999998</v>
      </c>
      <c r="E37" s="56">
        <f t="shared" si="1"/>
        <v>407.86399999999998</v>
      </c>
      <c r="F37" s="56">
        <v>550.1</v>
      </c>
      <c r="G37" s="247">
        <v>659.8</v>
      </c>
      <c r="H37" s="172">
        <f t="shared" si="2"/>
        <v>769.98659999999995</v>
      </c>
      <c r="I37" s="170">
        <f t="shared" si="3"/>
        <v>877.46358183376174</v>
      </c>
      <c r="J37" s="170">
        <f t="shared" ref="J37:J45" si="6">ROUND(+H37*(1+$J$1),0)</f>
        <v>1024</v>
      </c>
      <c r="K37" s="96" t="s">
        <v>33</v>
      </c>
      <c r="L37" s="198"/>
    </row>
    <row r="38" spans="1:12" ht="16.5" thickBot="1" x14ac:dyDescent="0.3">
      <c r="A38" s="259" t="s">
        <v>949</v>
      </c>
      <c r="B38" s="268" t="s">
        <v>1</v>
      </c>
      <c r="C38" s="2">
        <v>221</v>
      </c>
      <c r="D38" s="83">
        <f t="shared" si="5"/>
        <v>299.89999999999998</v>
      </c>
      <c r="E38" s="83">
        <f t="shared" si="1"/>
        <v>407.86399999999998</v>
      </c>
      <c r="F38" s="83">
        <v>550.1</v>
      </c>
      <c r="G38" s="248">
        <v>659.8</v>
      </c>
      <c r="H38" s="172">
        <f t="shared" si="2"/>
        <v>769.98659999999995</v>
      </c>
      <c r="I38" s="170">
        <f t="shared" si="3"/>
        <v>877.46358183376174</v>
      </c>
      <c r="J38" s="170">
        <f t="shared" si="6"/>
        <v>1024</v>
      </c>
      <c r="K38" s="96" t="s">
        <v>34</v>
      </c>
      <c r="L38" s="198"/>
    </row>
    <row r="39" spans="1:12" ht="16.5" thickBot="1" x14ac:dyDescent="0.3">
      <c r="A39" s="259" t="s">
        <v>950</v>
      </c>
      <c r="B39" s="268" t="s">
        <v>1</v>
      </c>
      <c r="C39" s="2">
        <v>221</v>
      </c>
      <c r="D39" s="83">
        <f t="shared" si="5"/>
        <v>299.89999999999998</v>
      </c>
      <c r="E39" s="83">
        <f t="shared" si="1"/>
        <v>407.86399999999998</v>
      </c>
      <c r="F39" s="83">
        <v>550.1</v>
      </c>
      <c r="G39" s="248">
        <v>659.8</v>
      </c>
      <c r="H39" s="172">
        <f t="shared" si="2"/>
        <v>769.98659999999995</v>
      </c>
      <c r="I39" s="170">
        <f t="shared" si="3"/>
        <v>877.46358183376174</v>
      </c>
      <c r="J39" s="170">
        <f t="shared" si="6"/>
        <v>1024</v>
      </c>
      <c r="K39" s="96" t="s">
        <v>35</v>
      </c>
      <c r="L39" s="198"/>
    </row>
    <row r="40" spans="1:12" ht="16.5" thickBot="1" x14ac:dyDescent="0.3">
      <c r="A40" s="259" t="s">
        <v>967</v>
      </c>
      <c r="B40" s="268" t="s">
        <v>1</v>
      </c>
      <c r="C40" s="2">
        <v>221</v>
      </c>
      <c r="D40" s="83">
        <f t="shared" si="5"/>
        <v>299.89999999999998</v>
      </c>
      <c r="E40" s="83">
        <f t="shared" si="1"/>
        <v>407.86399999999998</v>
      </c>
      <c r="F40" s="83">
        <v>550.1</v>
      </c>
      <c r="G40" s="248">
        <v>659.8</v>
      </c>
      <c r="H40" s="172">
        <f t="shared" si="2"/>
        <v>769.98659999999995</v>
      </c>
      <c r="I40" s="170">
        <f t="shared" si="3"/>
        <v>877.46358183376174</v>
      </c>
      <c r="J40" s="170">
        <f t="shared" si="6"/>
        <v>1024</v>
      </c>
      <c r="K40" s="96" t="s">
        <v>36</v>
      </c>
      <c r="L40" s="198"/>
    </row>
    <row r="41" spans="1:12" ht="27.75" thickBot="1" x14ac:dyDescent="0.3">
      <c r="A41" s="259" t="s">
        <v>968</v>
      </c>
      <c r="B41" s="268" t="s">
        <v>1</v>
      </c>
      <c r="C41" s="2">
        <v>221</v>
      </c>
      <c r="D41" s="83">
        <f t="shared" si="5"/>
        <v>299.89999999999998</v>
      </c>
      <c r="E41" s="83">
        <f t="shared" si="1"/>
        <v>407.86399999999998</v>
      </c>
      <c r="F41" s="83">
        <v>550.1</v>
      </c>
      <c r="G41" s="248">
        <v>659.8</v>
      </c>
      <c r="H41" s="172">
        <f t="shared" si="2"/>
        <v>769.98659999999995</v>
      </c>
      <c r="I41" s="170">
        <f t="shared" si="3"/>
        <v>877.46358183376174</v>
      </c>
      <c r="J41" s="170">
        <f t="shared" si="6"/>
        <v>1024</v>
      </c>
      <c r="K41" s="96" t="s">
        <v>37</v>
      </c>
      <c r="L41" s="198"/>
    </row>
    <row r="42" spans="1:12" ht="27.75" thickBot="1" x14ac:dyDescent="0.3">
      <c r="A42" s="259" t="s">
        <v>951</v>
      </c>
      <c r="B42" s="268" t="s">
        <v>1</v>
      </c>
      <c r="C42" s="2">
        <v>221</v>
      </c>
      <c r="D42" s="83">
        <f t="shared" si="5"/>
        <v>299.89999999999998</v>
      </c>
      <c r="E42" s="83">
        <f t="shared" si="1"/>
        <v>407.86399999999998</v>
      </c>
      <c r="F42" s="83">
        <v>550.1</v>
      </c>
      <c r="G42" s="248">
        <v>659.8</v>
      </c>
      <c r="H42" s="172">
        <f t="shared" si="2"/>
        <v>769.98659999999995</v>
      </c>
      <c r="I42" s="170">
        <f t="shared" si="3"/>
        <v>877.46358183376174</v>
      </c>
      <c r="J42" s="170">
        <f t="shared" si="6"/>
        <v>1024</v>
      </c>
      <c r="K42" s="96" t="s">
        <v>38</v>
      </c>
      <c r="L42" s="198"/>
    </row>
    <row r="43" spans="1:12" ht="16.5" thickBot="1" x14ac:dyDescent="0.3">
      <c r="A43" s="259" t="s">
        <v>952</v>
      </c>
      <c r="B43" s="268" t="s">
        <v>1</v>
      </c>
      <c r="C43" s="2">
        <v>221</v>
      </c>
      <c r="D43" s="83">
        <f t="shared" si="5"/>
        <v>299.89999999999998</v>
      </c>
      <c r="E43" s="83">
        <f t="shared" si="1"/>
        <v>407.86399999999998</v>
      </c>
      <c r="F43" s="83">
        <v>550.1</v>
      </c>
      <c r="G43" s="248">
        <v>659.8</v>
      </c>
      <c r="H43" s="172">
        <f t="shared" si="2"/>
        <v>769.98659999999995</v>
      </c>
      <c r="I43" s="170">
        <f t="shared" si="3"/>
        <v>877.46358183376174</v>
      </c>
      <c r="J43" s="170">
        <f t="shared" si="6"/>
        <v>1024</v>
      </c>
      <c r="K43" s="96" t="s">
        <v>39</v>
      </c>
      <c r="L43" s="198"/>
    </row>
    <row r="44" spans="1:12" ht="16.5" thickBot="1" x14ac:dyDescent="0.3">
      <c r="A44" s="259" t="s">
        <v>953</v>
      </c>
      <c r="B44" s="268" t="s">
        <v>1</v>
      </c>
      <c r="C44" s="2">
        <v>221</v>
      </c>
      <c r="D44" s="83">
        <f t="shared" si="5"/>
        <v>299.89999999999998</v>
      </c>
      <c r="E44" s="83">
        <f t="shared" si="1"/>
        <v>407.86399999999998</v>
      </c>
      <c r="F44" s="83">
        <v>550.1</v>
      </c>
      <c r="G44" s="248">
        <v>659.8</v>
      </c>
      <c r="H44" s="172">
        <f t="shared" si="2"/>
        <v>769.98659999999995</v>
      </c>
      <c r="I44" s="170">
        <f t="shared" si="3"/>
        <v>877.46358183376174</v>
      </c>
      <c r="J44" s="170">
        <f t="shared" si="6"/>
        <v>1024</v>
      </c>
      <c r="K44" s="96" t="s">
        <v>40</v>
      </c>
      <c r="L44" s="198"/>
    </row>
    <row r="45" spans="1:12" ht="95.25" thickBot="1" x14ac:dyDescent="0.3">
      <c r="A45" s="259" t="s">
        <v>969</v>
      </c>
      <c r="B45" s="268" t="s">
        <v>1</v>
      </c>
      <c r="C45" s="2">
        <v>221</v>
      </c>
      <c r="D45" s="83">
        <f t="shared" si="5"/>
        <v>299.89999999999998</v>
      </c>
      <c r="E45" s="83">
        <f t="shared" si="1"/>
        <v>407.86399999999998</v>
      </c>
      <c r="F45" s="83">
        <v>550.1</v>
      </c>
      <c r="G45" s="248">
        <v>659.8</v>
      </c>
      <c r="H45" s="172">
        <f t="shared" si="2"/>
        <v>769.98659999999995</v>
      </c>
      <c r="I45" s="170">
        <f t="shared" si="3"/>
        <v>877.46358183376174</v>
      </c>
      <c r="J45" s="170">
        <f t="shared" si="6"/>
        <v>1024</v>
      </c>
      <c r="K45" s="96" t="s">
        <v>41</v>
      </c>
      <c r="L45" s="198"/>
    </row>
    <row r="46" spans="1:12" ht="17.25" customHeight="1" thickBot="1" x14ac:dyDescent="0.3">
      <c r="A46" s="97" t="s">
        <v>42</v>
      </c>
      <c r="B46" s="269"/>
      <c r="C46" s="1"/>
      <c r="D46" s="34"/>
      <c r="E46" s="34"/>
      <c r="F46" s="34"/>
      <c r="G46" s="34"/>
      <c r="H46" s="34"/>
      <c r="I46" s="34"/>
      <c r="J46" s="34"/>
      <c r="K46" s="99"/>
      <c r="L46" s="198"/>
    </row>
    <row r="47" spans="1:12" ht="27.75" thickBot="1" x14ac:dyDescent="0.3">
      <c r="A47" s="259" t="s">
        <v>970</v>
      </c>
      <c r="B47" s="268" t="s">
        <v>43</v>
      </c>
      <c r="C47" s="264">
        <v>221</v>
      </c>
      <c r="D47" s="84">
        <v>299.89999999999998</v>
      </c>
      <c r="E47" s="84">
        <f t="shared" si="1"/>
        <v>407.86399999999998</v>
      </c>
      <c r="F47" s="173">
        <v>550.1</v>
      </c>
      <c r="G47" s="249">
        <v>659.8</v>
      </c>
      <c r="H47" s="173">
        <f t="shared" si="2"/>
        <v>769.98659999999995</v>
      </c>
      <c r="I47" s="170">
        <f t="shared" si="3"/>
        <v>877.46358183376174</v>
      </c>
      <c r="J47" s="170">
        <f t="shared" ref="J47:J49" si="7">ROUND(+H47*(1+$J$1),0)</f>
        <v>1024</v>
      </c>
      <c r="K47" s="96" t="s">
        <v>44</v>
      </c>
      <c r="L47" s="198"/>
    </row>
    <row r="48" spans="1:12" ht="41.25" thickBot="1" x14ac:dyDescent="0.3">
      <c r="A48" s="259" t="s">
        <v>971</v>
      </c>
      <c r="B48" s="268" t="s">
        <v>43</v>
      </c>
      <c r="C48" s="264">
        <v>221</v>
      </c>
      <c r="D48" s="85">
        <f>+C48*$D$1</f>
        <v>299.89999999999998</v>
      </c>
      <c r="E48" s="85">
        <f t="shared" si="1"/>
        <v>407.86399999999998</v>
      </c>
      <c r="F48" s="173">
        <v>550.1</v>
      </c>
      <c r="G48" s="250">
        <v>659.8</v>
      </c>
      <c r="H48" s="173">
        <f t="shared" si="2"/>
        <v>769.98659999999995</v>
      </c>
      <c r="I48" s="170">
        <f t="shared" si="3"/>
        <v>877.46358183376174</v>
      </c>
      <c r="J48" s="170">
        <f t="shared" si="7"/>
        <v>1024</v>
      </c>
      <c r="K48" s="96" t="s">
        <v>45</v>
      </c>
      <c r="L48" s="198"/>
    </row>
    <row r="49" spans="1:12" ht="41.25" thickBot="1" x14ac:dyDescent="0.3">
      <c r="A49" s="259" t="s">
        <v>972</v>
      </c>
      <c r="B49" s="268" t="s">
        <v>1</v>
      </c>
      <c r="C49" s="264">
        <v>221</v>
      </c>
      <c r="D49" s="85">
        <f>+C49*$D$1</f>
        <v>299.89999999999998</v>
      </c>
      <c r="E49" s="85">
        <f t="shared" si="1"/>
        <v>407.86399999999998</v>
      </c>
      <c r="F49" s="173">
        <v>550.1</v>
      </c>
      <c r="G49" s="250">
        <v>659.8</v>
      </c>
      <c r="H49" s="173">
        <f t="shared" si="2"/>
        <v>769.98659999999995</v>
      </c>
      <c r="I49" s="170">
        <f t="shared" si="3"/>
        <v>877.46358183376174</v>
      </c>
      <c r="J49" s="170">
        <f t="shared" si="7"/>
        <v>1024</v>
      </c>
      <c r="K49" s="96" t="s">
        <v>46</v>
      </c>
      <c r="L49" s="198"/>
    </row>
    <row r="50" spans="1:12" ht="17.25" customHeight="1" thickBot="1" x14ac:dyDescent="0.3">
      <c r="A50" s="97" t="s">
        <v>47</v>
      </c>
      <c r="B50" s="269"/>
      <c r="C50" s="1"/>
      <c r="D50" s="34"/>
      <c r="E50" s="34"/>
      <c r="F50" s="34"/>
      <c r="G50" s="34"/>
      <c r="H50" s="34"/>
      <c r="I50" s="34"/>
      <c r="J50" s="34"/>
      <c r="K50" s="99"/>
      <c r="L50" s="198"/>
    </row>
    <row r="51" spans="1:12" ht="16.5" thickBot="1" x14ac:dyDescent="0.3">
      <c r="A51" s="259" t="s">
        <v>973</v>
      </c>
      <c r="B51" s="268" t="s">
        <v>1</v>
      </c>
      <c r="C51" s="265">
        <v>160</v>
      </c>
      <c r="D51" s="84">
        <v>218</v>
      </c>
      <c r="E51" s="84">
        <f t="shared" si="1"/>
        <v>296.48</v>
      </c>
      <c r="F51" s="173">
        <f t="shared" ref="F51" si="8">+E51*$F$1</f>
        <v>400.24800000000005</v>
      </c>
      <c r="G51" s="228">
        <v>479.9</v>
      </c>
      <c r="H51" s="173">
        <f t="shared" si="2"/>
        <v>560.04330000000004</v>
      </c>
      <c r="I51" s="170">
        <f t="shared" si="3"/>
        <v>638.38903170522701</v>
      </c>
      <c r="J51" s="170">
        <f t="shared" ref="J51:J52" si="9">ROUND(+H51*(1+$J$1),0)</f>
        <v>745</v>
      </c>
      <c r="K51" s="96" t="s">
        <v>48</v>
      </c>
      <c r="L51" s="198"/>
    </row>
    <row r="52" spans="1:12" ht="16.5" thickBot="1" x14ac:dyDescent="0.3">
      <c r="A52" s="259" t="s">
        <v>974</v>
      </c>
      <c r="B52" s="268" t="s">
        <v>1</v>
      </c>
      <c r="C52" s="265">
        <v>280</v>
      </c>
      <c r="D52" s="85">
        <v>380</v>
      </c>
      <c r="E52" s="85">
        <v>517.54999999999995</v>
      </c>
      <c r="F52" s="173">
        <v>698.4</v>
      </c>
      <c r="G52" s="228">
        <v>838.07999999999993</v>
      </c>
      <c r="H52" s="173">
        <f t="shared" si="2"/>
        <v>978.03935999999999</v>
      </c>
      <c r="I52" s="170">
        <f t="shared" si="3"/>
        <v>1114.8243359040273</v>
      </c>
      <c r="J52" s="170">
        <f t="shared" si="9"/>
        <v>1301</v>
      </c>
      <c r="K52" s="96" t="s">
        <v>49</v>
      </c>
      <c r="L52" s="198"/>
    </row>
    <row r="53" spans="1:12" ht="17.25" customHeight="1" thickBot="1" x14ac:dyDescent="0.3">
      <c r="A53" s="97" t="s">
        <v>50</v>
      </c>
      <c r="B53" s="269"/>
      <c r="C53" s="58"/>
      <c r="D53" s="34"/>
      <c r="E53" s="34"/>
      <c r="F53" s="34"/>
      <c r="G53" s="34"/>
      <c r="H53" s="34"/>
      <c r="I53" s="34"/>
      <c r="J53" s="34"/>
      <c r="K53" s="99"/>
      <c r="L53" s="198"/>
    </row>
    <row r="54" spans="1:12" ht="68.25" thickBot="1" x14ac:dyDescent="0.3">
      <c r="A54" s="259">
        <v>101000</v>
      </c>
      <c r="B54" s="268" t="s">
        <v>1</v>
      </c>
      <c r="C54" s="265">
        <v>280</v>
      </c>
      <c r="D54" s="84">
        <v>380</v>
      </c>
      <c r="E54" s="84">
        <v>517.54999999999995</v>
      </c>
      <c r="F54" s="173">
        <v>698.4</v>
      </c>
      <c r="G54" s="228">
        <f>+F54*1.2</f>
        <v>838.07999999999993</v>
      </c>
      <c r="H54" s="173">
        <f t="shared" si="2"/>
        <v>978.03935999999999</v>
      </c>
      <c r="I54" s="170">
        <f t="shared" si="3"/>
        <v>1114.8243359040273</v>
      </c>
      <c r="J54" s="170">
        <f t="shared" ref="J54:J56" si="10">ROUND(+H54*(1+$J$1),0)</f>
        <v>1301</v>
      </c>
      <c r="K54" s="96" t="s">
        <v>51</v>
      </c>
      <c r="L54" s="198"/>
    </row>
    <row r="55" spans="1:12" ht="68.25" thickBot="1" x14ac:dyDescent="0.3">
      <c r="A55" s="259">
        <v>111000</v>
      </c>
      <c r="B55" s="268" t="s">
        <v>1</v>
      </c>
      <c r="C55" s="265">
        <v>280</v>
      </c>
      <c r="D55" s="85">
        <v>380</v>
      </c>
      <c r="E55" s="85">
        <v>517.54999999999995</v>
      </c>
      <c r="F55" s="173">
        <v>698.4</v>
      </c>
      <c r="G55" s="228">
        <f t="shared" ref="G55:G60" si="11">+F55*1.2</f>
        <v>838.07999999999993</v>
      </c>
      <c r="H55" s="173">
        <f t="shared" si="2"/>
        <v>978.03935999999999</v>
      </c>
      <c r="I55" s="170">
        <f t="shared" si="3"/>
        <v>1114.8243359040273</v>
      </c>
      <c r="J55" s="170">
        <f t="shared" si="10"/>
        <v>1301</v>
      </c>
      <c r="K55" s="96" t="s">
        <v>52</v>
      </c>
      <c r="L55" s="198"/>
    </row>
    <row r="56" spans="1:12" ht="41.25" thickBot="1" x14ac:dyDescent="0.3">
      <c r="A56" s="259">
        <v>112000</v>
      </c>
      <c r="B56" s="268" t="s">
        <v>1</v>
      </c>
      <c r="C56" s="265">
        <v>280</v>
      </c>
      <c r="D56" s="85">
        <v>380</v>
      </c>
      <c r="E56" s="85">
        <v>517.54999999999995</v>
      </c>
      <c r="F56" s="173">
        <v>698.4</v>
      </c>
      <c r="G56" s="228">
        <f t="shared" si="11"/>
        <v>838.07999999999993</v>
      </c>
      <c r="H56" s="173">
        <f t="shared" si="2"/>
        <v>978.03935999999999</v>
      </c>
      <c r="I56" s="170">
        <f t="shared" si="3"/>
        <v>1114.8243359040273</v>
      </c>
      <c r="J56" s="170">
        <f t="shared" si="10"/>
        <v>1301</v>
      </c>
      <c r="K56" s="96" t="s">
        <v>53</v>
      </c>
      <c r="L56" s="198"/>
    </row>
    <row r="57" spans="1:12" ht="16.5" customHeight="1" thickBot="1" x14ac:dyDescent="0.3">
      <c r="A57" s="97" t="s">
        <v>54</v>
      </c>
      <c r="B57" s="270"/>
      <c r="C57" s="3"/>
      <c r="D57" s="35"/>
      <c r="E57" s="35"/>
      <c r="F57" s="35"/>
      <c r="G57" s="35"/>
      <c r="H57" s="35"/>
      <c r="I57" s="35"/>
      <c r="J57" s="35"/>
      <c r="K57" s="100"/>
      <c r="L57" s="198"/>
    </row>
    <row r="58" spans="1:12" ht="27.75" thickBot="1" x14ac:dyDescent="0.3">
      <c r="A58" s="259">
        <v>120000</v>
      </c>
      <c r="B58" s="271" t="s">
        <v>1</v>
      </c>
      <c r="C58" s="2">
        <v>280</v>
      </c>
      <c r="D58" s="84">
        <v>380</v>
      </c>
      <c r="E58" s="84">
        <v>517.54999999999995</v>
      </c>
      <c r="F58" s="174">
        <v>698.4</v>
      </c>
      <c r="G58" s="228">
        <f t="shared" si="11"/>
        <v>838.07999999999993</v>
      </c>
      <c r="H58" s="174">
        <f t="shared" si="2"/>
        <v>978.03935999999999</v>
      </c>
      <c r="I58" s="170">
        <f t="shared" si="3"/>
        <v>1114.8243359040273</v>
      </c>
      <c r="J58" s="170">
        <f t="shared" ref="J58:J60" si="12">ROUND(+H58*(1+$J$1),0)</f>
        <v>1301</v>
      </c>
      <c r="K58" s="101" t="s">
        <v>55</v>
      </c>
      <c r="L58" s="198"/>
    </row>
    <row r="59" spans="1:12" ht="27.75" thickBot="1" x14ac:dyDescent="0.3">
      <c r="A59" s="259">
        <v>131000</v>
      </c>
      <c r="B59" s="127" t="s">
        <v>1</v>
      </c>
      <c r="C59" s="2">
        <v>280</v>
      </c>
      <c r="D59" s="85">
        <v>380</v>
      </c>
      <c r="E59" s="85">
        <v>517.54999999999995</v>
      </c>
      <c r="F59" s="84">
        <v>698.4</v>
      </c>
      <c r="G59" s="228">
        <f t="shared" si="11"/>
        <v>838.07999999999993</v>
      </c>
      <c r="H59" s="175">
        <f t="shared" si="2"/>
        <v>978.03935999999999</v>
      </c>
      <c r="I59" s="170">
        <f t="shared" si="3"/>
        <v>1114.8243359040273</v>
      </c>
      <c r="J59" s="170">
        <f t="shared" si="12"/>
        <v>1301</v>
      </c>
      <c r="K59" s="92" t="s">
        <v>56</v>
      </c>
      <c r="L59" s="198"/>
    </row>
    <row r="60" spans="1:12" ht="95.25" thickBot="1" x14ac:dyDescent="0.3">
      <c r="A60" s="260">
        <v>132000</v>
      </c>
      <c r="B60" s="127" t="s">
        <v>1</v>
      </c>
      <c r="C60" s="2">
        <v>280</v>
      </c>
      <c r="D60" s="84">
        <v>380</v>
      </c>
      <c r="E60" s="84">
        <v>517.54999999999995</v>
      </c>
      <c r="F60" s="175">
        <v>698.4</v>
      </c>
      <c r="G60" s="230">
        <f t="shared" si="11"/>
        <v>838.07999999999993</v>
      </c>
      <c r="H60" s="175">
        <f t="shared" si="2"/>
        <v>978.03935999999999</v>
      </c>
      <c r="I60" s="170">
        <f t="shared" si="3"/>
        <v>1114.8243359040273</v>
      </c>
      <c r="J60" s="170">
        <f t="shared" si="12"/>
        <v>1301</v>
      </c>
      <c r="K60" s="92" t="s">
        <v>57</v>
      </c>
      <c r="L60" s="198"/>
    </row>
    <row r="61" spans="1:12" ht="16.5" customHeight="1" thickBot="1" x14ac:dyDescent="0.3">
      <c r="A61" s="97" t="s">
        <v>58</v>
      </c>
      <c r="B61" s="270"/>
      <c r="C61" s="3"/>
      <c r="D61" s="35"/>
      <c r="E61" s="35"/>
      <c r="F61" s="35"/>
      <c r="G61" s="35"/>
      <c r="H61" s="35"/>
      <c r="I61" s="35"/>
      <c r="J61" s="35"/>
      <c r="K61" s="100"/>
      <c r="L61" s="198"/>
    </row>
    <row r="62" spans="1:12" ht="16.5" thickBot="1" x14ac:dyDescent="0.3">
      <c r="A62" s="259">
        <v>20130.099999999999</v>
      </c>
      <c r="B62" s="268" t="s">
        <v>59</v>
      </c>
      <c r="C62" s="265">
        <v>221</v>
      </c>
      <c r="D62" s="84">
        <f>+C62*$D$1</f>
        <v>299.89999999999998</v>
      </c>
      <c r="E62" s="84">
        <f t="shared" si="1"/>
        <v>407.86399999999998</v>
      </c>
      <c r="F62" s="173">
        <v>550.1</v>
      </c>
      <c r="G62" s="228">
        <v>659.8</v>
      </c>
      <c r="H62" s="173">
        <f t="shared" si="2"/>
        <v>769.98659999999995</v>
      </c>
      <c r="I62" s="170">
        <f t="shared" si="3"/>
        <v>877.46358183376174</v>
      </c>
      <c r="J62" s="170">
        <f t="shared" ref="J62:J66" si="13">ROUND(+H62*(1+$J$1),0)</f>
        <v>1024</v>
      </c>
      <c r="K62" s="96" t="s">
        <v>60</v>
      </c>
      <c r="L62" s="198"/>
    </row>
    <row r="63" spans="1:12" ht="54.75" thickBot="1" x14ac:dyDescent="0.3">
      <c r="A63" s="259">
        <v>141100</v>
      </c>
      <c r="B63" s="268" t="s">
        <v>59</v>
      </c>
      <c r="C63" s="265">
        <v>280</v>
      </c>
      <c r="D63" s="85">
        <v>380</v>
      </c>
      <c r="E63" s="85">
        <v>517.54999999999995</v>
      </c>
      <c r="F63" s="173">
        <v>698.4</v>
      </c>
      <c r="G63" s="228">
        <v>838.07999999999993</v>
      </c>
      <c r="H63" s="173">
        <f t="shared" si="2"/>
        <v>978.03935999999999</v>
      </c>
      <c r="I63" s="170">
        <f t="shared" si="3"/>
        <v>1114.8243359040273</v>
      </c>
      <c r="J63" s="170">
        <f t="shared" si="13"/>
        <v>1301</v>
      </c>
      <c r="K63" s="96" t="s">
        <v>61</v>
      </c>
      <c r="L63" s="198"/>
    </row>
    <row r="64" spans="1:12" ht="41.25" thickBot="1" x14ac:dyDescent="0.3">
      <c r="A64" s="259">
        <v>141200</v>
      </c>
      <c r="B64" s="268" t="s">
        <v>59</v>
      </c>
      <c r="C64" s="265">
        <v>280</v>
      </c>
      <c r="D64" s="85">
        <v>380</v>
      </c>
      <c r="E64" s="85">
        <v>517.54999999999995</v>
      </c>
      <c r="F64" s="173">
        <v>698.4</v>
      </c>
      <c r="G64" s="228">
        <v>838.07999999999993</v>
      </c>
      <c r="H64" s="173">
        <f t="shared" si="2"/>
        <v>978.03935999999999</v>
      </c>
      <c r="I64" s="170">
        <f t="shared" si="3"/>
        <v>1114.8243359040273</v>
      </c>
      <c r="J64" s="170">
        <f t="shared" si="13"/>
        <v>1301</v>
      </c>
      <c r="K64" s="96" t="s">
        <v>62</v>
      </c>
      <c r="L64" s="198"/>
    </row>
    <row r="65" spans="1:12" ht="81.75" thickBot="1" x14ac:dyDescent="0.3">
      <c r="A65" s="259">
        <v>141300</v>
      </c>
      <c r="B65" s="268" t="s">
        <v>59</v>
      </c>
      <c r="C65" s="265">
        <v>280</v>
      </c>
      <c r="D65" s="85">
        <v>380</v>
      </c>
      <c r="E65" s="85">
        <v>517.54999999999995</v>
      </c>
      <c r="F65" s="173">
        <v>698.4</v>
      </c>
      <c r="G65" s="228">
        <v>838.07999999999993</v>
      </c>
      <c r="H65" s="173">
        <f t="shared" si="2"/>
        <v>978.03935999999999</v>
      </c>
      <c r="I65" s="170">
        <f t="shared" si="3"/>
        <v>1114.8243359040273</v>
      </c>
      <c r="J65" s="170">
        <f t="shared" si="13"/>
        <v>1301</v>
      </c>
      <c r="K65" s="96" t="s">
        <v>63</v>
      </c>
      <c r="L65" s="198"/>
    </row>
    <row r="66" spans="1:12" ht="54.75" thickBot="1" x14ac:dyDescent="0.3">
      <c r="A66" s="261">
        <v>141400</v>
      </c>
      <c r="B66" s="271" t="s">
        <v>59</v>
      </c>
      <c r="C66" s="266">
        <v>280</v>
      </c>
      <c r="D66" s="136">
        <v>380</v>
      </c>
      <c r="E66" s="85">
        <v>517.54999999999995</v>
      </c>
      <c r="F66" s="174">
        <v>698.4</v>
      </c>
      <c r="G66" s="229">
        <v>838.07999999999993</v>
      </c>
      <c r="H66" s="174">
        <f t="shared" si="2"/>
        <v>978.03935999999999</v>
      </c>
      <c r="I66" s="170">
        <f t="shared" si="3"/>
        <v>1114.8243359040273</v>
      </c>
      <c r="J66" s="170">
        <f t="shared" si="13"/>
        <v>1301</v>
      </c>
      <c r="K66" s="101" t="s">
        <v>64</v>
      </c>
      <c r="L66" s="198"/>
    </row>
    <row r="67" spans="1:12" ht="16.5" customHeight="1" x14ac:dyDescent="0.25">
      <c r="A67" s="137" t="s">
        <v>976</v>
      </c>
      <c r="B67" s="272"/>
      <c r="C67" s="138"/>
      <c r="D67" s="139"/>
      <c r="E67" s="139"/>
      <c r="F67" s="139"/>
      <c r="G67" s="139"/>
      <c r="H67" s="139"/>
      <c r="I67" s="139"/>
      <c r="J67" s="139"/>
      <c r="K67" s="140"/>
      <c r="L67" s="198"/>
    </row>
    <row r="68" spans="1:12" ht="16.5" customHeight="1" thickBot="1" x14ac:dyDescent="0.3">
      <c r="A68" s="102" t="s">
        <v>975</v>
      </c>
      <c r="B68" s="273"/>
      <c r="C68" s="19"/>
      <c r="D68" s="36"/>
      <c r="E68" s="36"/>
      <c r="F68" s="36"/>
      <c r="G68" s="36"/>
      <c r="H68" s="36"/>
      <c r="I68" s="36"/>
      <c r="J68" s="36"/>
      <c r="K68" s="103"/>
      <c r="L68" s="198"/>
    </row>
    <row r="69" spans="1:12" ht="41.25" thickBot="1" x14ac:dyDescent="0.3">
      <c r="A69" s="258">
        <v>142110</v>
      </c>
      <c r="B69" s="127" t="s">
        <v>59</v>
      </c>
      <c r="C69" s="2">
        <v>280</v>
      </c>
      <c r="D69" s="84">
        <v>380</v>
      </c>
      <c r="E69" s="84">
        <v>517.54999999999995</v>
      </c>
      <c r="F69" s="175">
        <v>698.4</v>
      </c>
      <c r="G69" s="230">
        <v>838.07999999999993</v>
      </c>
      <c r="H69" s="175">
        <f t="shared" si="2"/>
        <v>978.03935999999999</v>
      </c>
      <c r="I69" s="170">
        <f t="shared" ref="I69:I72" si="14">+J69/1.167</f>
        <v>1114.8243359040273</v>
      </c>
      <c r="J69" s="170">
        <f t="shared" ref="J69:J72" si="15">ROUND(+H69*(1+$J$1),0)</f>
        <v>1301</v>
      </c>
      <c r="K69" s="92" t="s">
        <v>65</v>
      </c>
      <c r="L69" s="198"/>
    </row>
    <row r="70" spans="1:12" ht="95.25" thickBot="1" x14ac:dyDescent="0.3">
      <c r="A70" s="259">
        <v>142120</v>
      </c>
      <c r="B70" s="127" t="s">
        <v>59</v>
      </c>
      <c r="C70" s="2">
        <v>280</v>
      </c>
      <c r="D70" s="85">
        <v>380</v>
      </c>
      <c r="E70" s="85">
        <v>517.54999999999995</v>
      </c>
      <c r="F70" s="173">
        <v>698.4</v>
      </c>
      <c r="G70" s="228">
        <v>838.07999999999993</v>
      </c>
      <c r="H70" s="173">
        <f t="shared" si="2"/>
        <v>978.03935999999999</v>
      </c>
      <c r="I70" s="170">
        <f t="shared" si="14"/>
        <v>1114.8243359040273</v>
      </c>
      <c r="J70" s="170">
        <f t="shared" si="15"/>
        <v>1301</v>
      </c>
      <c r="K70" s="96" t="s">
        <v>66</v>
      </c>
      <c r="L70" s="198"/>
    </row>
    <row r="71" spans="1:12" ht="16.5" thickBot="1" x14ac:dyDescent="0.3">
      <c r="A71" s="260">
        <v>142200</v>
      </c>
      <c r="B71" s="127" t="s">
        <v>59</v>
      </c>
      <c r="C71" s="2">
        <v>280</v>
      </c>
      <c r="D71" s="85">
        <v>380</v>
      </c>
      <c r="E71" s="85">
        <v>517.54999999999995</v>
      </c>
      <c r="F71" s="173">
        <v>698.4</v>
      </c>
      <c r="G71" s="228">
        <v>838.07999999999993</v>
      </c>
      <c r="H71" s="173">
        <f t="shared" ref="H71:H134" si="16">G71*1.167</f>
        <v>978.03935999999999</v>
      </c>
      <c r="I71" s="170">
        <f t="shared" si="14"/>
        <v>1114.8243359040273</v>
      </c>
      <c r="J71" s="170">
        <f t="shared" si="15"/>
        <v>1301</v>
      </c>
      <c r="K71" s="92" t="s">
        <v>925</v>
      </c>
      <c r="L71" s="198"/>
    </row>
    <row r="72" spans="1:12" ht="95.25" thickBot="1" x14ac:dyDescent="0.3">
      <c r="A72" s="259">
        <v>142900</v>
      </c>
      <c r="B72" s="268" t="s">
        <v>59</v>
      </c>
      <c r="C72" s="267">
        <v>280</v>
      </c>
      <c r="D72" s="85">
        <v>380</v>
      </c>
      <c r="E72" s="85">
        <v>517.54999999999995</v>
      </c>
      <c r="F72" s="173">
        <v>698.4</v>
      </c>
      <c r="G72" s="228">
        <v>838.07999999999993</v>
      </c>
      <c r="H72" s="173">
        <f t="shared" si="16"/>
        <v>978.03935999999999</v>
      </c>
      <c r="I72" s="170">
        <f t="shared" si="14"/>
        <v>1114.8243359040273</v>
      </c>
      <c r="J72" s="170">
        <f t="shared" si="15"/>
        <v>1301</v>
      </c>
      <c r="K72" s="96" t="s">
        <v>67</v>
      </c>
      <c r="L72" s="198"/>
    </row>
    <row r="73" spans="1:12" ht="17.25" customHeight="1" thickBot="1" x14ac:dyDescent="0.3">
      <c r="A73" s="97" t="s">
        <v>68</v>
      </c>
      <c r="B73" s="269"/>
      <c r="C73" s="1"/>
      <c r="D73" s="34"/>
      <c r="E73" s="34"/>
      <c r="F73" s="34"/>
      <c r="G73" s="34"/>
      <c r="H73" s="34"/>
      <c r="I73" s="34"/>
      <c r="J73" s="34"/>
      <c r="K73" s="99"/>
      <c r="L73" s="198"/>
    </row>
    <row r="74" spans="1:12" ht="17.25" customHeight="1" thickBot="1" x14ac:dyDescent="0.3">
      <c r="A74" s="97" t="s">
        <v>69</v>
      </c>
      <c r="B74" s="269"/>
      <c r="C74" s="1"/>
      <c r="D74" s="34"/>
      <c r="E74" s="34"/>
      <c r="F74" s="34"/>
      <c r="G74" s="34"/>
      <c r="H74" s="34"/>
      <c r="I74" s="34"/>
      <c r="J74" s="34"/>
      <c r="K74" s="99"/>
      <c r="L74" s="198"/>
    </row>
    <row r="75" spans="1:12" ht="16.5" thickBot="1" x14ac:dyDescent="0.3">
      <c r="A75" s="259">
        <v>151111</v>
      </c>
      <c r="B75" s="268" t="s">
        <v>1</v>
      </c>
      <c r="C75" s="2">
        <v>280</v>
      </c>
      <c r="D75" s="84">
        <v>380</v>
      </c>
      <c r="E75" s="84">
        <v>517.54999999999995</v>
      </c>
      <c r="F75" s="173">
        <v>698.4</v>
      </c>
      <c r="G75" s="228">
        <v>838.07999999999993</v>
      </c>
      <c r="H75" s="173">
        <f t="shared" si="16"/>
        <v>978.03935999999999</v>
      </c>
      <c r="I75" s="170">
        <f t="shared" ref="I75:I112" si="17">+J75/1.167</f>
        <v>1114.8243359040273</v>
      </c>
      <c r="J75" s="170">
        <f t="shared" ref="J75:J112" si="18">ROUND(+H75*(1+$J$1),0)</f>
        <v>1301</v>
      </c>
      <c r="K75" s="96" t="s">
        <v>70</v>
      </c>
      <c r="L75" s="198"/>
    </row>
    <row r="76" spans="1:12" ht="27.75" thickBot="1" x14ac:dyDescent="0.3">
      <c r="A76" s="259">
        <v>151112</v>
      </c>
      <c r="B76" s="268" t="s">
        <v>1</v>
      </c>
      <c r="C76" s="2">
        <v>280</v>
      </c>
      <c r="D76" s="85">
        <v>380</v>
      </c>
      <c r="E76" s="85">
        <v>517.54999999999995</v>
      </c>
      <c r="F76" s="173">
        <v>698.4</v>
      </c>
      <c r="G76" s="228">
        <v>838.07999999999993</v>
      </c>
      <c r="H76" s="173">
        <f t="shared" si="16"/>
        <v>978.03935999999999</v>
      </c>
      <c r="I76" s="170">
        <f t="shared" si="17"/>
        <v>1114.8243359040273</v>
      </c>
      <c r="J76" s="170">
        <f t="shared" si="18"/>
        <v>1301</v>
      </c>
      <c r="K76" s="96" t="s">
        <v>71</v>
      </c>
      <c r="L76" s="198"/>
    </row>
    <row r="77" spans="1:12" ht="27.75" thickBot="1" x14ac:dyDescent="0.3">
      <c r="A77" s="259">
        <v>151113</v>
      </c>
      <c r="B77" s="268" t="s">
        <v>1</v>
      </c>
      <c r="C77" s="2">
        <v>280</v>
      </c>
      <c r="D77" s="85">
        <v>380</v>
      </c>
      <c r="E77" s="85">
        <v>517.54999999999995</v>
      </c>
      <c r="F77" s="173">
        <v>698.4</v>
      </c>
      <c r="G77" s="228">
        <v>838.07999999999993</v>
      </c>
      <c r="H77" s="173">
        <f t="shared" si="16"/>
        <v>978.03935999999999</v>
      </c>
      <c r="I77" s="170">
        <f t="shared" si="17"/>
        <v>1114.8243359040273</v>
      </c>
      <c r="J77" s="170">
        <f t="shared" si="18"/>
        <v>1301</v>
      </c>
      <c r="K77" s="96" t="s">
        <v>72</v>
      </c>
      <c r="L77" s="198"/>
    </row>
    <row r="78" spans="1:12" ht="27.75" thickBot="1" x14ac:dyDescent="0.3">
      <c r="A78" s="259">
        <v>151120</v>
      </c>
      <c r="B78" s="268" t="s">
        <v>1</v>
      </c>
      <c r="C78" s="2">
        <v>280</v>
      </c>
      <c r="D78" s="85">
        <v>380</v>
      </c>
      <c r="E78" s="85">
        <v>517.54999999999995</v>
      </c>
      <c r="F78" s="173">
        <v>698.4</v>
      </c>
      <c r="G78" s="228">
        <v>838.07999999999993</v>
      </c>
      <c r="H78" s="173">
        <f t="shared" si="16"/>
        <v>978.03935999999999</v>
      </c>
      <c r="I78" s="170">
        <f t="shared" si="17"/>
        <v>1114.8243359040273</v>
      </c>
      <c r="J78" s="170">
        <f t="shared" si="18"/>
        <v>1301</v>
      </c>
      <c r="K78" s="96" t="s">
        <v>73</v>
      </c>
      <c r="L78" s="198"/>
    </row>
    <row r="79" spans="1:12" ht="41.25" thickBot="1" x14ac:dyDescent="0.3">
      <c r="A79" s="259">
        <v>151130</v>
      </c>
      <c r="B79" s="268" t="s">
        <v>1</v>
      </c>
      <c r="C79" s="2">
        <v>280</v>
      </c>
      <c r="D79" s="85">
        <v>380</v>
      </c>
      <c r="E79" s="85">
        <v>517.54999999999995</v>
      </c>
      <c r="F79" s="173">
        <v>698.4</v>
      </c>
      <c r="G79" s="228">
        <v>838.07999999999993</v>
      </c>
      <c r="H79" s="173">
        <f t="shared" si="16"/>
        <v>978.03935999999999</v>
      </c>
      <c r="I79" s="170">
        <f t="shared" si="17"/>
        <v>1114.8243359040273</v>
      </c>
      <c r="J79" s="170">
        <f t="shared" si="18"/>
        <v>1301</v>
      </c>
      <c r="K79" s="96" t="s">
        <v>74</v>
      </c>
      <c r="L79" s="198"/>
    </row>
    <row r="80" spans="1:12" ht="27.75" thickBot="1" x14ac:dyDescent="0.3">
      <c r="A80" s="259">
        <v>151199</v>
      </c>
      <c r="B80" s="268" t="s">
        <v>1</v>
      </c>
      <c r="C80" s="2">
        <v>280</v>
      </c>
      <c r="D80" s="85">
        <v>380</v>
      </c>
      <c r="E80" s="85">
        <v>517.54999999999995</v>
      </c>
      <c r="F80" s="173">
        <v>698.4</v>
      </c>
      <c r="G80" s="228">
        <v>838.07999999999993</v>
      </c>
      <c r="H80" s="173">
        <f t="shared" si="16"/>
        <v>978.03935999999999</v>
      </c>
      <c r="I80" s="170">
        <f t="shared" si="17"/>
        <v>1114.8243359040273</v>
      </c>
      <c r="J80" s="170">
        <f t="shared" si="18"/>
        <v>1301</v>
      </c>
      <c r="K80" s="96" t="s">
        <v>75</v>
      </c>
      <c r="L80" s="198"/>
    </row>
    <row r="81" spans="1:12" ht="41.25" thickBot="1" x14ac:dyDescent="0.3">
      <c r="A81" s="259">
        <v>151201</v>
      </c>
      <c r="B81" s="268" t="s">
        <v>1</v>
      </c>
      <c r="C81" s="2">
        <v>280</v>
      </c>
      <c r="D81" s="85">
        <v>380</v>
      </c>
      <c r="E81" s="85">
        <v>517.54999999999995</v>
      </c>
      <c r="F81" s="173">
        <v>698.4</v>
      </c>
      <c r="G81" s="228">
        <v>838.07999999999993</v>
      </c>
      <c r="H81" s="173">
        <f t="shared" si="16"/>
        <v>978.03935999999999</v>
      </c>
      <c r="I81" s="170">
        <f t="shared" si="17"/>
        <v>1114.8243359040273</v>
      </c>
      <c r="J81" s="170">
        <f t="shared" si="18"/>
        <v>1301</v>
      </c>
      <c r="K81" s="96" t="s">
        <v>76</v>
      </c>
      <c r="L81" s="198"/>
    </row>
    <row r="82" spans="1:12" ht="41.25" thickBot="1" x14ac:dyDescent="0.3">
      <c r="A82" s="259">
        <v>151202</v>
      </c>
      <c r="B82" s="268" t="s">
        <v>1</v>
      </c>
      <c r="C82" s="2">
        <v>280</v>
      </c>
      <c r="D82" s="85">
        <v>380</v>
      </c>
      <c r="E82" s="85">
        <v>517.54999999999995</v>
      </c>
      <c r="F82" s="173">
        <v>698.4</v>
      </c>
      <c r="G82" s="228">
        <v>838.07999999999993</v>
      </c>
      <c r="H82" s="173">
        <f t="shared" si="16"/>
        <v>978.03935999999999</v>
      </c>
      <c r="I82" s="170">
        <f t="shared" si="17"/>
        <v>1114.8243359040273</v>
      </c>
      <c r="J82" s="170">
        <f t="shared" si="18"/>
        <v>1301</v>
      </c>
      <c r="K82" s="96" t="s">
        <v>77</v>
      </c>
      <c r="L82" s="198"/>
    </row>
    <row r="83" spans="1:12" ht="27.75" thickBot="1" x14ac:dyDescent="0.3">
      <c r="A83" s="259">
        <v>151203</v>
      </c>
      <c r="B83" s="268" t="s">
        <v>1</v>
      </c>
      <c r="C83" s="2">
        <v>280</v>
      </c>
      <c r="D83" s="85">
        <v>380</v>
      </c>
      <c r="E83" s="85">
        <v>517.54999999999995</v>
      </c>
      <c r="F83" s="173">
        <v>698.4</v>
      </c>
      <c r="G83" s="228">
        <v>838.07999999999993</v>
      </c>
      <c r="H83" s="173">
        <f t="shared" si="16"/>
        <v>978.03935999999999</v>
      </c>
      <c r="I83" s="170">
        <f t="shared" si="17"/>
        <v>1114.8243359040273</v>
      </c>
      <c r="J83" s="170">
        <f t="shared" si="18"/>
        <v>1301</v>
      </c>
      <c r="K83" s="96" t="s">
        <v>78</v>
      </c>
      <c r="L83" s="198"/>
    </row>
    <row r="84" spans="1:12" ht="27.75" thickBot="1" x14ac:dyDescent="0.3">
      <c r="A84" s="259">
        <v>151310</v>
      </c>
      <c r="B84" s="268" t="s">
        <v>1</v>
      </c>
      <c r="C84" s="2">
        <v>280</v>
      </c>
      <c r="D84" s="85">
        <v>380</v>
      </c>
      <c r="E84" s="85">
        <v>517.54999999999995</v>
      </c>
      <c r="F84" s="173">
        <v>698.4</v>
      </c>
      <c r="G84" s="228">
        <v>838.07999999999993</v>
      </c>
      <c r="H84" s="173">
        <f t="shared" si="16"/>
        <v>978.03935999999999</v>
      </c>
      <c r="I84" s="170">
        <f t="shared" si="17"/>
        <v>1114.8243359040273</v>
      </c>
      <c r="J84" s="170">
        <f t="shared" si="18"/>
        <v>1301</v>
      </c>
      <c r="K84" s="96" t="s">
        <v>79</v>
      </c>
      <c r="L84" s="198"/>
    </row>
    <row r="85" spans="1:12" ht="27.75" thickBot="1" x14ac:dyDescent="0.3">
      <c r="A85" s="259">
        <v>151320</v>
      </c>
      <c r="B85" s="268" t="s">
        <v>1</v>
      </c>
      <c r="C85" s="2">
        <v>280</v>
      </c>
      <c r="D85" s="85">
        <v>380</v>
      </c>
      <c r="E85" s="85">
        <v>517.54999999999995</v>
      </c>
      <c r="F85" s="173">
        <v>698.4</v>
      </c>
      <c r="G85" s="228">
        <v>838.07999999999993</v>
      </c>
      <c r="H85" s="173">
        <f t="shared" si="16"/>
        <v>978.03935999999999</v>
      </c>
      <c r="I85" s="170">
        <f t="shared" si="17"/>
        <v>1114.8243359040273</v>
      </c>
      <c r="J85" s="170">
        <f t="shared" si="18"/>
        <v>1301</v>
      </c>
      <c r="K85" s="96" t="s">
        <v>80</v>
      </c>
      <c r="L85" s="198"/>
    </row>
    <row r="86" spans="1:12" ht="27.75" thickBot="1" x14ac:dyDescent="0.3">
      <c r="A86" s="259">
        <v>151330</v>
      </c>
      <c r="B86" s="268" t="s">
        <v>1</v>
      </c>
      <c r="C86" s="2">
        <v>280</v>
      </c>
      <c r="D86" s="85">
        <v>380</v>
      </c>
      <c r="E86" s="85">
        <v>517.54999999999995</v>
      </c>
      <c r="F86" s="173">
        <v>698.4</v>
      </c>
      <c r="G86" s="228">
        <v>838.07999999999993</v>
      </c>
      <c r="H86" s="173">
        <f t="shared" si="16"/>
        <v>978.03935999999999</v>
      </c>
      <c r="I86" s="170">
        <f t="shared" si="17"/>
        <v>1114.8243359040273</v>
      </c>
      <c r="J86" s="170">
        <f t="shared" si="18"/>
        <v>1301</v>
      </c>
      <c r="K86" s="96" t="s">
        <v>81</v>
      </c>
      <c r="L86" s="198"/>
    </row>
    <row r="87" spans="1:12" ht="27.75" thickBot="1" x14ac:dyDescent="0.3">
      <c r="A87" s="259">
        <v>151340</v>
      </c>
      <c r="B87" s="268" t="s">
        <v>1</v>
      </c>
      <c r="C87" s="2">
        <v>280</v>
      </c>
      <c r="D87" s="85">
        <v>380</v>
      </c>
      <c r="E87" s="85">
        <v>517.54999999999995</v>
      </c>
      <c r="F87" s="173">
        <v>698.4</v>
      </c>
      <c r="G87" s="228">
        <v>838.07999999999993</v>
      </c>
      <c r="H87" s="173">
        <f t="shared" si="16"/>
        <v>978.03935999999999</v>
      </c>
      <c r="I87" s="170">
        <f t="shared" si="17"/>
        <v>1114.8243359040273</v>
      </c>
      <c r="J87" s="170">
        <f t="shared" si="18"/>
        <v>1301</v>
      </c>
      <c r="K87" s="96" t="s">
        <v>82</v>
      </c>
      <c r="L87" s="198"/>
    </row>
    <row r="88" spans="1:12" ht="27.75" thickBot="1" x14ac:dyDescent="0.3">
      <c r="A88" s="259">
        <v>151390.1</v>
      </c>
      <c r="B88" s="268" t="s">
        <v>1</v>
      </c>
      <c r="C88" s="2">
        <v>280</v>
      </c>
      <c r="D88" s="85">
        <v>380</v>
      </c>
      <c r="E88" s="85">
        <v>517.54999999999995</v>
      </c>
      <c r="F88" s="173">
        <v>698.4</v>
      </c>
      <c r="G88" s="228">
        <v>838.07999999999993</v>
      </c>
      <c r="H88" s="173">
        <f t="shared" si="16"/>
        <v>978.03935999999999</v>
      </c>
      <c r="I88" s="170">
        <f t="shared" si="17"/>
        <v>1114.8243359040273</v>
      </c>
      <c r="J88" s="170">
        <f t="shared" si="18"/>
        <v>1301</v>
      </c>
      <c r="K88" s="96" t="s">
        <v>83</v>
      </c>
      <c r="L88" s="198"/>
    </row>
    <row r="89" spans="1:12" ht="54.75" thickBot="1" x14ac:dyDescent="0.3">
      <c r="A89" s="259">
        <v>151390.20000000001</v>
      </c>
      <c r="B89" s="268" t="s">
        <v>1</v>
      </c>
      <c r="C89" s="2">
        <v>280</v>
      </c>
      <c r="D89" s="85">
        <v>380</v>
      </c>
      <c r="E89" s="85">
        <v>517.54999999999995</v>
      </c>
      <c r="F89" s="173">
        <v>698.4</v>
      </c>
      <c r="G89" s="228">
        <v>838.07999999999993</v>
      </c>
      <c r="H89" s="173">
        <f t="shared" si="16"/>
        <v>978.03935999999999</v>
      </c>
      <c r="I89" s="170">
        <f t="shared" si="17"/>
        <v>1114.8243359040273</v>
      </c>
      <c r="J89" s="170">
        <f t="shared" si="18"/>
        <v>1301</v>
      </c>
      <c r="K89" s="96" t="s">
        <v>84</v>
      </c>
      <c r="L89" s="198"/>
    </row>
    <row r="90" spans="1:12" ht="27.75" thickBot="1" x14ac:dyDescent="0.3">
      <c r="A90" s="259">
        <v>151410</v>
      </c>
      <c r="B90" s="268" t="s">
        <v>1</v>
      </c>
      <c r="C90" s="2">
        <v>280</v>
      </c>
      <c r="D90" s="85">
        <v>380</v>
      </c>
      <c r="E90" s="85">
        <v>517.54999999999995</v>
      </c>
      <c r="F90" s="173">
        <v>698.4</v>
      </c>
      <c r="G90" s="228">
        <v>838.07999999999993</v>
      </c>
      <c r="H90" s="173">
        <f t="shared" si="16"/>
        <v>978.03935999999999</v>
      </c>
      <c r="I90" s="170">
        <f t="shared" si="17"/>
        <v>1114.8243359040273</v>
      </c>
      <c r="J90" s="170">
        <f t="shared" si="18"/>
        <v>1301</v>
      </c>
      <c r="K90" s="96" t="s">
        <v>85</v>
      </c>
      <c r="L90" s="198"/>
    </row>
    <row r="91" spans="1:12" ht="27.75" thickBot="1" x14ac:dyDescent="0.3">
      <c r="A91" s="259">
        <v>152010</v>
      </c>
      <c r="B91" s="268" t="s">
        <v>1</v>
      </c>
      <c r="C91" s="2">
        <v>280</v>
      </c>
      <c r="D91" s="85">
        <v>380</v>
      </c>
      <c r="E91" s="85">
        <v>517.54999999999995</v>
      </c>
      <c r="F91" s="173">
        <v>698.4</v>
      </c>
      <c r="G91" s="228">
        <v>838.07999999999993</v>
      </c>
      <c r="H91" s="173">
        <f t="shared" si="16"/>
        <v>978.03935999999999</v>
      </c>
      <c r="I91" s="170">
        <f t="shared" si="17"/>
        <v>1114.8243359040273</v>
      </c>
      <c r="J91" s="170">
        <f t="shared" si="18"/>
        <v>1301</v>
      </c>
      <c r="K91" s="96" t="s">
        <v>86</v>
      </c>
      <c r="L91" s="198"/>
    </row>
    <row r="92" spans="1:12" ht="16.5" thickBot="1" x14ac:dyDescent="0.3">
      <c r="A92" s="259">
        <v>152020</v>
      </c>
      <c r="B92" s="268" t="s">
        <v>1</v>
      </c>
      <c r="C92" s="2">
        <v>280</v>
      </c>
      <c r="D92" s="85">
        <v>380</v>
      </c>
      <c r="E92" s="85">
        <v>517.54999999999995</v>
      </c>
      <c r="F92" s="173">
        <v>698.4</v>
      </c>
      <c r="G92" s="228">
        <v>838.07999999999993</v>
      </c>
      <c r="H92" s="173">
        <f t="shared" si="16"/>
        <v>978.03935999999999</v>
      </c>
      <c r="I92" s="170">
        <f t="shared" si="17"/>
        <v>1114.8243359040273</v>
      </c>
      <c r="J92" s="170">
        <f t="shared" si="18"/>
        <v>1301</v>
      </c>
      <c r="K92" s="96" t="s">
        <v>87</v>
      </c>
      <c r="L92" s="198"/>
    </row>
    <row r="93" spans="1:12" ht="16.5" thickBot="1" x14ac:dyDescent="0.3">
      <c r="A93" s="259">
        <v>152030</v>
      </c>
      <c r="B93" s="268" t="s">
        <v>1</v>
      </c>
      <c r="C93" s="2">
        <v>280</v>
      </c>
      <c r="D93" s="85">
        <v>380</v>
      </c>
      <c r="E93" s="85">
        <v>517.54999999999995</v>
      </c>
      <c r="F93" s="173">
        <v>698.4</v>
      </c>
      <c r="G93" s="228">
        <v>838.07999999999993</v>
      </c>
      <c r="H93" s="173">
        <f t="shared" si="16"/>
        <v>978.03935999999999</v>
      </c>
      <c r="I93" s="170">
        <f t="shared" si="17"/>
        <v>1114.8243359040273</v>
      </c>
      <c r="J93" s="170">
        <f t="shared" si="18"/>
        <v>1301</v>
      </c>
      <c r="K93" s="96" t="s">
        <v>88</v>
      </c>
      <c r="L93" s="198"/>
    </row>
    <row r="94" spans="1:12" ht="16.5" thickBot="1" x14ac:dyDescent="0.3">
      <c r="A94" s="259">
        <v>152090.1</v>
      </c>
      <c r="B94" s="268" t="s">
        <v>1</v>
      </c>
      <c r="C94" s="2">
        <v>280</v>
      </c>
      <c r="D94" s="85">
        <v>380</v>
      </c>
      <c r="E94" s="85">
        <v>517.54999999999995</v>
      </c>
      <c r="F94" s="173">
        <v>698.4</v>
      </c>
      <c r="G94" s="228">
        <v>838.07999999999993</v>
      </c>
      <c r="H94" s="173">
        <f t="shared" si="16"/>
        <v>978.03935999999999</v>
      </c>
      <c r="I94" s="170">
        <f t="shared" si="17"/>
        <v>1114.8243359040273</v>
      </c>
      <c r="J94" s="170">
        <f t="shared" si="18"/>
        <v>1301</v>
      </c>
      <c r="K94" s="96" t="s">
        <v>89</v>
      </c>
      <c r="L94" s="198"/>
    </row>
    <row r="95" spans="1:12" ht="41.25" thickBot="1" x14ac:dyDescent="0.3">
      <c r="A95" s="259">
        <v>152090.20000000001</v>
      </c>
      <c r="B95" s="268" t="s">
        <v>1</v>
      </c>
      <c r="C95" s="2">
        <v>280</v>
      </c>
      <c r="D95" s="85">
        <v>380</v>
      </c>
      <c r="E95" s="85">
        <v>517.54999999999995</v>
      </c>
      <c r="F95" s="173">
        <v>698.4</v>
      </c>
      <c r="G95" s="228">
        <v>838.07999999999993</v>
      </c>
      <c r="H95" s="173">
        <f t="shared" si="16"/>
        <v>978.03935999999999</v>
      </c>
      <c r="I95" s="170">
        <f t="shared" si="17"/>
        <v>1114.8243359040273</v>
      </c>
      <c r="J95" s="170">
        <f t="shared" si="18"/>
        <v>1301</v>
      </c>
      <c r="K95" s="96" t="s">
        <v>90</v>
      </c>
      <c r="L95" s="198"/>
    </row>
    <row r="96" spans="1:12" ht="27.75" thickBot="1" x14ac:dyDescent="0.3">
      <c r="A96" s="259">
        <v>152090.29999999999</v>
      </c>
      <c r="B96" s="268" t="s">
        <v>1</v>
      </c>
      <c r="C96" s="2">
        <v>120</v>
      </c>
      <c r="D96" s="85">
        <v>280</v>
      </c>
      <c r="E96" s="85">
        <v>395</v>
      </c>
      <c r="F96" s="173">
        <f t="shared" ref="F96:F104" si="19">+E96*$F$1</f>
        <v>533.25</v>
      </c>
      <c r="G96" s="228">
        <v>639.20000000000005</v>
      </c>
      <c r="H96" s="173">
        <f t="shared" si="16"/>
        <v>745.94640000000004</v>
      </c>
      <c r="I96" s="170">
        <f t="shared" si="17"/>
        <v>850.04284490145665</v>
      </c>
      <c r="J96" s="170">
        <f t="shared" si="18"/>
        <v>992</v>
      </c>
      <c r="K96" s="96" t="s">
        <v>91</v>
      </c>
      <c r="L96" s="199"/>
    </row>
    <row r="97" spans="1:12" ht="16.5" thickBot="1" x14ac:dyDescent="0.3">
      <c r="A97" s="259">
        <v>153110</v>
      </c>
      <c r="B97" s="268" t="s">
        <v>1</v>
      </c>
      <c r="C97" s="2">
        <v>280</v>
      </c>
      <c r="D97" s="85">
        <v>380</v>
      </c>
      <c r="E97" s="85">
        <v>517.54999999999995</v>
      </c>
      <c r="F97" s="173">
        <v>698.4</v>
      </c>
      <c r="G97" s="228">
        <v>838.07999999999993</v>
      </c>
      <c r="H97" s="173">
        <f t="shared" si="16"/>
        <v>978.03935999999999</v>
      </c>
      <c r="I97" s="170">
        <f t="shared" si="17"/>
        <v>1114.8243359040273</v>
      </c>
      <c r="J97" s="170">
        <f t="shared" si="18"/>
        <v>1301</v>
      </c>
      <c r="K97" s="96" t="s">
        <v>92</v>
      </c>
      <c r="L97" s="198"/>
    </row>
    <row r="98" spans="1:12" ht="27.75" thickBot="1" x14ac:dyDescent="0.3">
      <c r="A98" s="259">
        <v>153120</v>
      </c>
      <c r="B98" s="268" t="s">
        <v>1</v>
      </c>
      <c r="C98" s="2">
        <v>280</v>
      </c>
      <c r="D98" s="85">
        <v>380</v>
      </c>
      <c r="E98" s="85">
        <v>517.54999999999995</v>
      </c>
      <c r="F98" s="173">
        <v>698.4</v>
      </c>
      <c r="G98" s="228">
        <v>838.07999999999993</v>
      </c>
      <c r="H98" s="173">
        <f t="shared" si="16"/>
        <v>978.03935999999999</v>
      </c>
      <c r="I98" s="170">
        <f t="shared" si="17"/>
        <v>1114.8243359040273</v>
      </c>
      <c r="J98" s="170">
        <f t="shared" si="18"/>
        <v>1301</v>
      </c>
      <c r="K98" s="96" t="s">
        <v>93</v>
      </c>
      <c r="L98" s="198"/>
    </row>
    <row r="99" spans="1:12" ht="41.25" thickBot="1" x14ac:dyDescent="0.3">
      <c r="A99" s="259">
        <v>153139</v>
      </c>
      <c r="B99" s="268" t="s">
        <v>1</v>
      </c>
      <c r="C99" s="2">
        <v>280</v>
      </c>
      <c r="D99" s="85">
        <v>380</v>
      </c>
      <c r="E99" s="85">
        <v>517.54999999999995</v>
      </c>
      <c r="F99" s="173">
        <v>698.4</v>
      </c>
      <c r="G99" s="228">
        <v>838.07999999999993</v>
      </c>
      <c r="H99" s="173">
        <f t="shared" si="16"/>
        <v>978.03935999999999</v>
      </c>
      <c r="I99" s="170">
        <f t="shared" si="17"/>
        <v>1114.8243359040273</v>
      </c>
      <c r="J99" s="170">
        <f t="shared" si="18"/>
        <v>1301</v>
      </c>
      <c r="K99" s="96" t="s">
        <v>94</v>
      </c>
      <c r="L99" s="198"/>
    </row>
    <row r="100" spans="1:12" ht="41.25" thickBot="1" x14ac:dyDescent="0.3">
      <c r="A100" s="259">
        <v>153200</v>
      </c>
      <c r="B100" s="268" t="s">
        <v>1</v>
      </c>
      <c r="C100" s="2">
        <v>280</v>
      </c>
      <c r="D100" s="85">
        <v>380</v>
      </c>
      <c r="E100" s="85">
        <v>517.54999999999995</v>
      </c>
      <c r="F100" s="173">
        <v>698.4</v>
      </c>
      <c r="G100" s="228">
        <v>838.07999999999993</v>
      </c>
      <c r="H100" s="173">
        <f t="shared" si="16"/>
        <v>978.03935999999999</v>
      </c>
      <c r="I100" s="170">
        <f t="shared" si="17"/>
        <v>1114.8243359040273</v>
      </c>
      <c r="J100" s="170">
        <f t="shared" si="18"/>
        <v>1301</v>
      </c>
      <c r="K100" s="96" t="s">
        <v>95</v>
      </c>
      <c r="L100" s="198"/>
    </row>
    <row r="101" spans="1:12" ht="27.75" thickBot="1" x14ac:dyDescent="0.3">
      <c r="A101" s="259">
        <v>153300</v>
      </c>
      <c r="B101" s="268" t="s">
        <v>1</v>
      </c>
      <c r="C101" s="2">
        <v>280</v>
      </c>
      <c r="D101" s="85">
        <v>380</v>
      </c>
      <c r="E101" s="85">
        <v>517.54999999999995</v>
      </c>
      <c r="F101" s="173">
        <v>698.4</v>
      </c>
      <c r="G101" s="228">
        <v>838.07999999999993</v>
      </c>
      <c r="H101" s="173">
        <f t="shared" si="16"/>
        <v>978.03935999999999</v>
      </c>
      <c r="I101" s="170">
        <f t="shared" si="17"/>
        <v>1114.8243359040273</v>
      </c>
      <c r="J101" s="170">
        <f t="shared" si="18"/>
        <v>1301</v>
      </c>
      <c r="K101" s="96" t="s">
        <v>96</v>
      </c>
      <c r="L101" s="198"/>
    </row>
    <row r="102" spans="1:12" ht="27.75" thickBot="1" x14ac:dyDescent="0.3">
      <c r="A102" s="259">
        <v>154110</v>
      </c>
      <c r="B102" s="268" t="s">
        <v>1</v>
      </c>
      <c r="C102" s="2">
        <v>280</v>
      </c>
      <c r="D102" s="85">
        <v>380</v>
      </c>
      <c r="E102" s="85">
        <v>517.54999999999995</v>
      </c>
      <c r="F102" s="173">
        <v>698.4</v>
      </c>
      <c r="G102" s="228">
        <v>838.07999999999993</v>
      </c>
      <c r="H102" s="173">
        <f t="shared" si="16"/>
        <v>978.03935999999999</v>
      </c>
      <c r="I102" s="170">
        <f t="shared" si="17"/>
        <v>1114.8243359040273</v>
      </c>
      <c r="J102" s="170">
        <f t="shared" si="18"/>
        <v>1301</v>
      </c>
      <c r="K102" s="96" t="s">
        <v>97</v>
      </c>
      <c r="L102" s="198"/>
    </row>
    <row r="103" spans="1:12" ht="27.75" thickBot="1" x14ac:dyDescent="0.3">
      <c r="A103" s="259">
        <v>154120</v>
      </c>
      <c r="B103" s="268" t="s">
        <v>1</v>
      </c>
      <c r="C103" s="2">
        <v>280</v>
      </c>
      <c r="D103" s="85">
        <v>380</v>
      </c>
      <c r="E103" s="85">
        <v>517.54999999999995</v>
      </c>
      <c r="F103" s="173">
        <v>698.4</v>
      </c>
      <c r="G103" s="228">
        <v>838.07999999999993</v>
      </c>
      <c r="H103" s="173">
        <f t="shared" si="16"/>
        <v>978.03935999999999</v>
      </c>
      <c r="I103" s="170">
        <f t="shared" si="17"/>
        <v>1114.8243359040273</v>
      </c>
      <c r="J103" s="170">
        <f t="shared" si="18"/>
        <v>1301</v>
      </c>
      <c r="K103" s="96" t="s">
        <v>98</v>
      </c>
      <c r="L103" s="198"/>
    </row>
    <row r="104" spans="1:12" ht="16.5" thickBot="1" x14ac:dyDescent="0.3">
      <c r="A104" s="259">
        <v>154120.1</v>
      </c>
      <c r="B104" s="268" t="s">
        <v>1</v>
      </c>
      <c r="C104" s="2">
        <v>160</v>
      </c>
      <c r="D104" s="83">
        <v>218</v>
      </c>
      <c r="E104" s="83">
        <f t="shared" ref="E104" si="20">+D104*1.36</f>
        <v>296.48</v>
      </c>
      <c r="F104" s="172">
        <f t="shared" si="19"/>
        <v>400.24800000000005</v>
      </c>
      <c r="G104" s="227">
        <v>479.9</v>
      </c>
      <c r="H104" s="172">
        <f t="shared" si="16"/>
        <v>560.04330000000004</v>
      </c>
      <c r="I104" s="170">
        <f t="shared" si="17"/>
        <v>638.38903170522701</v>
      </c>
      <c r="J104" s="170">
        <f t="shared" si="18"/>
        <v>745</v>
      </c>
      <c r="K104" s="96" t="s">
        <v>99</v>
      </c>
      <c r="L104" s="198"/>
    </row>
    <row r="105" spans="1:12" ht="27.75" thickBot="1" x14ac:dyDescent="0.3">
      <c r="A105" s="259">
        <v>154191</v>
      </c>
      <c r="B105" s="268" t="s">
        <v>1</v>
      </c>
      <c r="C105" s="2">
        <v>280</v>
      </c>
      <c r="D105" s="85">
        <v>380</v>
      </c>
      <c r="E105" s="85">
        <v>517.54999999999995</v>
      </c>
      <c r="F105" s="173">
        <v>698.4</v>
      </c>
      <c r="G105" s="228">
        <v>838.07999999999993</v>
      </c>
      <c r="H105" s="173">
        <f t="shared" si="16"/>
        <v>978.03935999999999</v>
      </c>
      <c r="I105" s="170">
        <f t="shared" si="17"/>
        <v>1114.8243359040273</v>
      </c>
      <c r="J105" s="170">
        <f t="shared" si="18"/>
        <v>1301</v>
      </c>
      <c r="K105" s="96" t="s">
        <v>100</v>
      </c>
      <c r="L105" s="198"/>
    </row>
    <row r="106" spans="1:12" ht="54.75" thickBot="1" x14ac:dyDescent="0.3">
      <c r="A106" s="259">
        <v>154199</v>
      </c>
      <c r="B106" s="268" t="s">
        <v>1</v>
      </c>
      <c r="C106" s="2">
        <v>280</v>
      </c>
      <c r="D106" s="85">
        <v>380</v>
      </c>
      <c r="E106" s="85">
        <v>517.54999999999995</v>
      </c>
      <c r="F106" s="173">
        <v>698.4</v>
      </c>
      <c r="G106" s="228">
        <v>838.07999999999993</v>
      </c>
      <c r="H106" s="173">
        <f t="shared" si="16"/>
        <v>978.03935999999999</v>
      </c>
      <c r="I106" s="170">
        <f t="shared" si="17"/>
        <v>1114.8243359040273</v>
      </c>
      <c r="J106" s="170">
        <f t="shared" si="18"/>
        <v>1301</v>
      </c>
      <c r="K106" s="96" t="s">
        <v>101</v>
      </c>
      <c r="L106" s="198"/>
    </row>
    <row r="107" spans="1:12" ht="16.5" thickBot="1" x14ac:dyDescent="0.3">
      <c r="A107" s="259">
        <v>154200.1</v>
      </c>
      <c r="B107" s="268" t="s">
        <v>1</v>
      </c>
      <c r="C107" s="2">
        <v>280</v>
      </c>
      <c r="D107" s="85">
        <v>380</v>
      </c>
      <c r="E107" s="85">
        <v>517.54999999999995</v>
      </c>
      <c r="F107" s="173">
        <v>698.4</v>
      </c>
      <c r="G107" s="228">
        <v>838.07999999999993</v>
      </c>
      <c r="H107" s="173">
        <f t="shared" si="16"/>
        <v>978.03935999999999</v>
      </c>
      <c r="I107" s="170">
        <f t="shared" si="17"/>
        <v>1114.8243359040273</v>
      </c>
      <c r="J107" s="170">
        <f t="shared" si="18"/>
        <v>1301</v>
      </c>
      <c r="K107" s="96" t="s">
        <v>102</v>
      </c>
      <c r="L107" s="198"/>
    </row>
    <row r="108" spans="1:12" ht="27.75" thickBot="1" x14ac:dyDescent="0.3">
      <c r="A108" s="259">
        <v>154200.20000000001</v>
      </c>
      <c r="B108" s="268" t="s">
        <v>1</v>
      </c>
      <c r="C108" s="2">
        <v>280</v>
      </c>
      <c r="D108" s="85">
        <v>380</v>
      </c>
      <c r="E108" s="85">
        <v>517.54999999999995</v>
      </c>
      <c r="F108" s="173">
        <v>698.4</v>
      </c>
      <c r="G108" s="228">
        <v>838.07999999999993</v>
      </c>
      <c r="H108" s="173">
        <f t="shared" si="16"/>
        <v>978.03935999999999</v>
      </c>
      <c r="I108" s="170">
        <f t="shared" si="17"/>
        <v>1114.8243359040273</v>
      </c>
      <c r="J108" s="170">
        <f t="shared" si="18"/>
        <v>1301</v>
      </c>
      <c r="K108" s="96" t="s">
        <v>103</v>
      </c>
      <c r="L108" s="198"/>
    </row>
    <row r="109" spans="1:12" ht="27.75" thickBot="1" x14ac:dyDescent="0.3">
      <c r="A109" s="259">
        <v>154301</v>
      </c>
      <c r="B109" s="268" t="s">
        <v>1</v>
      </c>
      <c r="C109" s="2">
        <v>280</v>
      </c>
      <c r="D109" s="85">
        <v>380</v>
      </c>
      <c r="E109" s="85">
        <v>517.54999999999995</v>
      </c>
      <c r="F109" s="173">
        <v>698.4</v>
      </c>
      <c r="G109" s="228">
        <v>838.07999999999993</v>
      </c>
      <c r="H109" s="173">
        <f t="shared" si="16"/>
        <v>978.03935999999999</v>
      </c>
      <c r="I109" s="170">
        <f t="shared" si="17"/>
        <v>1114.8243359040273</v>
      </c>
      <c r="J109" s="170">
        <f t="shared" si="18"/>
        <v>1301</v>
      </c>
      <c r="K109" s="96" t="s">
        <v>104</v>
      </c>
      <c r="L109" s="198"/>
    </row>
    <row r="110" spans="1:12" ht="27.75" thickBot="1" x14ac:dyDescent="0.3">
      <c r="A110" s="259">
        <v>154309</v>
      </c>
      <c r="B110" s="268" t="s">
        <v>1</v>
      </c>
      <c r="C110" s="2">
        <v>280</v>
      </c>
      <c r="D110" s="85">
        <v>380</v>
      </c>
      <c r="E110" s="85">
        <v>517.54999999999995</v>
      </c>
      <c r="F110" s="173">
        <v>698.4</v>
      </c>
      <c r="G110" s="228">
        <v>838.07999999999993</v>
      </c>
      <c r="H110" s="173">
        <f t="shared" si="16"/>
        <v>978.03935999999999</v>
      </c>
      <c r="I110" s="170">
        <f t="shared" si="17"/>
        <v>1114.8243359040273</v>
      </c>
      <c r="J110" s="170">
        <f t="shared" si="18"/>
        <v>1301</v>
      </c>
      <c r="K110" s="96" t="s">
        <v>105</v>
      </c>
      <c r="L110" s="198"/>
    </row>
    <row r="111" spans="1:12" ht="16.5" thickBot="1" x14ac:dyDescent="0.3">
      <c r="A111" s="259">
        <v>154410</v>
      </c>
      <c r="B111" s="268" t="s">
        <v>1</v>
      </c>
      <c r="C111" s="2">
        <v>280</v>
      </c>
      <c r="D111" s="85">
        <v>380</v>
      </c>
      <c r="E111" s="85">
        <v>517.54999999999995</v>
      </c>
      <c r="F111" s="173">
        <v>698.4</v>
      </c>
      <c r="G111" s="228">
        <v>838.07999999999993</v>
      </c>
      <c r="H111" s="173">
        <f t="shared" si="16"/>
        <v>978.03935999999999</v>
      </c>
      <c r="I111" s="170">
        <f t="shared" si="17"/>
        <v>1114.8243359040273</v>
      </c>
      <c r="J111" s="170">
        <f t="shared" si="18"/>
        <v>1301</v>
      </c>
      <c r="K111" s="96" t="s">
        <v>106</v>
      </c>
      <c r="L111" s="198"/>
    </row>
    <row r="112" spans="1:12" ht="16.5" thickBot="1" x14ac:dyDescent="0.3">
      <c r="A112" s="259">
        <v>154420</v>
      </c>
      <c r="B112" s="268" t="s">
        <v>1</v>
      </c>
      <c r="C112" s="2">
        <v>280</v>
      </c>
      <c r="D112" s="85">
        <v>380</v>
      </c>
      <c r="E112" s="85">
        <v>517.54999999999995</v>
      </c>
      <c r="F112" s="173">
        <v>698.4</v>
      </c>
      <c r="G112" s="228">
        <v>838.07999999999993</v>
      </c>
      <c r="H112" s="173">
        <f t="shared" si="16"/>
        <v>978.03935999999999</v>
      </c>
      <c r="I112" s="170">
        <f t="shared" si="17"/>
        <v>1114.8243359040273</v>
      </c>
      <c r="J112" s="170">
        <f t="shared" si="18"/>
        <v>1301</v>
      </c>
      <c r="K112" s="96" t="s">
        <v>107</v>
      </c>
      <c r="L112" s="198"/>
    </row>
    <row r="113" spans="1:12" ht="17.25" thickBot="1" x14ac:dyDescent="0.3">
      <c r="A113" s="97" t="s">
        <v>108</v>
      </c>
      <c r="B113" s="269"/>
      <c r="C113" s="1"/>
      <c r="D113" s="34"/>
      <c r="E113" s="34"/>
      <c r="F113" s="34"/>
      <c r="G113" s="34"/>
      <c r="H113" s="34"/>
      <c r="I113" s="34"/>
      <c r="J113" s="34"/>
      <c r="K113" s="99"/>
      <c r="L113" s="198"/>
    </row>
    <row r="114" spans="1:12" ht="16.5" thickBot="1" x14ac:dyDescent="0.3">
      <c r="A114" s="259">
        <v>153131</v>
      </c>
      <c r="B114" s="268" t="s">
        <v>1</v>
      </c>
      <c r="C114" s="2">
        <v>280</v>
      </c>
      <c r="D114" s="84">
        <v>380</v>
      </c>
      <c r="E114" s="84">
        <v>517.54999999999995</v>
      </c>
      <c r="F114" s="173">
        <v>698.4</v>
      </c>
      <c r="G114" s="228">
        <v>838.07999999999993</v>
      </c>
      <c r="H114" s="173">
        <f t="shared" si="16"/>
        <v>978.03935999999999</v>
      </c>
      <c r="I114" s="170">
        <f t="shared" ref="I114:I127" si="21">+J114/1.167</f>
        <v>1114.8243359040273</v>
      </c>
      <c r="J114" s="170">
        <f t="shared" ref="J114:J127" si="22">ROUND(+H114*(1+$J$1),0)</f>
        <v>1301</v>
      </c>
      <c r="K114" s="96" t="s">
        <v>109</v>
      </c>
      <c r="L114" s="198"/>
    </row>
    <row r="115" spans="1:12" ht="16.5" thickBot="1" x14ac:dyDescent="0.3">
      <c r="A115" s="259">
        <v>154911</v>
      </c>
      <c r="B115" s="268" t="s">
        <v>1</v>
      </c>
      <c r="C115" s="2">
        <v>280</v>
      </c>
      <c r="D115" s="85">
        <v>380</v>
      </c>
      <c r="E115" s="85">
        <v>517.54999999999995</v>
      </c>
      <c r="F115" s="173">
        <v>698.4</v>
      </c>
      <c r="G115" s="228">
        <v>838.07999999999993</v>
      </c>
      <c r="H115" s="173">
        <f t="shared" si="16"/>
        <v>978.03935999999999</v>
      </c>
      <c r="I115" s="170">
        <f t="shared" si="21"/>
        <v>1114.8243359040273</v>
      </c>
      <c r="J115" s="170">
        <f t="shared" si="22"/>
        <v>1301</v>
      </c>
      <c r="K115" s="96" t="s">
        <v>110</v>
      </c>
      <c r="L115" s="198"/>
    </row>
    <row r="116" spans="1:12" ht="16.5" thickBot="1" x14ac:dyDescent="0.3">
      <c r="A116" s="259">
        <v>154912</v>
      </c>
      <c r="B116" s="268" t="s">
        <v>1</v>
      </c>
      <c r="C116" s="2">
        <v>280</v>
      </c>
      <c r="D116" s="85">
        <v>380</v>
      </c>
      <c r="E116" s="85">
        <v>517.54999999999995</v>
      </c>
      <c r="F116" s="173">
        <v>698.4</v>
      </c>
      <c r="G116" s="228">
        <v>838.07999999999993</v>
      </c>
      <c r="H116" s="173">
        <f t="shared" si="16"/>
        <v>978.03935999999999</v>
      </c>
      <c r="I116" s="170">
        <f t="shared" si="21"/>
        <v>1114.8243359040273</v>
      </c>
      <c r="J116" s="170">
        <f t="shared" si="22"/>
        <v>1301</v>
      </c>
      <c r="K116" s="96" t="s">
        <v>111</v>
      </c>
      <c r="L116" s="198"/>
    </row>
    <row r="117" spans="1:12" ht="16.5" thickBot="1" x14ac:dyDescent="0.3">
      <c r="A117" s="259">
        <v>154920</v>
      </c>
      <c r="B117" s="268" t="s">
        <v>1</v>
      </c>
      <c r="C117" s="2">
        <v>280</v>
      </c>
      <c r="D117" s="85">
        <v>380</v>
      </c>
      <c r="E117" s="85">
        <v>517.54999999999995</v>
      </c>
      <c r="F117" s="173">
        <v>698.4</v>
      </c>
      <c r="G117" s="228">
        <v>838.07999999999993</v>
      </c>
      <c r="H117" s="173">
        <f t="shared" si="16"/>
        <v>978.03935999999999</v>
      </c>
      <c r="I117" s="170">
        <f t="shared" si="21"/>
        <v>1114.8243359040273</v>
      </c>
      <c r="J117" s="170">
        <f t="shared" si="22"/>
        <v>1301</v>
      </c>
      <c r="K117" s="96" t="s">
        <v>112</v>
      </c>
      <c r="L117" s="198"/>
    </row>
    <row r="118" spans="1:12" ht="27.75" thickBot="1" x14ac:dyDescent="0.3">
      <c r="A118" s="259">
        <v>154930</v>
      </c>
      <c r="B118" s="268" t="s">
        <v>1</v>
      </c>
      <c r="C118" s="2">
        <v>280</v>
      </c>
      <c r="D118" s="85">
        <v>380</v>
      </c>
      <c r="E118" s="85">
        <v>517.54999999999995</v>
      </c>
      <c r="F118" s="173">
        <v>698.4</v>
      </c>
      <c r="G118" s="228">
        <v>838.07999999999993</v>
      </c>
      <c r="H118" s="173">
        <f t="shared" si="16"/>
        <v>978.03935999999999</v>
      </c>
      <c r="I118" s="170">
        <f t="shared" si="21"/>
        <v>1114.8243359040273</v>
      </c>
      <c r="J118" s="170">
        <f t="shared" si="22"/>
        <v>1301</v>
      </c>
      <c r="K118" s="96" t="s">
        <v>113</v>
      </c>
      <c r="L118" s="198"/>
    </row>
    <row r="119" spans="1:12" ht="27.75" thickBot="1" x14ac:dyDescent="0.3">
      <c r="A119" s="259">
        <v>154991</v>
      </c>
      <c r="B119" s="268" t="s">
        <v>1</v>
      </c>
      <c r="C119" s="2">
        <v>280</v>
      </c>
      <c r="D119" s="85">
        <v>380</v>
      </c>
      <c r="E119" s="85">
        <v>517.54999999999995</v>
      </c>
      <c r="F119" s="173">
        <v>698.4</v>
      </c>
      <c r="G119" s="228">
        <v>838.07999999999993</v>
      </c>
      <c r="H119" s="173">
        <f t="shared" si="16"/>
        <v>978.03935999999999</v>
      </c>
      <c r="I119" s="170">
        <f t="shared" si="21"/>
        <v>1114.8243359040273</v>
      </c>
      <c r="J119" s="170">
        <f t="shared" si="22"/>
        <v>1301</v>
      </c>
      <c r="K119" s="96" t="s">
        <v>114</v>
      </c>
      <c r="L119" s="198"/>
    </row>
    <row r="120" spans="1:12" ht="16.5" thickBot="1" x14ac:dyDescent="0.3">
      <c r="A120" s="259">
        <v>154992</v>
      </c>
      <c r="B120" s="268" t="s">
        <v>1</v>
      </c>
      <c r="C120" s="2">
        <v>280</v>
      </c>
      <c r="D120" s="85">
        <v>380</v>
      </c>
      <c r="E120" s="85">
        <v>517.54999999999995</v>
      </c>
      <c r="F120" s="173">
        <v>698.4</v>
      </c>
      <c r="G120" s="228">
        <v>838.07999999999993</v>
      </c>
      <c r="H120" s="173">
        <f t="shared" si="16"/>
        <v>978.03935999999999</v>
      </c>
      <c r="I120" s="170">
        <f t="shared" si="21"/>
        <v>1114.8243359040273</v>
      </c>
      <c r="J120" s="170">
        <f t="shared" si="22"/>
        <v>1301</v>
      </c>
      <c r="K120" s="96" t="s">
        <v>115</v>
      </c>
      <c r="L120" s="198"/>
    </row>
    <row r="121" spans="1:12" ht="16.5" thickBot="1" x14ac:dyDescent="0.3">
      <c r="A121" s="259">
        <v>154999.1</v>
      </c>
      <c r="B121" s="268" t="s">
        <v>1</v>
      </c>
      <c r="C121" s="2">
        <v>280</v>
      </c>
      <c r="D121" s="85">
        <v>380</v>
      </c>
      <c r="E121" s="85">
        <v>517.54999999999995</v>
      </c>
      <c r="F121" s="173">
        <v>698.4</v>
      </c>
      <c r="G121" s="228">
        <v>838.07999999999993</v>
      </c>
      <c r="H121" s="173">
        <f t="shared" si="16"/>
        <v>978.03935999999999</v>
      </c>
      <c r="I121" s="170">
        <f t="shared" si="21"/>
        <v>1114.8243359040273</v>
      </c>
      <c r="J121" s="170">
        <f t="shared" si="22"/>
        <v>1301</v>
      </c>
      <c r="K121" s="96" t="s">
        <v>116</v>
      </c>
      <c r="L121" s="198"/>
    </row>
    <row r="122" spans="1:12" ht="16.5" thickBot="1" x14ac:dyDescent="0.3">
      <c r="A122" s="259">
        <v>154999.20000000001</v>
      </c>
      <c r="B122" s="268" t="s">
        <v>1</v>
      </c>
      <c r="C122" s="2">
        <v>280</v>
      </c>
      <c r="D122" s="85">
        <v>380</v>
      </c>
      <c r="E122" s="85">
        <v>517.54999999999995</v>
      </c>
      <c r="F122" s="173">
        <v>698.4</v>
      </c>
      <c r="G122" s="228">
        <v>838.07999999999993</v>
      </c>
      <c r="H122" s="173">
        <f t="shared" si="16"/>
        <v>978.03935999999999</v>
      </c>
      <c r="I122" s="170">
        <f t="shared" si="21"/>
        <v>1114.8243359040273</v>
      </c>
      <c r="J122" s="170">
        <f t="shared" si="22"/>
        <v>1301</v>
      </c>
      <c r="K122" s="96" t="s">
        <v>117</v>
      </c>
      <c r="L122" s="198"/>
    </row>
    <row r="123" spans="1:12" ht="41.25" thickBot="1" x14ac:dyDescent="0.3">
      <c r="A123" s="258">
        <v>154999.29999999999</v>
      </c>
      <c r="B123" s="127" t="s">
        <v>1</v>
      </c>
      <c r="C123" s="2">
        <v>280</v>
      </c>
      <c r="D123" s="85">
        <v>380</v>
      </c>
      <c r="E123" s="85">
        <v>517.54999999999995</v>
      </c>
      <c r="F123" s="84">
        <v>698.4</v>
      </c>
      <c r="G123" s="228">
        <v>838.07999999999993</v>
      </c>
      <c r="H123" s="173">
        <f t="shared" si="16"/>
        <v>978.03935999999999</v>
      </c>
      <c r="I123" s="170">
        <f t="shared" si="21"/>
        <v>1114.8243359040273</v>
      </c>
      <c r="J123" s="170">
        <f t="shared" si="22"/>
        <v>1301</v>
      </c>
      <c r="K123" s="92" t="s">
        <v>118</v>
      </c>
      <c r="L123" s="198"/>
    </row>
    <row r="124" spans="1:12" ht="78.75" customHeight="1" thickBot="1" x14ac:dyDescent="0.3">
      <c r="A124" s="258">
        <v>154999.4</v>
      </c>
      <c r="B124" s="127" t="s">
        <v>1</v>
      </c>
      <c r="C124" s="2">
        <v>280</v>
      </c>
      <c r="D124" s="85">
        <v>380</v>
      </c>
      <c r="E124" s="85">
        <v>517.54999999999995</v>
      </c>
      <c r="F124" s="85">
        <v>698.4</v>
      </c>
      <c r="G124" s="228">
        <v>838.07999999999993</v>
      </c>
      <c r="H124" s="173">
        <f t="shared" si="16"/>
        <v>978.03935999999999</v>
      </c>
      <c r="I124" s="170">
        <f t="shared" si="21"/>
        <v>1114.8243359040273</v>
      </c>
      <c r="J124" s="170">
        <f t="shared" si="22"/>
        <v>1301</v>
      </c>
      <c r="K124" s="92" t="s">
        <v>119</v>
      </c>
      <c r="L124" s="198"/>
    </row>
    <row r="125" spans="1:12" ht="68.25" thickBot="1" x14ac:dyDescent="0.3">
      <c r="A125" s="258">
        <v>154999.5</v>
      </c>
      <c r="B125" s="127" t="s">
        <v>1</v>
      </c>
      <c r="C125" s="2">
        <v>280</v>
      </c>
      <c r="D125" s="85">
        <v>380</v>
      </c>
      <c r="E125" s="85">
        <v>517.54999999999995</v>
      </c>
      <c r="F125" s="85">
        <v>698.4</v>
      </c>
      <c r="G125" s="228">
        <v>838.07999999999993</v>
      </c>
      <c r="H125" s="173">
        <f t="shared" si="16"/>
        <v>978.03935999999999</v>
      </c>
      <c r="I125" s="170">
        <f t="shared" si="21"/>
        <v>1114.8243359040273</v>
      </c>
      <c r="J125" s="170">
        <f t="shared" si="22"/>
        <v>1301</v>
      </c>
      <c r="K125" s="92" t="s">
        <v>120</v>
      </c>
      <c r="L125" s="198"/>
    </row>
    <row r="126" spans="1:12" ht="16.5" thickBot="1" x14ac:dyDescent="0.3">
      <c r="A126" s="259">
        <v>154999.6</v>
      </c>
      <c r="B126" s="268" t="s">
        <v>1</v>
      </c>
      <c r="C126" s="267">
        <v>280</v>
      </c>
      <c r="D126" s="85">
        <v>380</v>
      </c>
      <c r="E126" s="85">
        <v>517.54999999999995</v>
      </c>
      <c r="F126" s="173">
        <v>698.4</v>
      </c>
      <c r="G126" s="228">
        <v>838.07999999999993</v>
      </c>
      <c r="H126" s="173">
        <f t="shared" si="16"/>
        <v>978.03935999999999</v>
      </c>
      <c r="I126" s="170">
        <f t="shared" si="21"/>
        <v>1114.8243359040273</v>
      </c>
      <c r="J126" s="170">
        <f t="shared" si="22"/>
        <v>1301</v>
      </c>
      <c r="K126" s="96" t="s">
        <v>121</v>
      </c>
      <c r="L126" s="198"/>
    </row>
    <row r="127" spans="1:12" ht="16.5" thickBot="1" x14ac:dyDescent="0.3">
      <c r="A127" s="95">
        <v>154999.70000000001</v>
      </c>
      <c r="B127" s="123" t="s">
        <v>1</v>
      </c>
      <c r="C127" s="10">
        <v>280</v>
      </c>
      <c r="D127" s="85">
        <v>380</v>
      </c>
      <c r="E127" s="85">
        <v>517.54999999999995</v>
      </c>
      <c r="F127" s="173">
        <v>698.4</v>
      </c>
      <c r="G127" s="228">
        <v>838.07999999999993</v>
      </c>
      <c r="H127" s="173">
        <f t="shared" si="16"/>
        <v>978.03935999999999</v>
      </c>
      <c r="I127" s="170">
        <f t="shared" si="21"/>
        <v>1114.8243359040273</v>
      </c>
      <c r="J127" s="170">
        <f t="shared" si="22"/>
        <v>1301</v>
      </c>
      <c r="K127" s="96" t="s">
        <v>122</v>
      </c>
      <c r="L127" s="198"/>
    </row>
    <row r="128" spans="1:12" ht="17.25" customHeight="1" thickBot="1" x14ac:dyDescent="0.3">
      <c r="A128" s="97" t="s">
        <v>123</v>
      </c>
      <c r="B128" s="75"/>
      <c r="C128" s="1"/>
      <c r="D128" s="34"/>
      <c r="E128" s="34"/>
      <c r="F128" s="34"/>
      <c r="G128" s="34"/>
      <c r="H128" s="34"/>
      <c r="I128" s="34"/>
      <c r="J128" s="34"/>
      <c r="K128" s="99"/>
      <c r="L128" s="198"/>
    </row>
    <row r="129" spans="1:12" ht="16.5" thickBot="1" x14ac:dyDescent="0.3">
      <c r="A129" s="95">
        <v>155110</v>
      </c>
      <c r="B129" s="123" t="s">
        <v>124</v>
      </c>
      <c r="C129" s="10">
        <v>280</v>
      </c>
      <c r="D129" s="84">
        <v>380</v>
      </c>
      <c r="E129" s="84">
        <v>517.54999999999995</v>
      </c>
      <c r="F129" s="173">
        <v>698.4</v>
      </c>
      <c r="G129" s="228">
        <v>838.07999999999993</v>
      </c>
      <c r="H129" s="173">
        <f t="shared" si="16"/>
        <v>978.03935999999999</v>
      </c>
      <c r="I129" s="170">
        <f t="shared" ref="I129:I140" si="23">+J129/1.167</f>
        <v>1114.8243359040273</v>
      </c>
      <c r="J129" s="170">
        <f t="shared" ref="J129:J140" si="24">ROUND(+H129*(1+$J$1),0)</f>
        <v>1301</v>
      </c>
      <c r="K129" s="96" t="s">
        <v>125</v>
      </c>
      <c r="L129" s="198"/>
    </row>
    <row r="130" spans="1:12" ht="16.5" thickBot="1" x14ac:dyDescent="0.3">
      <c r="A130" s="95">
        <v>155120.1</v>
      </c>
      <c r="B130" s="123" t="s">
        <v>1</v>
      </c>
      <c r="C130" s="10">
        <v>280</v>
      </c>
      <c r="D130" s="85">
        <v>380</v>
      </c>
      <c r="E130" s="85">
        <v>517.54999999999995</v>
      </c>
      <c r="F130" s="173">
        <v>698.4</v>
      </c>
      <c r="G130" s="228">
        <v>838.07999999999993</v>
      </c>
      <c r="H130" s="173">
        <f t="shared" si="16"/>
        <v>978.03935999999999</v>
      </c>
      <c r="I130" s="170">
        <f t="shared" si="23"/>
        <v>1114.8243359040273</v>
      </c>
      <c r="J130" s="170">
        <f t="shared" si="24"/>
        <v>1301</v>
      </c>
      <c r="K130" s="96" t="s">
        <v>126</v>
      </c>
      <c r="L130" s="198"/>
    </row>
    <row r="131" spans="1:12" ht="27.75" thickBot="1" x14ac:dyDescent="0.3">
      <c r="A131" s="95">
        <v>155120.20000000001</v>
      </c>
      <c r="B131" s="123" t="s">
        <v>124</v>
      </c>
      <c r="C131" s="10">
        <v>280</v>
      </c>
      <c r="D131" s="85">
        <v>380</v>
      </c>
      <c r="E131" s="85">
        <v>517.54999999999995</v>
      </c>
      <c r="F131" s="173">
        <v>698.4</v>
      </c>
      <c r="G131" s="228">
        <v>838.07999999999993</v>
      </c>
      <c r="H131" s="173">
        <f t="shared" si="16"/>
        <v>978.03935999999999</v>
      </c>
      <c r="I131" s="170">
        <f t="shared" si="23"/>
        <v>1114.8243359040273</v>
      </c>
      <c r="J131" s="170">
        <f t="shared" si="24"/>
        <v>1301</v>
      </c>
      <c r="K131" s="96" t="s">
        <v>127</v>
      </c>
      <c r="L131" s="198"/>
    </row>
    <row r="132" spans="1:12" ht="16.5" thickBot="1" x14ac:dyDescent="0.3">
      <c r="A132" s="95">
        <v>155210</v>
      </c>
      <c r="B132" s="123" t="s">
        <v>124</v>
      </c>
      <c r="C132" s="10">
        <v>280</v>
      </c>
      <c r="D132" s="85">
        <v>380</v>
      </c>
      <c r="E132" s="85">
        <v>517.54999999999995</v>
      </c>
      <c r="F132" s="173">
        <v>698.4</v>
      </c>
      <c r="G132" s="228">
        <v>838.07999999999993</v>
      </c>
      <c r="H132" s="173">
        <f t="shared" si="16"/>
        <v>978.03935999999999</v>
      </c>
      <c r="I132" s="170">
        <f t="shared" si="23"/>
        <v>1114.8243359040273</v>
      </c>
      <c r="J132" s="170">
        <f t="shared" si="24"/>
        <v>1301</v>
      </c>
      <c r="K132" s="96" t="s">
        <v>128</v>
      </c>
      <c r="L132" s="198"/>
    </row>
    <row r="133" spans="1:12" ht="27.75" thickBot="1" x14ac:dyDescent="0.3">
      <c r="A133" s="95">
        <v>155290</v>
      </c>
      <c r="B133" s="123" t="s">
        <v>124</v>
      </c>
      <c r="C133" s="10">
        <v>280</v>
      </c>
      <c r="D133" s="85">
        <v>380</v>
      </c>
      <c r="E133" s="85">
        <v>517.54999999999995</v>
      </c>
      <c r="F133" s="173">
        <v>698.4</v>
      </c>
      <c r="G133" s="228">
        <v>838.07999999999993</v>
      </c>
      <c r="H133" s="173">
        <f t="shared" si="16"/>
        <v>978.03935999999999</v>
      </c>
      <c r="I133" s="170">
        <f t="shared" si="23"/>
        <v>1114.8243359040273</v>
      </c>
      <c r="J133" s="170">
        <f t="shared" si="24"/>
        <v>1301</v>
      </c>
      <c r="K133" s="96" t="s">
        <v>129</v>
      </c>
      <c r="L133" s="198"/>
    </row>
    <row r="134" spans="1:12" ht="27.75" thickBot="1" x14ac:dyDescent="0.3">
      <c r="A134" s="95">
        <v>155300</v>
      </c>
      <c r="B134" s="123" t="s">
        <v>130</v>
      </c>
      <c r="C134" s="10">
        <v>280</v>
      </c>
      <c r="D134" s="85">
        <v>380</v>
      </c>
      <c r="E134" s="85">
        <v>517.54999999999995</v>
      </c>
      <c r="F134" s="173">
        <v>698.4</v>
      </c>
      <c r="G134" s="228">
        <v>838.07999999999993</v>
      </c>
      <c r="H134" s="173">
        <f t="shared" si="16"/>
        <v>978.03935999999999</v>
      </c>
      <c r="I134" s="170">
        <f t="shared" si="23"/>
        <v>1114.8243359040273</v>
      </c>
      <c r="J134" s="170">
        <f t="shared" si="24"/>
        <v>1301</v>
      </c>
      <c r="K134" s="96" t="s">
        <v>131</v>
      </c>
      <c r="L134" s="198"/>
    </row>
    <row r="135" spans="1:12" ht="16.5" thickBot="1" x14ac:dyDescent="0.3">
      <c r="A135" s="95">
        <v>155411</v>
      </c>
      <c r="B135" s="123" t="s">
        <v>124</v>
      </c>
      <c r="C135" s="10">
        <v>280</v>
      </c>
      <c r="D135" s="85">
        <v>380</v>
      </c>
      <c r="E135" s="85">
        <v>517.54999999999995</v>
      </c>
      <c r="F135" s="173">
        <v>698.4</v>
      </c>
      <c r="G135" s="228">
        <v>838.07999999999993</v>
      </c>
      <c r="H135" s="173">
        <f t="shared" ref="H135:H198" si="25">G135*1.167</f>
        <v>978.03935999999999</v>
      </c>
      <c r="I135" s="170">
        <f t="shared" si="23"/>
        <v>1114.8243359040273</v>
      </c>
      <c r="J135" s="170">
        <f t="shared" si="24"/>
        <v>1301</v>
      </c>
      <c r="K135" s="96" t="s">
        <v>132</v>
      </c>
      <c r="L135" s="198"/>
    </row>
    <row r="136" spans="1:12" ht="16.5" thickBot="1" x14ac:dyDescent="0.3">
      <c r="A136" s="95">
        <v>155412</v>
      </c>
      <c r="B136" s="123" t="s">
        <v>124</v>
      </c>
      <c r="C136" s="10">
        <v>280</v>
      </c>
      <c r="D136" s="85">
        <v>380</v>
      </c>
      <c r="E136" s="85">
        <v>517.54999999999995</v>
      </c>
      <c r="F136" s="173">
        <v>698.4</v>
      </c>
      <c r="G136" s="228">
        <v>838.07999999999993</v>
      </c>
      <c r="H136" s="173">
        <f t="shared" si="25"/>
        <v>978.03935999999999</v>
      </c>
      <c r="I136" s="170">
        <f t="shared" si="23"/>
        <v>1114.8243359040273</v>
      </c>
      <c r="J136" s="170">
        <f t="shared" si="24"/>
        <v>1301</v>
      </c>
      <c r="K136" s="96" t="s">
        <v>133</v>
      </c>
      <c r="L136" s="198"/>
    </row>
    <row r="137" spans="1:12" ht="41.25" thickBot="1" x14ac:dyDescent="0.3">
      <c r="A137" s="95">
        <v>155420</v>
      </c>
      <c r="B137" s="123" t="s">
        <v>130</v>
      </c>
      <c r="C137" s="10">
        <v>280</v>
      </c>
      <c r="D137" s="85">
        <v>380</v>
      </c>
      <c r="E137" s="85">
        <v>517.54999999999995</v>
      </c>
      <c r="F137" s="173">
        <v>698.4</v>
      </c>
      <c r="G137" s="228">
        <v>838.07999999999993</v>
      </c>
      <c r="H137" s="173">
        <f t="shared" si="25"/>
        <v>978.03935999999999</v>
      </c>
      <c r="I137" s="170">
        <f t="shared" si="23"/>
        <v>1114.8243359040273</v>
      </c>
      <c r="J137" s="170">
        <f t="shared" si="24"/>
        <v>1301</v>
      </c>
      <c r="K137" s="96" t="s">
        <v>134</v>
      </c>
      <c r="L137" s="198"/>
    </row>
    <row r="138" spans="1:12" ht="16.5" thickBot="1" x14ac:dyDescent="0.3">
      <c r="A138" s="95">
        <v>155490.1</v>
      </c>
      <c r="B138" s="123" t="s">
        <v>124</v>
      </c>
      <c r="C138" s="10">
        <v>280</v>
      </c>
      <c r="D138" s="85">
        <v>380</v>
      </c>
      <c r="E138" s="85">
        <v>517.54999999999995</v>
      </c>
      <c r="F138" s="173">
        <v>698.4</v>
      </c>
      <c r="G138" s="228">
        <v>838.07999999999993</v>
      </c>
      <c r="H138" s="173">
        <f t="shared" si="25"/>
        <v>978.03935999999999</v>
      </c>
      <c r="I138" s="170">
        <f t="shared" si="23"/>
        <v>1114.8243359040273</v>
      </c>
      <c r="J138" s="170">
        <f t="shared" si="24"/>
        <v>1301</v>
      </c>
      <c r="K138" s="96" t="s">
        <v>135</v>
      </c>
      <c r="L138" s="198"/>
    </row>
    <row r="139" spans="1:12" ht="16.5" thickBot="1" x14ac:dyDescent="0.3">
      <c r="A139" s="95">
        <v>155490.20000000001</v>
      </c>
      <c r="B139" s="123" t="s">
        <v>124</v>
      </c>
      <c r="C139" s="10">
        <v>280</v>
      </c>
      <c r="D139" s="85">
        <v>380</v>
      </c>
      <c r="E139" s="85">
        <v>517.54999999999995</v>
      </c>
      <c r="F139" s="173">
        <v>698.4</v>
      </c>
      <c r="G139" s="228">
        <v>838.07999999999993</v>
      </c>
      <c r="H139" s="173">
        <f t="shared" si="25"/>
        <v>978.03935999999999</v>
      </c>
      <c r="I139" s="170">
        <f t="shared" si="23"/>
        <v>1114.8243359040273</v>
      </c>
      <c r="J139" s="170">
        <f t="shared" si="24"/>
        <v>1301</v>
      </c>
      <c r="K139" s="96" t="s">
        <v>136</v>
      </c>
      <c r="L139" s="198"/>
    </row>
    <row r="140" spans="1:12" ht="16.5" thickBot="1" x14ac:dyDescent="0.3">
      <c r="A140" s="95">
        <v>155499</v>
      </c>
      <c r="B140" s="123" t="s">
        <v>124</v>
      </c>
      <c r="C140" s="10">
        <v>280</v>
      </c>
      <c r="D140" s="85">
        <v>380</v>
      </c>
      <c r="E140" s="85">
        <v>517.54999999999995</v>
      </c>
      <c r="F140" s="173">
        <v>698.4</v>
      </c>
      <c r="G140" s="228">
        <v>838.07999999999993</v>
      </c>
      <c r="H140" s="173">
        <f t="shared" si="25"/>
        <v>978.03935999999999</v>
      </c>
      <c r="I140" s="170">
        <f t="shared" si="23"/>
        <v>1114.8243359040273</v>
      </c>
      <c r="J140" s="170">
        <f t="shared" si="24"/>
        <v>1301</v>
      </c>
      <c r="K140" s="96" t="s">
        <v>137</v>
      </c>
      <c r="L140" s="198"/>
    </row>
    <row r="141" spans="1:12" ht="17.25" customHeight="1" thickBot="1" x14ac:dyDescent="0.3">
      <c r="A141" s="97" t="s">
        <v>138</v>
      </c>
      <c r="B141" s="75"/>
      <c r="C141" s="1"/>
      <c r="D141" s="34"/>
      <c r="E141" s="34"/>
      <c r="F141" s="34"/>
      <c r="G141" s="34"/>
      <c r="H141" s="34"/>
      <c r="I141" s="34"/>
      <c r="J141" s="34"/>
      <c r="K141" s="99"/>
      <c r="L141" s="198"/>
    </row>
    <row r="142" spans="1:12" ht="16.5" thickBot="1" x14ac:dyDescent="0.3">
      <c r="A142" s="95">
        <v>160091</v>
      </c>
      <c r="B142" s="123" t="s">
        <v>139</v>
      </c>
      <c r="C142" s="11">
        <v>572</v>
      </c>
      <c r="D142" s="84">
        <v>776</v>
      </c>
      <c r="E142" s="84">
        <v>1055.7</v>
      </c>
      <c r="F142" s="173">
        <f t="shared" ref="F142:F200" si="26">+E142*$F$1</f>
        <v>1425.1950000000002</v>
      </c>
      <c r="G142" s="228">
        <v>1713.8</v>
      </c>
      <c r="H142" s="173">
        <f t="shared" si="25"/>
        <v>2000.0046</v>
      </c>
      <c r="I142" s="170">
        <f t="shared" ref="I142:I143" si="27">+J142/1.167</f>
        <v>2279.3487574978576</v>
      </c>
      <c r="J142" s="170">
        <f t="shared" ref="J142:J143" si="28">ROUND(+H142*(1+$J$1),0)</f>
        <v>2660</v>
      </c>
      <c r="K142" s="96" t="s">
        <v>140</v>
      </c>
      <c r="L142" s="198"/>
    </row>
    <row r="143" spans="1:12" ht="16.5" thickBot="1" x14ac:dyDescent="0.3">
      <c r="A143" s="95">
        <v>160099</v>
      </c>
      <c r="B143" s="123" t="s">
        <v>139</v>
      </c>
      <c r="C143" s="11">
        <v>572</v>
      </c>
      <c r="D143" s="85">
        <v>776</v>
      </c>
      <c r="E143" s="85">
        <v>1055.7</v>
      </c>
      <c r="F143" s="173">
        <f t="shared" si="26"/>
        <v>1425.1950000000002</v>
      </c>
      <c r="G143" s="228">
        <v>1713.8</v>
      </c>
      <c r="H143" s="173">
        <f t="shared" si="25"/>
        <v>2000.0046</v>
      </c>
      <c r="I143" s="170">
        <f t="shared" si="27"/>
        <v>2279.3487574978576</v>
      </c>
      <c r="J143" s="170">
        <f t="shared" si="28"/>
        <v>2660</v>
      </c>
      <c r="K143" s="96" t="s">
        <v>141</v>
      </c>
      <c r="L143" s="198"/>
    </row>
    <row r="144" spans="1:12" ht="17.25" customHeight="1" thickBot="1" x14ac:dyDescent="0.3">
      <c r="A144" s="97" t="s">
        <v>142</v>
      </c>
      <c r="B144" s="75"/>
      <c r="C144" s="1"/>
      <c r="D144" s="34"/>
      <c r="E144" s="34"/>
      <c r="F144" s="34"/>
      <c r="G144" s="34"/>
      <c r="H144" s="34"/>
      <c r="I144" s="34"/>
      <c r="J144" s="34"/>
      <c r="K144" s="99"/>
      <c r="L144" s="198"/>
    </row>
    <row r="145" spans="1:12" ht="27.75" thickBot="1" x14ac:dyDescent="0.3">
      <c r="A145" s="95">
        <v>171111</v>
      </c>
      <c r="B145" s="123" t="s">
        <v>1</v>
      </c>
      <c r="C145" s="10">
        <v>221</v>
      </c>
      <c r="D145" s="56">
        <f t="shared" ref="D145:D155" si="29">+C145*$D$1</f>
        <v>299.89999999999998</v>
      </c>
      <c r="E145" s="56">
        <f t="shared" ref="E145:E208" si="30">+D145*1.36</f>
        <v>407.86399999999998</v>
      </c>
      <c r="F145" s="172">
        <v>550.1</v>
      </c>
      <c r="G145" s="227">
        <v>659.8</v>
      </c>
      <c r="H145" s="172">
        <f t="shared" si="25"/>
        <v>769.98659999999995</v>
      </c>
      <c r="I145" s="170">
        <f t="shared" ref="I145:I171" si="31">+J145/1.167</f>
        <v>877.46358183376174</v>
      </c>
      <c r="J145" s="170">
        <f t="shared" ref="J145:J171" si="32">ROUND(+H145*(1+$J$1),0)</f>
        <v>1024</v>
      </c>
      <c r="K145" s="96" t="s">
        <v>143</v>
      </c>
      <c r="L145" s="198"/>
    </row>
    <row r="146" spans="1:12" ht="27.75" thickBot="1" x14ac:dyDescent="0.3">
      <c r="A146" s="95">
        <v>171112</v>
      </c>
      <c r="B146" s="123" t="s">
        <v>1</v>
      </c>
      <c r="C146" s="10">
        <v>221</v>
      </c>
      <c r="D146" s="83">
        <f t="shared" si="29"/>
        <v>299.89999999999998</v>
      </c>
      <c r="E146" s="83">
        <f t="shared" si="30"/>
        <v>407.86399999999998</v>
      </c>
      <c r="F146" s="172">
        <v>550.1</v>
      </c>
      <c r="G146" s="227">
        <v>659.8</v>
      </c>
      <c r="H146" s="172">
        <f t="shared" si="25"/>
        <v>769.98659999999995</v>
      </c>
      <c r="I146" s="170">
        <f t="shared" si="31"/>
        <v>877.46358183376174</v>
      </c>
      <c r="J146" s="170">
        <f t="shared" si="32"/>
        <v>1024</v>
      </c>
      <c r="K146" s="96" t="s">
        <v>144</v>
      </c>
      <c r="L146" s="198"/>
    </row>
    <row r="147" spans="1:12" ht="16.5" thickBot="1" x14ac:dyDescent="0.3">
      <c r="A147" s="95">
        <v>171120</v>
      </c>
      <c r="B147" s="123" t="s">
        <v>1</v>
      </c>
      <c r="C147" s="10">
        <v>221</v>
      </c>
      <c r="D147" s="83">
        <f t="shared" si="29"/>
        <v>299.89999999999998</v>
      </c>
      <c r="E147" s="83">
        <f t="shared" si="30"/>
        <v>407.86399999999998</v>
      </c>
      <c r="F147" s="172">
        <v>550.1</v>
      </c>
      <c r="G147" s="227">
        <v>659.8</v>
      </c>
      <c r="H147" s="172">
        <f t="shared" si="25"/>
        <v>769.98659999999995</v>
      </c>
      <c r="I147" s="170">
        <f t="shared" si="31"/>
        <v>877.46358183376174</v>
      </c>
      <c r="J147" s="170">
        <f t="shared" si="32"/>
        <v>1024</v>
      </c>
      <c r="K147" s="96" t="s">
        <v>145</v>
      </c>
      <c r="L147" s="198"/>
    </row>
    <row r="148" spans="1:12" ht="16.5" thickBot="1" x14ac:dyDescent="0.3">
      <c r="A148" s="95">
        <v>171121</v>
      </c>
      <c r="B148" s="123" t="s">
        <v>1</v>
      </c>
      <c r="C148" s="10">
        <v>221</v>
      </c>
      <c r="D148" s="83">
        <f t="shared" si="29"/>
        <v>299.89999999999998</v>
      </c>
      <c r="E148" s="83">
        <f t="shared" si="30"/>
        <v>407.86399999999998</v>
      </c>
      <c r="F148" s="172">
        <v>550.1</v>
      </c>
      <c r="G148" s="227">
        <v>659.8</v>
      </c>
      <c r="H148" s="172">
        <f t="shared" si="25"/>
        <v>769.98659999999995</v>
      </c>
      <c r="I148" s="170">
        <f t="shared" si="31"/>
        <v>877.46358183376174</v>
      </c>
      <c r="J148" s="170">
        <f t="shared" si="32"/>
        <v>1024</v>
      </c>
      <c r="K148" s="96" t="s">
        <v>146</v>
      </c>
      <c r="L148" s="198"/>
    </row>
    <row r="149" spans="1:12" ht="27.75" thickBot="1" x14ac:dyDescent="0.3">
      <c r="A149" s="95">
        <v>171131</v>
      </c>
      <c r="B149" s="123" t="s">
        <v>1</v>
      </c>
      <c r="C149" s="10">
        <v>221</v>
      </c>
      <c r="D149" s="83">
        <f t="shared" si="29"/>
        <v>299.89999999999998</v>
      </c>
      <c r="E149" s="83">
        <f t="shared" si="30"/>
        <v>407.86399999999998</v>
      </c>
      <c r="F149" s="172">
        <v>550.1</v>
      </c>
      <c r="G149" s="227">
        <v>659.8</v>
      </c>
      <c r="H149" s="172">
        <f t="shared" si="25"/>
        <v>769.98659999999995</v>
      </c>
      <c r="I149" s="170">
        <f t="shared" si="31"/>
        <v>877.46358183376174</v>
      </c>
      <c r="J149" s="170">
        <f t="shared" si="32"/>
        <v>1024</v>
      </c>
      <c r="K149" s="96" t="s">
        <v>147</v>
      </c>
      <c r="L149" s="198"/>
    </row>
    <row r="150" spans="1:12" ht="27.75" thickBot="1" x14ac:dyDescent="0.3">
      <c r="A150" s="95">
        <v>171132</v>
      </c>
      <c r="B150" s="123" t="s">
        <v>1</v>
      </c>
      <c r="C150" s="10">
        <v>221</v>
      </c>
      <c r="D150" s="83">
        <f t="shared" si="29"/>
        <v>299.89999999999998</v>
      </c>
      <c r="E150" s="83">
        <f t="shared" si="30"/>
        <v>407.86399999999998</v>
      </c>
      <c r="F150" s="172">
        <v>550.1</v>
      </c>
      <c r="G150" s="227">
        <v>659.8</v>
      </c>
      <c r="H150" s="172">
        <f t="shared" si="25"/>
        <v>769.98659999999995</v>
      </c>
      <c r="I150" s="170">
        <f t="shared" si="31"/>
        <v>877.46358183376174</v>
      </c>
      <c r="J150" s="170">
        <f t="shared" si="32"/>
        <v>1024</v>
      </c>
      <c r="K150" s="96" t="s">
        <v>148</v>
      </c>
      <c r="L150" s="198"/>
    </row>
    <row r="151" spans="1:12" ht="27.75" thickBot="1" x14ac:dyDescent="0.3">
      <c r="A151" s="95">
        <v>171139</v>
      </c>
      <c r="B151" s="123" t="s">
        <v>1</v>
      </c>
      <c r="C151" s="10">
        <v>221</v>
      </c>
      <c r="D151" s="83">
        <f t="shared" si="29"/>
        <v>299.89999999999998</v>
      </c>
      <c r="E151" s="83">
        <f t="shared" si="30"/>
        <v>407.86399999999998</v>
      </c>
      <c r="F151" s="172">
        <v>550.1</v>
      </c>
      <c r="G151" s="227">
        <v>659.8</v>
      </c>
      <c r="H151" s="172">
        <f t="shared" si="25"/>
        <v>769.98659999999995</v>
      </c>
      <c r="I151" s="170">
        <f t="shared" si="31"/>
        <v>877.46358183376174</v>
      </c>
      <c r="J151" s="170">
        <f t="shared" si="32"/>
        <v>1024</v>
      </c>
      <c r="K151" s="96" t="s">
        <v>149</v>
      </c>
      <c r="L151" s="198"/>
    </row>
    <row r="152" spans="1:12" ht="16.5" thickBot="1" x14ac:dyDescent="0.3">
      <c r="A152" s="95">
        <v>171141</v>
      </c>
      <c r="B152" s="123" t="s">
        <v>1</v>
      </c>
      <c r="C152" s="10">
        <v>221</v>
      </c>
      <c r="D152" s="83">
        <f t="shared" si="29"/>
        <v>299.89999999999998</v>
      </c>
      <c r="E152" s="83">
        <f t="shared" si="30"/>
        <v>407.86399999999998</v>
      </c>
      <c r="F152" s="172">
        <v>550.1</v>
      </c>
      <c r="G152" s="227">
        <v>659.8</v>
      </c>
      <c r="H152" s="172">
        <f t="shared" si="25"/>
        <v>769.98659999999995</v>
      </c>
      <c r="I152" s="170">
        <f t="shared" si="31"/>
        <v>877.46358183376174</v>
      </c>
      <c r="J152" s="170">
        <f t="shared" si="32"/>
        <v>1024</v>
      </c>
      <c r="K152" s="96" t="s">
        <v>150</v>
      </c>
      <c r="L152" s="198"/>
    </row>
    <row r="153" spans="1:12" ht="16.5" thickBot="1" x14ac:dyDescent="0.3">
      <c r="A153" s="95">
        <v>171142</v>
      </c>
      <c r="B153" s="123" t="s">
        <v>1</v>
      </c>
      <c r="C153" s="10">
        <v>221</v>
      </c>
      <c r="D153" s="83">
        <f t="shared" si="29"/>
        <v>299.89999999999998</v>
      </c>
      <c r="E153" s="83">
        <f t="shared" si="30"/>
        <v>407.86399999999998</v>
      </c>
      <c r="F153" s="172">
        <v>550.1</v>
      </c>
      <c r="G153" s="227">
        <v>659.8</v>
      </c>
      <c r="H153" s="172">
        <f t="shared" si="25"/>
        <v>769.98659999999995</v>
      </c>
      <c r="I153" s="170">
        <f t="shared" si="31"/>
        <v>877.46358183376174</v>
      </c>
      <c r="J153" s="170">
        <f t="shared" si="32"/>
        <v>1024</v>
      </c>
      <c r="K153" s="96" t="s">
        <v>151</v>
      </c>
      <c r="L153" s="198"/>
    </row>
    <row r="154" spans="1:12" ht="27.75" thickBot="1" x14ac:dyDescent="0.3">
      <c r="A154" s="95">
        <v>171143</v>
      </c>
      <c r="B154" s="123" t="s">
        <v>1</v>
      </c>
      <c r="C154" s="10">
        <v>221</v>
      </c>
      <c r="D154" s="83">
        <f t="shared" si="29"/>
        <v>299.89999999999998</v>
      </c>
      <c r="E154" s="83">
        <f t="shared" si="30"/>
        <v>407.86399999999998</v>
      </c>
      <c r="F154" s="172">
        <v>550.1</v>
      </c>
      <c r="G154" s="227">
        <v>659.8</v>
      </c>
      <c r="H154" s="172">
        <f t="shared" si="25"/>
        <v>769.98659999999995</v>
      </c>
      <c r="I154" s="170">
        <f t="shared" si="31"/>
        <v>877.46358183376174</v>
      </c>
      <c r="J154" s="170">
        <f t="shared" si="32"/>
        <v>1024</v>
      </c>
      <c r="K154" s="96" t="s">
        <v>152</v>
      </c>
      <c r="L154" s="198"/>
    </row>
    <row r="155" spans="1:12" ht="27.75" thickBot="1" x14ac:dyDescent="0.3">
      <c r="A155" s="95">
        <v>171149</v>
      </c>
      <c r="B155" s="123" t="s">
        <v>1</v>
      </c>
      <c r="C155" s="10">
        <v>221</v>
      </c>
      <c r="D155" s="83">
        <f t="shared" si="29"/>
        <v>299.89999999999998</v>
      </c>
      <c r="E155" s="83">
        <f t="shared" si="30"/>
        <v>407.86399999999998</v>
      </c>
      <c r="F155" s="172">
        <v>550.1</v>
      </c>
      <c r="G155" s="227">
        <v>659.8</v>
      </c>
      <c r="H155" s="172">
        <f t="shared" si="25"/>
        <v>769.98659999999995</v>
      </c>
      <c r="I155" s="170">
        <f t="shared" si="31"/>
        <v>877.46358183376174</v>
      </c>
      <c r="J155" s="170">
        <f t="shared" si="32"/>
        <v>1024</v>
      </c>
      <c r="K155" s="96" t="s">
        <v>153</v>
      </c>
      <c r="L155" s="198"/>
    </row>
    <row r="156" spans="1:12" ht="27.75" thickBot="1" x14ac:dyDescent="0.3">
      <c r="A156" s="95">
        <v>171200.1</v>
      </c>
      <c r="B156" s="123" t="s">
        <v>1</v>
      </c>
      <c r="C156" s="10">
        <v>100</v>
      </c>
      <c r="D156" s="83">
        <v>135</v>
      </c>
      <c r="E156" s="83">
        <f t="shared" si="30"/>
        <v>183.60000000000002</v>
      </c>
      <c r="F156" s="172">
        <f t="shared" si="26"/>
        <v>247.86000000000004</v>
      </c>
      <c r="G156" s="227">
        <v>297.3</v>
      </c>
      <c r="H156" s="172">
        <f t="shared" si="25"/>
        <v>346.94910000000004</v>
      </c>
      <c r="I156" s="170">
        <f t="shared" si="31"/>
        <v>395.02999143101971</v>
      </c>
      <c r="J156" s="170">
        <f t="shared" si="32"/>
        <v>461</v>
      </c>
      <c r="K156" s="96" t="s">
        <v>154</v>
      </c>
      <c r="L156" s="198"/>
    </row>
    <row r="157" spans="1:12" ht="27.75" thickBot="1" x14ac:dyDescent="0.3">
      <c r="A157" s="95">
        <v>171200.2</v>
      </c>
      <c r="B157" s="123" t="s">
        <v>1</v>
      </c>
      <c r="C157" s="10">
        <v>221</v>
      </c>
      <c r="D157" s="83">
        <f t="shared" ref="D157:D167" si="33">+C157*$D$1</f>
        <v>299.89999999999998</v>
      </c>
      <c r="E157" s="83">
        <f t="shared" si="30"/>
        <v>407.86399999999998</v>
      </c>
      <c r="F157" s="172">
        <v>550.1</v>
      </c>
      <c r="G157" s="227">
        <v>659.8</v>
      </c>
      <c r="H157" s="172">
        <f t="shared" si="25"/>
        <v>769.98659999999995</v>
      </c>
      <c r="I157" s="170">
        <f t="shared" si="31"/>
        <v>877.46358183376174</v>
      </c>
      <c r="J157" s="170">
        <f t="shared" si="32"/>
        <v>1024</v>
      </c>
      <c r="K157" s="96" t="s">
        <v>155</v>
      </c>
      <c r="L157" s="198"/>
    </row>
    <row r="158" spans="1:12" ht="27.75" thickBot="1" x14ac:dyDescent="0.3">
      <c r="A158" s="95">
        <v>172101</v>
      </c>
      <c r="B158" s="123" t="s">
        <v>1</v>
      </c>
      <c r="C158" s="10">
        <v>221</v>
      </c>
      <c r="D158" s="83">
        <f t="shared" si="33"/>
        <v>299.89999999999998</v>
      </c>
      <c r="E158" s="83">
        <f t="shared" si="30"/>
        <v>407.86399999999998</v>
      </c>
      <c r="F158" s="172">
        <v>550.1</v>
      </c>
      <c r="G158" s="227">
        <v>659.8</v>
      </c>
      <c r="H158" s="172">
        <f t="shared" si="25"/>
        <v>769.98659999999995</v>
      </c>
      <c r="I158" s="170">
        <f t="shared" si="31"/>
        <v>877.46358183376174</v>
      </c>
      <c r="J158" s="170">
        <f t="shared" si="32"/>
        <v>1024</v>
      </c>
      <c r="K158" s="96" t="s">
        <v>156</v>
      </c>
      <c r="L158" s="198"/>
    </row>
    <row r="159" spans="1:12" ht="16.5" thickBot="1" x14ac:dyDescent="0.3">
      <c r="A159" s="95">
        <v>172102</v>
      </c>
      <c r="B159" s="123" t="s">
        <v>1</v>
      </c>
      <c r="C159" s="10">
        <v>221</v>
      </c>
      <c r="D159" s="83">
        <f t="shared" si="33"/>
        <v>299.89999999999998</v>
      </c>
      <c r="E159" s="83">
        <f t="shared" si="30"/>
        <v>407.86399999999998</v>
      </c>
      <c r="F159" s="172">
        <v>550.1</v>
      </c>
      <c r="G159" s="227">
        <v>659.8</v>
      </c>
      <c r="H159" s="172">
        <f t="shared" si="25"/>
        <v>769.98659999999995</v>
      </c>
      <c r="I159" s="170">
        <f t="shared" si="31"/>
        <v>877.46358183376174</v>
      </c>
      <c r="J159" s="170">
        <f t="shared" si="32"/>
        <v>1024</v>
      </c>
      <c r="K159" s="96" t="s">
        <v>157</v>
      </c>
      <c r="L159" s="198"/>
    </row>
    <row r="160" spans="1:12" ht="27.75" thickBot="1" x14ac:dyDescent="0.3">
      <c r="A160" s="95">
        <v>172103</v>
      </c>
      <c r="B160" s="123" t="s">
        <v>1</v>
      </c>
      <c r="C160" s="10">
        <v>221</v>
      </c>
      <c r="D160" s="83">
        <f t="shared" si="33"/>
        <v>299.89999999999998</v>
      </c>
      <c r="E160" s="83">
        <f t="shared" si="30"/>
        <v>407.86399999999998</v>
      </c>
      <c r="F160" s="172">
        <v>550.1</v>
      </c>
      <c r="G160" s="227">
        <v>659.8</v>
      </c>
      <c r="H160" s="172">
        <f t="shared" si="25"/>
        <v>769.98659999999995</v>
      </c>
      <c r="I160" s="170">
        <f t="shared" si="31"/>
        <v>877.46358183376174</v>
      </c>
      <c r="J160" s="170">
        <f t="shared" si="32"/>
        <v>1024</v>
      </c>
      <c r="K160" s="96" t="s">
        <v>158</v>
      </c>
      <c r="L160" s="198"/>
    </row>
    <row r="161" spans="1:12" ht="27.75" thickBot="1" x14ac:dyDescent="0.3">
      <c r="A161" s="95">
        <v>172104</v>
      </c>
      <c r="B161" s="123" t="s">
        <v>1</v>
      </c>
      <c r="C161" s="10">
        <v>221</v>
      </c>
      <c r="D161" s="83">
        <f t="shared" si="33"/>
        <v>299.89999999999998</v>
      </c>
      <c r="E161" s="83">
        <f t="shared" si="30"/>
        <v>407.86399999999998</v>
      </c>
      <c r="F161" s="172">
        <v>550.1</v>
      </c>
      <c r="G161" s="227">
        <v>659.8</v>
      </c>
      <c r="H161" s="172">
        <f t="shared" si="25"/>
        <v>769.98659999999995</v>
      </c>
      <c r="I161" s="170">
        <f t="shared" si="31"/>
        <v>877.46358183376174</v>
      </c>
      <c r="J161" s="170">
        <f t="shared" si="32"/>
        <v>1024</v>
      </c>
      <c r="K161" s="96" t="s">
        <v>159</v>
      </c>
      <c r="L161" s="198"/>
    </row>
    <row r="162" spans="1:12" ht="41.25" thickBot="1" x14ac:dyDescent="0.3">
      <c r="A162" s="95">
        <v>172109</v>
      </c>
      <c r="B162" s="123" t="s">
        <v>1</v>
      </c>
      <c r="C162" s="10">
        <v>221</v>
      </c>
      <c r="D162" s="83">
        <f t="shared" si="33"/>
        <v>299.89999999999998</v>
      </c>
      <c r="E162" s="83">
        <f t="shared" si="30"/>
        <v>407.86399999999998</v>
      </c>
      <c r="F162" s="172">
        <v>550.1</v>
      </c>
      <c r="G162" s="227">
        <v>659.8</v>
      </c>
      <c r="H162" s="172">
        <f t="shared" si="25"/>
        <v>769.98659999999995</v>
      </c>
      <c r="I162" s="170">
        <f t="shared" si="31"/>
        <v>877.46358183376174</v>
      </c>
      <c r="J162" s="170">
        <f t="shared" si="32"/>
        <v>1024</v>
      </c>
      <c r="K162" s="96" t="s">
        <v>160</v>
      </c>
      <c r="L162" s="198"/>
    </row>
    <row r="163" spans="1:12" ht="16.5" thickBot="1" x14ac:dyDescent="0.3">
      <c r="A163" s="95">
        <v>172200</v>
      </c>
      <c r="B163" s="123" t="s">
        <v>1</v>
      </c>
      <c r="C163" s="10">
        <v>221</v>
      </c>
      <c r="D163" s="83">
        <f t="shared" si="33"/>
        <v>299.89999999999998</v>
      </c>
      <c r="E163" s="83">
        <f t="shared" si="30"/>
        <v>407.86399999999998</v>
      </c>
      <c r="F163" s="172">
        <v>550.1</v>
      </c>
      <c r="G163" s="227">
        <v>659.8</v>
      </c>
      <c r="H163" s="172">
        <f t="shared" si="25"/>
        <v>769.98659999999995</v>
      </c>
      <c r="I163" s="170">
        <f t="shared" si="31"/>
        <v>877.46358183376174</v>
      </c>
      <c r="J163" s="170">
        <f t="shared" si="32"/>
        <v>1024</v>
      </c>
      <c r="K163" s="96" t="s">
        <v>161</v>
      </c>
      <c r="L163" s="198"/>
    </row>
    <row r="164" spans="1:12" ht="41.25" thickBot="1" x14ac:dyDescent="0.3">
      <c r="A164" s="95">
        <v>172300</v>
      </c>
      <c r="B164" s="123" t="s">
        <v>1</v>
      </c>
      <c r="C164" s="10">
        <v>221</v>
      </c>
      <c r="D164" s="83">
        <f t="shared" si="33"/>
        <v>299.89999999999998</v>
      </c>
      <c r="E164" s="83">
        <f t="shared" si="30"/>
        <v>407.86399999999998</v>
      </c>
      <c r="F164" s="172">
        <v>550.1</v>
      </c>
      <c r="G164" s="227">
        <v>659.8</v>
      </c>
      <c r="H164" s="172">
        <f t="shared" si="25"/>
        <v>769.98659999999995</v>
      </c>
      <c r="I164" s="170">
        <f t="shared" si="31"/>
        <v>877.46358183376174</v>
      </c>
      <c r="J164" s="170">
        <f t="shared" si="32"/>
        <v>1024</v>
      </c>
      <c r="K164" s="96" t="s">
        <v>162</v>
      </c>
      <c r="L164" s="198"/>
    </row>
    <row r="165" spans="1:12" ht="16.5" thickBot="1" x14ac:dyDescent="0.3">
      <c r="A165" s="95">
        <v>172900</v>
      </c>
      <c r="B165" s="123" t="s">
        <v>1</v>
      </c>
      <c r="C165" s="10">
        <v>221</v>
      </c>
      <c r="D165" s="83">
        <f t="shared" si="33"/>
        <v>299.89999999999998</v>
      </c>
      <c r="E165" s="83">
        <f t="shared" si="30"/>
        <v>407.86399999999998</v>
      </c>
      <c r="F165" s="172">
        <v>550.1</v>
      </c>
      <c r="G165" s="227">
        <v>659.8</v>
      </c>
      <c r="H165" s="172">
        <f t="shared" si="25"/>
        <v>769.98659999999995</v>
      </c>
      <c r="I165" s="170">
        <f t="shared" si="31"/>
        <v>877.46358183376174</v>
      </c>
      <c r="J165" s="170">
        <f t="shared" si="32"/>
        <v>1024</v>
      </c>
      <c r="K165" s="96" t="s">
        <v>163</v>
      </c>
      <c r="L165" s="198"/>
    </row>
    <row r="166" spans="1:12" ht="16.5" thickBot="1" x14ac:dyDescent="0.3">
      <c r="A166" s="95">
        <v>173010</v>
      </c>
      <c r="B166" s="123" t="s">
        <v>1</v>
      </c>
      <c r="C166" s="10">
        <v>221</v>
      </c>
      <c r="D166" s="83">
        <f t="shared" si="33"/>
        <v>299.89999999999998</v>
      </c>
      <c r="E166" s="83">
        <f t="shared" si="30"/>
        <v>407.86399999999998</v>
      </c>
      <c r="F166" s="172">
        <v>550.1</v>
      </c>
      <c r="G166" s="227">
        <v>659.8</v>
      </c>
      <c r="H166" s="172">
        <f t="shared" si="25"/>
        <v>769.98659999999995</v>
      </c>
      <c r="I166" s="170">
        <f t="shared" si="31"/>
        <v>877.46358183376174</v>
      </c>
      <c r="J166" s="170">
        <f t="shared" si="32"/>
        <v>1024</v>
      </c>
      <c r="K166" s="96" t="s">
        <v>164</v>
      </c>
      <c r="L166" s="198"/>
    </row>
    <row r="167" spans="1:12" ht="16.5" thickBot="1" x14ac:dyDescent="0.3">
      <c r="A167" s="95">
        <v>173090</v>
      </c>
      <c r="B167" s="123" t="s">
        <v>1</v>
      </c>
      <c r="C167" s="10">
        <v>221</v>
      </c>
      <c r="D167" s="83">
        <f t="shared" si="33"/>
        <v>299.89999999999998</v>
      </c>
      <c r="E167" s="83">
        <f t="shared" si="30"/>
        <v>407.86399999999998</v>
      </c>
      <c r="F167" s="172">
        <v>550.1</v>
      </c>
      <c r="G167" s="227">
        <v>659.8</v>
      </c>
      <c r="H167" s="172">
        <f t="shared" si="25"/>
        <v>769.98659999999995</v>
      </c>
      <c r="I167" s="170">
        <f t="shared" si="31"/>
        <v>877.46358183376174</v>
      </c>
      <c r="J167" s="170">
        <f t="shared" si="32"/>
        <v>1024</v>
      </c>
      <c r="K167" s="96" t="s">
        <v>165</v>
      </c>
      <c r="L167" s="198"/>
    </row>
    <row r="168" spans="1:12" ht="27.75" thickBot="1" x14ac:dyDescent="0.3">
      <c r="A168" s="95">
        <v>173090.1</v>
      </c>
      <c r="B168" s="123" t="s">
        <v>1</v>
      </c>
      <c r="C168" s="10">
        <v>100</v>
      </c>
      <c r="D168" s="83">
        <v>135</v>
      </c>
      <c r="E168" s="83">
        <f t="shared" si="30"/>
        <v>183.60000000000002</v>
      </c>
      <c r="F168" s="172">
        <f t="shared" si="26"/>
        <v>247.86000000000004</v>
      </c>
      <c r="G168" s="227">
        <v>297.3</v>
      </c>
      <c r="H168" s="172">
        <f t="shared" si="25"/>
        <v>346.94910000000004</v>
      </c>
      <c r="I168" s="170">
        <f t="shared" si="31"/>
        <v>395.02999143101971</v>
      </c>
      <c r="J168" s="170">
        <f t="shared" si="32"/>
        <v>461</v>
      </c>
      <c r="K168" s="96" t="s">
        <v>166</v>
      </c>
      <c r="L168" s="198"/>
    </row>
    <row r="169" spans="1:12" ht="16.5" thickBot="1" x14ac:dyDescent="0.3">
      <c r="A169" s="95">
        <v>173091</v>
      </c>
      <c r="B169" s="123" t="s">
        <v>1</v>
      </c>
      <c r="C169" s="10">
        <v>100</v>
      </c>
      <c r="D169" s="83">
        <v>135</v>
      </c>
      <c r="E169" s="83">
        <f t="shared" si="30"/>
        <v>183.60000000000002</v>
      </c>
      <c r="F169" s="172">
        <f t="shared" si="26"/>
        <v>247.86000000000004</v>
      </c>
      <c r="G169" s="227">
        <v>297.3</v>
      </c>
      <c r="H169" s="172">
        <f t="shared" si="25"/>
        <v>346.94910000000004</v>
      </c>
      <c r="I169" s="170">
        <f t="shared" si="31"/>
        <v>395.02999143101971</v>
      </c>
      <c r="J169" s="170">
        <f t="shared" si="32"/>
        <v>461</v>
      </c>
      <c r="K169" s="96" t="s">
        <v>167</v>
      </c>
      <c r="L169" s="198"/>
    </row>
    <row r="170" spans="1:12" ht="16.5" thickBot="1" x14ac:dyDescent="0.3">
      <c r="A170" s="95">
        <v>173092</v>
      </c>
      <c r="B170" s="123" t="s">
        <v>1</v>
      </c>
      <c r="C170" s="10">
        <v>221</v>
      </c>
      <c r="D170" s="83">
        <f>+C170*$D$1</f>
        <v>299.89999999999998</v>
      </c>
      <c r="E170" s="83">
        <f t="shared" si="30"/>
        <v>407.86399999999998</v>
      </c>
      <c r="F170" s="172">
        <v>550.1</v>
      </c>
      <c r="G170" s="227">
        <v>659.8</v>
      </c>
      <c r="H170" s="172">
        <f t="shared" si="25"/>
        <v>769.98659999999995</v>
      </c>
      <c r="I170" s="170">
        <f t="shared" si="31"/>
        <v>877.46358183376174</v>
      </c>
      <c r="J170" s="170">
        <f t="shared" si="32"/>
        <v>1024</v>
      </c>
      <c r="K170" s="96" t="s">
        <v>168</v>
      </c>
      <c r="L170" s="198"/>
    </row>
    <row r="171" spans="1:12" ht="16.5" thickBot="1" x14ac:dyDescent="0.3">
      <c r="A171" s="95">
        <v>173092.1</v>
      </c>
      <c r="B171" s="123" t="s">
        <v>1</v>
      </c>
      <c r="C171" s="10">
        <v>221</v>
      </c>
      <c r="D171" s="83">
        <f>+C171*$D$1</f>
        <v>299.89999999999998</v>
      </c>
      <c r="E171" s="83">
        <f t="shared" si="30"/>
        <v>407.86399999999998</v>
      </c>
      <c r="F171" s="172">
        <v>550.1</v>
      </c>
      <c r="G171" s="227">
        <v>659.8</v>
      </c>
      <c r="H171" s="172">
        <f t="shared" si="25"/>
        <v>769.98659999999995</v>
      </c>
      <c r="I171" s="170">
        <f t="shared" si="31"/>
        <v>877.46358183376174</v>
      </c>
      <c r="J171" s="170">
        <f t="shared" si="32"/>
        <v>1024</v>
      </c>
      <c r="K171" s="96" t="s">
        <v>169</v>
      </c>
      <c r="L171" s="198"/>
    </row>
    <row r="172" spans="1:12" ht="17.25" thickBot="1" x14ac:dyDescent="0.3">
      <c r="A172" s="97" t="s">
        <v>170</v>
      </c>
      <c r="B172" s="124"/>
      <c r="C172" s="3"/>
      <c r="D172" s="35"/>
      <c r="E172" s="35"/>
      <c r="F172" s="35"/>
      <c r="G172" s="35"/>
      <c r="H172" s="35"/>
      <c r="I172" s="35"/>
      <c r="J172" s="35"/>
      <c r="K172" s="100"/>
      <c r="L172" s="198"/>
    </row>
    <row r="173" spans="1:12" ht="16.5" thickBot="1" x14ac:dyDescent="0.3">
      <c r="A173" s="95">
        <v>181191</v>
      </c>
      <c r="B173" s="123" t="s">
        <v>1</v>
      </c>
      <c r="C173" s="10">
        <v>221</v>
      </c>
      <c r="D173" s="56">
        <f>+C173*$D$1</f>
        <v>299.89999999999998</v>
      </c>
      <c r="E173" s="56">
        <f t="shared" si="30"/>
        <v>407.86399999999998</v>
      </c>
      <c r="F173" s="172">
        <v>550.1</v>
      </c>
      <c r="G173" s="227">
        <v>659.8</v>
      </c>
      <c r="H173" s="172">
        <f t="shared" si="25"/>
        <v>769.98659999999995</v>
      </c>
      <c r="I173" s="170">
        <f t="shared" ref="I173:I178" si="34">+J173/1.167</f>
        <v>877.46358183376174</v>
      </c>
      <c r="J173" s="170">
        <f t="shared" ref="J173:J178" si="35">ROUND(+H173*(1+$J$1),0)</f>
        <v>1024</v>
      </c>
      <c r="K173" s="96" t="s">
        <v>171</v>
      </c>
      <c r="L173" s="198"/>
    </row>
    <row r="174" spans="1:12" ht="27.75" thickBot="1" x14ac:dyDescent="0.3">
      <c r="A174" s="95">
        <v>181192</v>
      </c>
      <c r="B174" s="123" t="s">
        <v>1</v>
      </c>
      <c r="C174" s="10">
        <v>221</v>
      </c>
      <c r="D174" s="83">
        <f>+C174*$D$1</f>
        <v>299.89999999999998</v>
      </c>
      <c r="E174" s="83">
        <f t="shared" si="30"/>
        <v>407.86399999999998</v>
      </c>
      <c r="F174" s="172">
        <v>550.1</v>
      </c>
      <c r="G174" s="227">
        <v>659.8</v>
      </c>
      <c r="H174" s="172">
        <f t="shared" si="25"/>
        <v>769.98659999999995</v>
      </c>
      <c r="I174" s="170">
        <f t="shared" si="34"/>
        <v>877.46358183376174</v>
      </c>
      <c r="J174" s="170">
        <f t="shared" si="35"/>
        <v>1024</v>
      </c>
      <c r="K174" s="96" t="s">
        <v>172</v>
      </c>
      <c r="L174" s="198"/>
    </row>
    <row r="175" spans="1:12" ht="68.25" thickBot="1" x14ac:dyDescent="0.3">
      <c r="A175" s="95">
        <v>181199</v>
      </c>
      <c r="B175" s="123" t="s">
        <v>1</v>
      </c>
      <c r="C175" s="10">
        <v>221</v>
      </c>
      <c r="D175" s="83">
        <f>+C175*$D$1</f>
        <v>299.89999999999998</v>
      </c>
      <c r="E175" s="83">
        <f t="shared" si="30"/>
        <v>407.86399999999998</v>
      </c>
      <c r="F175" s="172">
        <v>550.1</v>
      </c>
      <c r="G175" s="227">
        <v>659.8</v>
      </c>
      <c r="H175" s="172">
        <f t="shared" si="25"/>
        <v>769.98659999999995</v>
      </c>
      <c r="I175" s="170">
        <f t="shared" si="34"/>
        <v>877.46358183376174</v>
      </c>
      <c r="J175" s="170">
        <f t="shared" si="35"/>
        <v>1024</v>
      </c>
      <c r="K175" s="96" t="s">
        <v>173</v>
      </c>
      <c r="L175" s="198"/>
    </row>
    <row r="176" spans="1:12" ht="16.5" thickBot="1" x14ac:dyDescent="0.3">
      <c r="A176" s="95">
        <v>181201</v>
      </c>
      <c r="B176" s="123" t="s">
        <v>1</v>
      </c>
      <c r="C176" s="10">
        <v>221</v>
      </c>
      <c r="D176" s="83">
        <f>+C176*$D$1</f>
        <v>299.89999999999998</v>
      </c>
      <c r="E176" s="83">
        <f t="shared" si="30"/>
        <v>407.86399999999998</v>
      </c>
      <c r="F176" s="172">
        <v>550.1</v>
      </c>
      <c r="G176" s="227">
        <v>659.8</v>
      </c>
      <c r="H176" s="172">
        <f t="shared" si="25"/>
        <v>769.98659999999995</v>
      </c>
      <c r="I176" s="170">
        <f t="shared" si="34"/>
        <v>877.46358183376174</v>
      </c>
      <c r="J176" s="170">
        <f t="shared" si="35"/>
        <v>1024</v>
      </c>
      <c r="K176" s="96" t="s">
        <v>174</v>
      </c>
      <c r="L176" s="198"/>
    </row>
    <row r="177" spans="1:12" ht="16.5" thickBot="1" x14ac:dyDescent="0.3">
      <c r="A177" s="95">
        <v>181202</v>
      </c>
      <c r="B177" s="123" t="s">
        <v>124</v>
      </c>
      <c r="C177" s="10">
        <v>280</v>
      </c>
      <c r="D177" s="85">
        <v>380</v>
      </c>
      <c r="E177" s="85">
        <v>517.54999999999995</v>
      </c>
      <c r="F177" s="173">
        <v>698.4</v>
      </c>
      <c r="G177" s="228">
        <v>838.07999999999993</v>
      </c>
      <c r="H177" s="173">
        <f t="shared" si="25"/>
        <v>978.03935999999999</v>
      </c>
      <c r="I177" s="170">
        <f t="shared" si="34"/>
        <v>1114.8243359040273</v>
      </c>
      <c r="J177" s="170">
        <f t="shared" si="35"/>
        <v>1301</v>
      </c>
      <c r="K177" s="96" t="s">
        <v>175</v>
      </c>
      <c r="L177" s="198"/>
    </row>
    <row r="178" spans="1:12" ht="27.75" thickBot="1" x14ac:dyDescent="0.3">
      <c r="A178" s="104">
        <v>182001</v>
      </c>
      <c r="B178" s="125" t="s">
        <v>124</v>
      </c>
      <c r="C178" s="13">
        <v>280</v>
      </c>
      <c r="D178" s="85">
        <v>380</v>
      </c>
      <c r="E178" s="85">
        <v>517.54999999999995</v>
      </c>
      <c r="F178" s="174">
        <v>698.4</v>
      </c>
      <c r="G178" s="229">
        <v>838.07999999999993</v>
      </c>
      <c r="H178" s="174">
        <f t="shared" si="25"/>
        <v>978.03935999999999</v>
      </c>
      <c r="I178" s="170">
        <f t="shared" si="34"/>
        <v>1114.8243359040273</v>
      </c>
      <c r="J178" s="170">
        <f t="shared" si="35"/>
        <v>1301</v>
      </c>
      <c r="K178" s="101" t="s">
        <v>176</v>
      </c>
      <c r="L178" s="198"/>
    </row>
    <row r="179" spans="1:12" ht="16.5" x14ac:dyDescent="0.25">
      <c r="A179" s="62" t="s">
        <v>980</v>
      </c>
      <c r="B179" s="128"/>
      <c r="C179" s="22"/>
      <c r="D179" s="37"/>
      <c r="E179" s="37"/>
      <c r="F179" s="37"/>
      <c r="G179" s="37"/>
      <c r="H179" s="37"/>
      <c r="I179" s="37"/>
      <c r="J179" s="37"/>
      <c r="K179" s="63"/>
      <c r="L179" s="198"/>
    </row>
    <row r="180" spans="1:12" ht="17.25" thickBot="1" x14ac:dyDescent="0.3">
      <c r="A180" s="60" t="s">
        <v>981</v>
      </c>
      <c r="B180" s="129"/>
      <c r="C180" s="21"/>
      <c r="D180" s="38"/>
      <c r="E180" s="38"/>
      <c r="F180" s="38"/>
      <c r="G180" s="38"/>
      <c r="H180" s="38"/>
      <c r="I180" s="38"/>
      <c r="J180" s="38"/>
      <c r="K180" s="61"/>
      <c r="L180" s="198"/>
    </row>
    <row r="181" spans="1:12" ht="16.5" thickBot="1" x14ac:dyDescent="0.3">
      <c r="A181" s="95">
        <v>182009.1</v>
      </c>
      <c r="B181" s="123" t="s">
        <v>124</v>
      </c>
      <c r="C181" s="12">
        <v>280</v>
      </c>
      <c r="D181" s="84">
        <v>380</v>
      </c>
      <c r="E181" s="84">
        <v>517.54999999999995</v>
      </c>
      <c r="F181" s="173">
        <v>698.4</v>
      </c>
      <c r="G181" s="228">
        <v>838.07999999999993</v>
      </c>
      <c r="H181" s="173">
        <f t="shared" si="25"/>
        <v>978.03935999999999</v>
      </c>
      <c r="I181" s="170">
        <f t="shared" ref="I181:I184" si="36">+J181/1.167</f>
        <v>1114.8243359040273</v>
      </c>
      <c r="J181" s="170">
        <f t="shared" ref="J181:J184" si="37">ROUND(+H181*(1+$J$1),0)</f>
        <v>1301</v>
      </c>
      <c r="K181" s="96" t="s">
        <v>177</v>
      </c>
      <c r="L181" s="198"/>
    </row>
    <row r="182" spans="1:12" ht="27.75" thickBot="1" x14ac:dyDescent="0.3">
      <c r="A182" s="95">
        <v>182009.2</v>
      </c>
      <c r="B182" s="123" t="s">
        <v>124</v>
      </c>
      <c r="C182" s="10">
        <v>280</v>
      </c>
      <c r="D182" s="85">
        <v>380</v>
      </c>
      <c r="E182" s="85">
        <v>517.54999999999995</v>
      </c>
      <c r="F182" s="173">
        <v>698.4</v>
      </c>
      <c r="G182" s="228">
        <v>838.07999999999993</v>
      </c>
      <c r="H182" s="173">
        <f t="shared" si="25"/>
        <v>978.03935999999999</v>
      </c>
      <c r="I182" s="170">
        <f t="shared" si="36"/>
        <v>1114.8243359040273</v>
      </c>
      <c r="J182" s="170">
        <f t="shared" si="37"/>
        <v>1301</v>
      </c>
      <c r="K182" s="96" t="s">
        <v>178</v>
      </c>
      <c r="L182" s="198"/>
    </row>
    <row r="183" spans="1:12" ht="41.25" thickBot="1" x14ac:dyDescent="0.3">
      <c r="A183" s="95">
        <v>191100</v>
      </c>
      <c r="B183" s="123" t="s">
        <v>124</v>
      </c>
      <c r="C183" s="10">
        <v>221</v>
      </c>
      <c r="D183" s="83">
        <f>+C183*$D$1</f>
        <v>299.89999999999998</v>
      </c>
      <c r="E183" s="83">
        <f t="shared" si="30"/>
        <v>407.86399999999998</v>
      </c>
      <c r="F183" s="172">
        <v>550.1</v>
      </c>
      <c r="G183" s="227">
        <v>659.8</v>
      </c>
      <c r="H183" s="172">
        <f t="shared" si="25"/>
        <v>769.98659999999995</v>
      </c>
      <c r="I183" s="170">
        <f t="shared" si="36"/>
        <v>877.46358183376174</v>
      </c>
      <c r="J183" s="170">
        <f t="shared" si="37"/>
        <v>1024</v>
      </c>
      <c r="K183" s="96" t="s">
        <v>179</v>
      </c>
      <c r="L183" s="198"/>
    </row>
    <row r="184" spans="1:12" ht="54.75" thickBot="1" x14ac:dyDescent="0.3">
      <c r="A184" s="95">
        <v>191200</v>
      </c>
      <c r="B184" s="123" t="s">
        <v>124</v>
      </c>
      <c r="C184" s="10">
        <v>280</v>
      </c>
      <c r="D184" s="85">
        <v>380</v>
      </c>
      <c r="E184" s="85">
        <v>517.54999999999995</v>
      </c>
      <c r="F184" s="173">
        <v>698.4</v>
      </c>
      <c r="G184" s="228">
        <v>838.07999999999993</v>
      </c>
      <c r="H184" s="173">
        <f t="shared" si="25"/>
        <v>978.03935999999999</v>
      </c>
      <c r="I184" s="170">
        <f t="shared" si="36"/>
        <v>1114.8243359040273</v>
      </c>
      <c r="J184" s="170">
        <f t="shared" si="37"/>
        <v>1301</v>
      </c>
      <c r="K184" s="96" t="s">
        <v>180</v>
      </c>
      <c r="L184" s="198"/>
    </row>
    <row r="185" spans="1:12" ht="17.25" thickBot="1" x14ac:dyDescent="0.3">
      <c r="A185" s="201" t="s">
        <v>1008</v>
      </c>
      <c r="B185" s="141"/>
      <c r="C185" s="141"/>
      <c r="D185" s="141"/>
      <c r="E185" s="40"/>
      <c r="F185" s="40"/>
      <c r="G185" s="40"/>
      <c r="H185" s="40"/>
      <c r="I185" s="40"/>
      <c r="J185" s="40"/>
      <c r="K185" s="143"/>
      <c r="L185" s="198"/>
    </row>
    <row r="186" spans="1:12" ht="27.75" thickBot="1" x14ac:dyDescent="0.3">
      <c r="A186" s="95">
        <v>192010.1</v>
      </c>
      <c r="B186" s="123" t="s">
        <v>1</v>
      </c>
      <c r="C186" s="10">
        <v>221</v>
      </c>
      <c r="D186" s="56">
        <f>+C186*$D$1</f>
        <v>299.89999999999998</v>
      </c>
      <c r="E186" s="56">
        <f t="shared" si="30"/>
        <v>407.86399999999998</v>
      </c>
      <c r="F186" s="172">
        <v>550.1</v>
      </c>
      <c r="G186" s="227">
        <v>659.8</v>
      </c>
      <c r="H186" s="172">
        <f t="shared" si="25"/>
        <v>769.98659999999995</v>
      </c>
      <c r="I186" s="170">
        <f t="shared" ref="I186:I188" si="38">+J186/1.167</f>
        <v>877.46358183376174</v>
      </c>
      <c r="J186" s="170">
        <f t="shared" ref="J186:J188" si="39">ROUND(+H186*(1+$J$1),0)</f>
        <v>1024</v>
      </c>
      <c r="K186" s="96" t="s">
        <v>181</v>
      </c>
      <c r="L186" s="198"/>
    </row>
    <row r="187" spans="1:12" ht="41.25" thickBot="1" x14ac:dyDescent="0.3">
      <c r="A187" s="95">
        <v>192010.2</v>
      </c>
      <c r="B187" s="123" t="s">
        <v>1</v>
      </c>
      <c r="C187" s="10">
        <v>221</v>
      </c>
      <c r="D187" s="83">
        <f>+C187*$D$1</f>
        <v>299.89999999999998</v>
      </c>
      <c r="E187" s="83">
        <f t="shared" si="30"/>
        <v>407.86399999999998</v>
      </c>
      <c r="F187" s="172">
        <v>550.1</v>
      </c>
      <c r="G187" s="227">
        <v>659.8</v>
      </c>
      <c r="H187" s="172">
        <f t="shared" si="25"/>
        <v>769.98659999999995</v>
      </c>
      <c r="I187" s="170">
        <f t="shared" si="38"/>
        <v>877.46358183376174</v>
      </c>
      <c r="J187" s="170">
        <f t="shared" si="39"/>
        <v>1024</v>
      </c>
      <c r="K187" s="96" t="s">
        <v>182</v>
      </c>
      <c r="L187" s="198"/>
    </row>
    <row r="188" spans="1:12" ht="16.5" thickBot="1" x14ac:dyDescent="0.3">
      <c r="A188" s="104">
        <v>192030</v>
      </c>
      <c r="B188" s="125" t="s">
        <v>1</v>
      </c>
      <c r="C188" s="13">
        <v>180</v>
      </c>
      <c r="D188" s="150">
        <v>244</v>
      </c>
      <c r="E188" s="150">
        <f t="shared" si="30"/>
        <v>331.84000000000003</v>
      </c>
      <c r="F188" s="176">
        <f t="shared" si="26"/>
        <v>447.98400000000009</v>
      </c>
      <c r="G188" s="231">
        <v>537.29999999999995</v>
      </c>
      <c r="H188" s="176">
        <f t="shared" si="25"/>
        <v>627.02909999999997</v>
      </c>
      <c r="I188" s="170">
        <f t="shared" si="38"/>
        <v>714.65295629820048</v>
      </c>
      <c r="J188" s="170">
        <f t="shared" si="39"/>
        <v>834</v>
      </c>
      <c r="K188" s="101" t="s">
        <v>183</v>
      </c>
      <c r="L188" s="198"/>
    </row>
    <row r="189" spans="1:12" ht="16.5" x14ac:dyDescent="0.25">
      <c r="A189" s="151" t="s">
        <v>996</v>
      </c>
      <c r="B189" s="152"/>
      <c r="C189" s="153"/>
      <c r="D189" s="152"/>
      <c r="E189" s="152"/>
      <c r="F189" s="152"/>
      <c r="G189" s="152"/>
      <c r="H189" s="152"/>
      <c r="I189" s="152"/>
      <c r="J189" s="152"/>
      <c r="K189" s="154"/>
      <c r="L189" s="198"/>
    </row>
    <row r="190" spans="1:12" ht="17.25" thickBot="1" x14ac:dyDescent="0.3">
      <c r="A190" s="146" t="s">
        <v>997</v>
      </c>
      <c r="B190" s="147"/>
      <c r="C190" s="148"/>
      <c r="D190" s="147"/>
      <c r="E190" s="147"/>
      <c r="F190" s="147"/>
      <c r="G190" s="147"/>
      <c r="H190" s="147"/>
      <c r="I190" s="147"/>
      <c r="J190" s="147"/>
      <c r="K190" s="149"/>
      <c r="L190" s="198"/>
    </row>
    <row r="191" spans="1:12" ht="41.25" thickBot="1" x14ac:dyDescent="0.3">
      <c r="A191" s="95">
        <v>201000</v>
      </c>
      <c r="B191" s="123" t="s">
        <v>1</v>
      </c>
      <c r="C191" s="12">
        <v>221</v>
      </c>
      <c r="D191" s="83">
        <f>+C191*$D$1</f>
        <v>299.89999999999998</v>
      </c>
      <c r="E191" s="83">
        <f t="shared" si="30"/>
        <v>407.86399999999998</v>
      </c>
      <c r="F191" s="172">
        <v>550.1</v>
      </c>
      <c r="G191" s="227">
        <v>659.8</v>
      </c>
      <c r="H191" s="172">
        <f t="shared" si="25"/>
        <v>769.98659999999995</v>
      </c>
      <c r="I191" s="170">
        <f t="shared" ref="I191:I200" si="40">+J191/1.167</f>
        <v>877.46358183376174</v>
      </c>
      <c r="J191" s="170">
        <f t="shared" ref="J191:J200" si="41">ROUND(+H191*(1+$J$1),0)</f>
        <v>1024</v>
      </c>
      <c r="K191" s="96" t="s">
        <v>184</v>
      </c>
      <c r="L191" s="198"/>
    </row>
    <row r="192" spans="1:12" ht="27.75" thickBot="1" x14ac:dyDescent="0.3">
      <c r="A192" s="95">
        <v>202100</v>
      </c>
      <c r="B192" s="123" t="s">
        <v>1</v>
      </c>
      <c r="C192" s="10">
        <v>221</v>
      </c>
      <c r="D192" s="83">
        <f>+C192*$D$1</f>
        <v>299.89999999999998</v>
      </c>
      <c r="E192" s="83">
        <f t="shared" si="30"/>
        <v>407.86399999999998</v>
      </c>
      <c r="F192" s="172">
        <v>550.1</v>
      </c>
      <c r="G192" s="227">
        <v>659.8</v>
      </c>
      <c r="H192" s="172">
        <f t="shared" si="25"/>
        <v>769.98659999999995</v>
      </c>
      <c r="I192" s="170">
        <f t="shared" si="40"/>
        <v>877.46358183376174</v>
      </c>
      <c r="J192" s="170">
        <f t="shared" si="41"/>
        <v>1024</v>
      </c>
      <c r="K192" s="96" t="s">
        <v>185</v>
      </c>
      <c r="L192" s="198"/>
    </row>
    <row r="193" spans="1:12" ht="41.25" thickBot="1" x14ac:dyDescent="0.3">
      <c r="A193" s="95">
        <v>202201</v>
      </c>
      <c r="B193" s="123" t="s">
        <v>1</v>
      </c>
      <c r="C193" s="10">
        <v>221</v>
      </c>
      <c r="D193" s="83">
        <f>+C193*$D$1</f>
        <v>299.89999999999998</v>
      </c>
      <c r="E193" s="83">
        <f t="shared" si="30"/>
        <v>407.86399999999998</v>
      </c>
      <c r="F193" s="172">
        <v>550.1</v>
      </c>
      <c r="G193" s="227">
        <v>659.8</v>
      </c>
      <c r="H193" s="172">
        <f t="shared" si="25"/>
        <v>769.98659999999995</v>
      </c>
      <c r="I193" s="170">
        <f t="shared" si="40"/>
        <v>877.46358183376174</v>
      </c>
      <c r="J193" s="170">
        <f t="shared" si="41"/>
        <v>1024</v>
      </c>
      <c r="K193" s="96" t="s">
        <v>186</v>
      </c>
      <c r="L193" s="198"/>
    </row>
    <row r="194" spans="1:12" ht="27.75" thickBot="1" x14ac:dyDescent="0.3">
      <c r="A194" s="95">
        <v>202202</v>
      </c>
      <c r="B194" s="123" t="s">
        <v>1</v>
      </c>
      <c r="C194" s="10">
        <v>221</v>
      </c>
      <c r="D194" s="83">
        <f>+C194*$D$1</f>
        <v>299.89999999999998</v>
      </c>
      <c r="E194" s="83">
        <f t="shared" si="30"/>
        <v>407.86399999999998</v>
      </c>
      <c r="F194" s="172">
        <v>550.1</v>
      </c>
      <c r="G194" s="227">
        <v>659.8</v>
      </c>
      <c r="H194" s="172">
        <f t="shared" si="25"/>
        <v>769.98659999999995</v>
      </c>
      <c r="I194" s="170">
        <f t="shared" si="40"/>
        <v>877.46358183376174</v>
      </c>
      <c r="J194" s="170">
        <f t="shared" si="41"/>
        <v>1024</v>
      </c>
      <c r="K194" s="96" t="s">
        <v>187</v>
      </c>
      <c r="L194" s="198"/>
    </row>
    <row r="195" spans="1:12" ht="27.75" thickBot="1" x14ac:dyDescent="0.3">
      <c r="A195" s="95">
        <v>202300</v>
      </c>
      <c r="B195" s="123" t="s">
        <v>1</v>
      </c>
      <c r="C195" s="10">
        <v>221</v>
      </c>
      <c r="D195" s="83">
        <f>+C195*$D$1</f>
        <v>299.89999999999998</v>
      </c>
      <c r="E195" s="83">
        <f t="shared" si="30"/>
        <v>407.86399999999998</v>
      </c>
      <c r="F195" s="172">
        <v>550.1</v>
      </c>
      <c r="G195" s="227">
        <v>659.8</v>
      </c>
      <c r="H195" s="172">
        <f t="shared" si="25"/>
        <v>769.98659999999995</v>
      </c>
      <c r="I195" s="170">
        <f t="shared" si="40"/>
        <v>877.46358183376174</v>
      </c>
      <c r="J195" s="170">
        <f t="shared" si="41"/>
        <v>1024</v>
      </c>
      <c r="K195" s="96" t="s">
        <v>188</v>
      </c>
      <c r="L195" s="198"/>
    </row>
    <row r="196" spans="1:12" ht="27.75" thickBot="1" x14ac:dyDescent="0.3">
      <c r="A196" s="95">
        <v>202901</v>
      </c>
      <c r="B196" s="123" t="s">
        <v>1</v>
      </c>
      <c r="C196" s="10">
        <v>100</v>
      </c>
      <c r="D196" s="83">
        <v>135</v>
      </c>
      <c r="E196" s="83">
        <f t="shared" si="30"/>
        <v>183.60000000000002</v>
      </c>
      <c r="F196" s="172">
        <f t="shared" si="26"/>
        <v>247.86000000000004</v>
      </c>
      <c r="G196" s="227">
        <v>297.3</v>
      </c>
      <c r="H196" s="172">
        <f t="shared" si="25"/>
        <v>346.94910000000004</v>
      </c>
      <c r="I196" s="170">
        <f t="shared" si="40"/>
        <v>395.02999143101971</v>
      </c>
      <c r="J196" s="170">
        <f t="shared" si="41"/>
        <v>461</v>
      </c>
      <c r="K196" s="96" t="s">
        <v>189</v>
      </c>
      <c r="L196" s="198"/>
    </row>
    <row r="197" spans="1:12" ht="16.5" thickBot="1" x14ac:dyDescent="0.3">
      <c r="A197" s="95">
        <v>202902</v>
      </c>
      <c r="B197" s="123" t="s">
        <v>1</v>
      </c>
      <c r="C197" s="10">
        <v>221</v>
      </c>
      <c r="D197" s="83">
        <f>+C197*$D$1</f>
        <v>299.89999999999998</v>
      </c>
      <c r="E197" s="83">
        <f t="shared" si="30"/>
        <v>407.86399999999998</v>
      </c>
      <c r="F197" s="172">
        <v>550.1</v>
      </c>
      <c r="G197" s="227">
        <v>659.8</v>
      </c>
      <c r="H197" s="172">
        <f t="shared" si="25"/>
        <v>769.98659999999995</v>
      </c>
      <c r="I197" s="170">
        <f t="shared" si="40"/>
        <v>877.46358183376174</v>
      </c>
      <c r="J197" s="170">
        <f t="shared" si="41"/>
        <v>1024</v>
      </c>
      <c r="K197" s="96" t="s">
        <v>190</v>
      </c>
      <c r="L197" s="198"/>
    </row>
    <row r="198" spans="1:12" ht="27.75" thickBot="1" x14ac:dyDescent="0.3">
      <c r="A198" s="95">
        <v>202903</v>
      </c>
      <c r="B198" s="123" t="s">
        <v>1</v>
      </c>
      <c r="C198" s="10">
        <v>160</v>
      </c>
      <c r="D198" s="83">
        <v>218</v>
      </c>
      <c r="E198" s="83">
        <f t="shared" si="30"/>
        <v>296.48</v>
      </c>
      <c r="F198" s="172">
        <f t="shared" si="26"/>
        <v>400.24800000000005</v>
      </c>
      <c r="G198" s="227">
        <v>479.9</v>
      </c>
      <c r="H198" s="172">
        <f t="shared" si="25"/>
        <v>560.04330000000004</v>
      </c>
      <c r="I198" s="170">
        <f t="shared" si="40"/>
        <v>638.38903170522701</v>
      </c>
      <c r="J198" s="170">
        <f t="shared" si="41"/>
        <v>745</v>
      </c>
      <c r="K198" s="96" t="s">
        <v>191</v>
      </c>
      <c r="L198" s="198"/>
    </row>
    <row r="199" spans="1:12" ht="16.5" thickBot="1" x14ac:dyDescent="0.3">
      <c r="A199" s="95">
        <v>202904</v>
      </c>
      <c r="B199" s="123" t="s">
        <v>1</v>
      </c>
      <c r="C199" s="10">
        <v>160</v>
      </c>
      <c r="D199" s="83">
        <v>218</v>
      </c>
      <c r="E199" s="83">
        <f t="shared" si="30"/>
        <v>296.48</v>
      </c>
      <c r="F199" s="172">
        <f t="shared" si="26"/>
        <v>400.24800000000005</v>
      </c>
      <c r="G199" s="227">
        <v>479.9</v>
      </c>
      <c r="H199" s="172">
        <f t="shared" ref="H199:H262" si="42">G199*1.167</f>
        <v>560.04330000000004</v>
      </c>
      <c r="I199" s="170">
        <f t="shared" si="40"/>
        <v>638.38903170522701</v>
      </c>
      <c r="J199" s="170">
        <f t="shared" si="41"/>
        <v>745</v>
      </c>
      <c r="K199" s="96" t="s">
        <v>192</v>
      </c>
      <c r="L199" s="198"/>
    </row>
    <row r="200" spans="1:12" ht="27.75" thickBot="1" x14ac:dyDescent="0.3">
      <c r="A200" s="95">
        <v>202909</v>
      </c>
      <c r="B200" s="123" t="s">
        <v>1</v>
      </c>
      <c r="C200" s="10">
        <v>160</v>
      </c>
      <c r="D200" s="83">
        <v>218</v>
      </c>
      <c r="E200" s="83">
        <f t="shared" si="30"/>
        <v>296.48</v>
      </c>
      <c r="F200" s="172">
        <f t="shared" si="26"/>
        <v>400.24800000000005</v>
      </c>
      <c r="G200" s="227">
        <v>479.9</v>
      </c>
      <c r="H200" s="172">
        <f t="shared" si="42"/>
        <v>560.04330000000004</v>
      </c>
      <c r="I200" s="170">
        <f t="shared" si="40"/>
        <v>638.38903170522701</v>
      </c>
      <c r="J200" s="170">
        <f t="shared" si="41"/>
        <v>745</v>
      </c>
      <c r="K200" s="96" t="s">
        <v>193</v>
      </c>
      <c r="L200" s="198"/>
    </row>
    <row r="201" spans="1:12" ht="17.25" thickBot="1" x14ac:dyDescent="0.3">
      <c r="A201" s="97" t="s">
        <v>194</v>
      </c>
      <c r="B201" s="75"/>
      <c r="C201" s="1"/>
      <c r="D201" s="34"/>
      <c r="E201" s="34"/>
      <c r="F201" s="34"/>
      <c r="G201" s="34"/>
      <c r="H201" s="34"/>
      <c r="I201" s="34"/>
      <c r="J201" s="34"/>
      <c r="K201" s="99"/>
      <c r="L201" s="198"/>
    </row>
    <row r="202" spans="1:12" ht="16.5" thickBot="1" x14ac:dyDescent="0.3">
      <c r="A202" s="95">
        <v>210101</v>
      </c>
      <c r="B202" s="123" t="s">
        <v>1</v>
      </c>
      <c r="C202" s="10">
        <v>221</v>
      </c>
      <c r="D202" s="56">
        <f t="shared" ref="D202:D208" si="43">+C202*$D$1</f>
        <v>299.89999999999998</v>
      </c>
      <c r="E202" s="56">
        <f t="shared" si="30"/>
        <v>407.86399999999998</v>
      </c>
      <c r="F202" s="172">
        <v>550.1</v>
      </c>
      <c r="G202" s="227">
        <v>659.8</v>
      </c>
      <c r="H202" s="172">
        <f t="shared" si="42"/>
        <v>769.98659999999995</v>
      </c>
      <c r="I202" s="170">
        <f t="shared" ref="I202:I208" si="44">+J202/1.167</f>
        <v>877.46358183376174</v>
      </c>
      <c r="J202" s="170">
        <f t="shared" ref="J202:J208" si="45">ROUND(+H202*(1+$J$1),0)</f>
        <v>1024</v>
      </c>
      <c r="K202" s="96" t="s">
        <v>195</v>
      </c>
      <c r="L202" s="198"/>
    </row>
    <row r="203" spans="1:12" ht="16.5" thickBot="1" x14ac:dyDescent="0.3">
      <c r="A203" s="95">
        <v>210102</v>
      </c>
      <c r="B203" s="123" t="s">
        <v>1</v>
      </c>
      <c r="C203" s="10">
        <v>221</v>
      </c>
      <c r="D203" s="83">
        <f t="shared" si="43"/>
        <v>299.89999999999998</v>
      </c>
      <c r="E203" s="83">
        <f t="shared" si="30"/>
        <v>407.86399999999998</v>
      </c>
      <c r="F203" s="172">
        <v>550.1</v>
      </c>
      <c r="G203" s="227">
        <v>659.8</v>
      </c>
      <c r="H203" s="172">
        <f t="shared" si="42"/>
        <v>769.98659999999995</v>
      </c>
      <c r="I203" s="170">
        <f t="shared" si="44"/>
        <v>877.46358183376174</v>
      </c>
      <c r="J203" s="170">
        <f t="shared" si="45"/>
        <v>1024</v>
      </c>
      <c r="K203" s="96" t="s">
        <v>196</v>
      </c>
      <c r="L203" s="198"/>
    </row>
    <row r="204" spans="1:12" ht="16.5" thickBot="1" x14ac:dyDescent="0.3">
      <c r="A204" s="95">
        <v>210201</v>
      </c>
      <c r="B204" s="123" t="s">
        <v>1</v>
      </c>
      <c r="C204" s="10">
        <v>221</v>
      </c>
      <c r="D204" s="83">
        <f t="shared" si="43"/>
        <v>299.89999999999998</v>
      </c>
      <c r="E204" s="83">
        <f t="shared" si="30"/>
        <v>407.86399999999998</v>
      </c>
      <c r="F204" s="172">
        <v>550.1</v>
      </c>
      <c r="G204" s="227">
        <v>659.8</v>
      </c>
      <c r="H204" s="172">
        <f t="shared" si="42"/>
        <v>769.98659999999995</v>
      </c>
      <c r="I204" s="170">
        <f t="shared" si="44"/>
        <v>877.46358183376174</v>
      </c>
      <c r="J204" s="170">
        <f t="shared" si="45"/>
        <v>1024</v>
      </c>
      <c r="K204" s="96" t="s">
        <v>197</v>
      </c>
      <c r="L204" s="198"/>
    </row>
    <row r="205" spans="1:12" ht="16.5" thickBot="1" x14ac:dyDescent="0.3">
      <c r="A205" s="95">
        <v>210202</v>
      </c>
      <c r="B205" s="123" t="s">
        <v>1</v>
      </c>
      <c r="C205" s="10">
        <v>221</v>
      </c>
      <c r="D205" s="83">
        <f t="shared" si="43"/>
        <v>299.89999999999998</v>
      </c>
      <c r="E205" s="83">
        <f t="shared" si="30"/>
        <v>407.86399999999998</v>
      </c>
      <c r="F205" s="172">
        <v>550.1</v>
      </c>
      <c r="G205" s="227">
        <v>659.8</v>
      </c>
      <c r="H205" s="172">
        <f t="shared" si="42"/>
        <v>769.98659999999995</v>
      </c>
      <c r="I205" s="170">
        <f t="shared" si="44"/>
        <v>877.46358183376174</v>
      </c>
      <c r="J205" s="170">
        <f t="shared" si="45"/>
        <v>1024</v>
      </c>
      <c r="K205" s="96" t="s">
        <v>198</v>
      </c>
      <c r="L205" s="198"/>
    </row>
    <row r="206" spans="1:12" ht="27.75" thickBot="1" x14ac:dyDescent="0.3">
      <c r="A206" s="95">
        <v>210990.1</v>
      </c>
      <c r="B206" s="123" t="s">
        <v>1</v>
      </c>
      <c r="C206" s="10">
        <v>221</v>
      </c>
      <c r="D206" s="83">
        <f t="shared" si="43"/>
        <v>299.89999999999998</v>
      </c>
      <c r="E206" s="83">
        <f t="shared" si="30"/>
        <v>407.86399999999998</v>
      </c>
      <c r="F206" s="172">
        <v>550.1</v>
      </c>
      <c r="G206" s="227">
        <v>659.8</v>
      </c>
      <c r="H206" s="172">
        <f t="shared" si="42"/>
        <v>769.98659999999995</v>
      </c>
      <c r="I206" s="170">
        <f t="shared" si="44"/>
        <v>877.46358183376174</v>
      </c>
      <c r="J206" s="170">
        <f t="shared" si="45"/>
        <v>1024</v>
      </c>
      <c r="K206" s="96" t="s">
        <v>199</v>
      </c>
      <c r="L206" s="198"/>
    </row>
    <row r="207" spans="1:12" ht="27.75" thickBot="1" x14ac:dyDescent="0.3">
      <c r="A207" s="95">
        <v>210990.2</v>
      </c>
      <c r="B207" s="123" t="s">
        <v>1</v>
      </c>
      <c r="C207" s="10">
        <v>221</v>
      </c>
      <c r="D207" s="83">
        <f t="shared" si="43"/>
        <v>299.89999999999998</v>
      </c>
      <c r="E207" s="83">
        <f t="shared" si="30"/>
        <v>407.86399999999998</v>
      </c>
      <c r="F207" s="172">
        <v>550.1</v>
      </c>
      <c r="G207" s="227">
        <v>659.8</v>
      </c>
      <c r="H207" s="172">
        <f t="shared" si="42"/>
        <v>769.98659999999995</v>
      </c>
      <c r="I207" s="170">
        <f t="shared" si="44"/>
        <v>877.46358183376174</v>
      </c>
      <c r="J207" s="170">
        <f t="shared" si="45"/>
        <v>1024</v>
      </c>
      <c r="K207" s="96" t="s">
        <v>200</v>
      </c>
      <c r="L207" s="198"/>
    </row>
    <row r="208" spans="1:12" ht="27.75" thickBot="1" x14ac:dyDescent="0.3">
      <c r="A208" s="95">
        <v>210991</v>
      </c>
      <c r="B208" s="123" t="s">
        <v>1</v>
      </c>
      <c r="C208" s="10">
        <v>221</v>
      </c>
      <c r="D208" s="83">
        <f t="shared" si="43"/>
        <v>299.89999999999998</v>
      </c>
      <c r="E208" s="83">
        <f t="shared" si="30"/>
        <v>407.86399999999998</v>
      </c>
      <c r="F208" s="172">
        <v>550.1</v>
      </c>
      <c r="G208" s="227">
        <v>659.8</v>
      </c>
      <c r="H208" s="172">
        <f t="shared" si="42"/>
        <v>769.98659999999995</v>
      </c>
      <c r="I208" s="170">
        <f t="shared" si="44"/>
        <v>877.46358183376174</v>
      </c>
      <c r="J208" s="170">
        <f t="shared" si="45"/>
        <v>1024</v>
      </c>
      <c r="K208" s="96" t="s">
        <v>201</v>
      </c>
      <c r="L208" s="198"/>
    </row>
    <row r="209" spans="1:12" ht="17.25" thickBot="1" x14ac:dyDescent="0.3">
      <c r="A209" s="97" t="s">
        <v>202</v>
      </c>
      <c r="B209" s="75"/>
      <c r="C209" s="1"/>
      <c r="D209" s="34"/>
      <c r="E209" s="34"/>
      <c r="F209" s="34"/>
      <c r="G209" s="34"/>
      <c r="H209" s="34"/>
      <c r="I209" s="34"/>
      <c r="J209" s="34"/>
      <c r="K209" s="99"/>
      <c r="L209" s="198"/>
    </row>
    <row r="210" spans="1:12" ht="27.75" thickBot="1" x14ac:dyDescent="0.3">
      <c r="A210" s="95">
        <v>221100</v>
      </c>
      <c r="B210" s="123" t="s">
        <v>1</v>
      </c>
      <c r="C210" s="10">
        <v>221</v>
      </c>
      <c r="D210" s="56">
        <f>+C210*$D$1</f>
        <v>299.89999999999998</v>
      </c>
      <c r="E210" s="56">
        <f t="shared" ref="E210:E273" si="46">+D210*1.36</f>
        <v>407.86399999999998</v>
      </c>
      <c r="F210" s="172">
        <v>550.1</v>
      </c>
      <c r="G210" s="227">
        <v>659.8</v>
      </c>
      <c r="H210" s="172">
        <f t="shared" si="42"/>
        <v>769.98659999999995</v>
      </c>
      <c r="I210" s="170">
        <f t="shared" ref="I210:I216" si="47">+J210/1.167</f>
        <v>877.46358183376174</v>
      </c>
      <c r="J210" s="170">
        <f t="shared" ref="J210:J216" si="48">ROUND(+H210*(1+$J$1),0)</f>
        <v>1024</v>
      </c>
      <c r="K210" s="96" t="s">
        <v>203</v>
      </c>
      <c r="L210" s="198"/>
    </row>
    <row r="211" spans="1:12" ht="16.5" thickBot="1" x14ac:dyDescent="0.3">
      <c r="A211" s="95">
        <v>221200</v>
      </c>
      <c r="B211" s="123" t="s">
        <v>1</v>
      </c>
      <c r="C211" s="10">
        <v>100</v>
      </c>
      <c r="D211" s="83">
        <v>135</v>
      </c>
      <c r="E211" s="83">
        <f t="shared" si="46"/>
        <v>183.60000000000002</v>
      </c>
      <c r="F211" s="172">
        <f t="shared" ref="F211:F247" si="49">+E211*$F$1</f>
        <v>247.86000000000004</v>
      </c>
      <c r="G211" s="227">
        <v>297.3</v>
      </c>
      <c r="H211" s="172">
        <f t="shared" si="42"/>
        <v>346.94910000000004</v>
      </c>
      <c r="I211" s="170">
        <f t="shared" si="47"/>
        <v>395.02999143101971</v>
      </c>
      <c r="J211" s="170">
        <f t="shared" si="48"/>
        <v>461</v>
      </c>
      <c r="K211" s="96" t="s">
        <v>204</v>
      </c>
      <c r="L211" s="198"/>
    </row>
    <row r="212" spans="1:12" ht="16.5" thickBot="1" x14ac:dyDescent="0.3">
      <c r="A212" s="95">
        <v>221900.1</v>
      </c>
      <c r="B212" s="123" t="s">
        <v>1</v>
      </c>
      <c r="C212" s="10">
        <v>100</v>
      </c>
      <c r="D212" s="83">
        <v>135</v>
      </c>
      <c r="E212" s="83">
        <f t="shared" si="46"/>
        <v>183.60000000000002</v>
      </c>
      <c r="F212" s="172">
        <f t="shared" si="49"/>
        <v>247.86000000000004</v>
      </c>
      <c r="G212" s="227">
        <v>297.3</v>
      </c>
      <c r="H212" s="172">
        <f t="shared" si="42"/>
        <v>346.94910000000004</v>
      </c>
      <c r="I212" s="170">
        <f t="shared" si="47"/>
        <v>395.02999143101971</v>
      </c>
      <c r="J212" s="170">
        <f t="shared" si="48"/>
        <v>461</v>
      </c>
      <c r="K212" s="96" t="s">
        <v>205</v>
      </c>
      <c r="L212" s="198"/>
    </row>
    <row r="213" spans="1:12" ht="16.5" thickBot="1" x14ac:dyDescent="0.3">
      <c r="A213" s="95">
        <v>221900.2</v>
      </c>
      <c r="B213" s="123" t="s">
        <v>1</v>
      </c>
      <c r="C213" s="10">
        <v>100</v>
      </c>
      <c r="D213" s="83">
        <v>135</v>
      </c>
      <c r="E213" s="83">
        <f t="shared" si="46"/>
        <v>183.60000000000002</v>
      </c>
      <c r="F213" s="172">
        <f t="shared" si="49"/>
        <v>247.86000000000004</v>
      </c>
      <c r="G213" s="227">
        <v>297.3</v>
      </c>
      <c r="H213" s="172">
        <f t="shared" si="42"/>
        <v>346.94910000000004</v>
      </c>
      <c r="I213" s="170">
        <f t="shared" si="47"/>
        <v>395.02999143101971</v>
      </c>
      <c r="J213" s="170">
        <f t="shared" si="48"/>
        <v>461</v>
      </c>
      <c r="K213" s="96" t="s">
        <v>206</v>
      </c>
      <c r="L213" s="198"/>
    </row>
    <row r="214" spans="1:12" ht="16.5" thickBot="1" x14ac:dyDescent="0.3">
      <c r="A214" s="95">
        <v>222101</v>
      </c>
      <c r="B214" s="123" t="s">
        <v>1</v>
      </c>
      <c r="C214" s="10">
        <v>100</v>
      </c>
      <c r="D214" s="83">
        <v>135</v>
      </c>
      <c r="E214" s="83">
        <f t="shared" si="46"/>
        <v>183.60000000000002</v>
      </c>
      <c r="F214" s="172">
        <f t="shared" si="49"/>
        <v>247.86000000000004</v>
      </c>
      <c r="G214" s="227">
        <v>297.3</v>
      </c>
      <c r="H214" s="172">
        <f t="shared" si="42"/>
        <v>346.94910000000004</v>
      </c>
      <c r="I214" s="170">
        <f t="shared" si="47"/>
        <v>395.02999143101971</v>
      </c>
      <c r="J214" s="170">
        <f t="shared" si="48"/>
        <v>461</v>
      </c>
      <c r="K214" s="96" t="s">
        <v>207</v>
      </c>
      <c r="L214" s="198"/>
    </row>
    <row r="215" spans="1:12" ht="27.75" thickBot="1" x14ac:dyDescent="0.3">
      <c r="A215" s="95">
        <v>222109</v>
      </c>
      <c r="B215" s="123" t="s">
        <v>1</v>
      </c>
      <c r="C215" s="10">
        <v>100</v>
      </c>
      <c r="D215" s="83">
        <v>135</v>
      </c>
      <c r="E215" s="83">
        <f t="shared" si="46"/>
        <v>183.60000000000002</v>
      </c>
      <c r="F215" s="172">
        <f t="shared" si="49"/>
        <v>247.86000000000004</v>
      </c>
      <c r="G215" s="227">
        <v>297.3</v>
      </c>
      <c r="H215" s="172">
        <f t="shared" si="42"/>
        <v>346.94910000000004</v>
      </c>
      <c r="I215" s="170">
        <f t="shared" si="47"/>
        <v>395.02999143101971</v>
      </c>
      <c r="J215" s="170">
        <f t="shared" si="48"/>
        <v>461</v>
      </c>
      <c r="K215" s="96" t="s">
        <v>208</v>
      </c>
      <c r="L215" s="198"/>
    </row>
    <row r="216" spans="1:12" ht="27.75" thickBot="1" x14ac:dyDescent="0.3">
      <c r="A216" s="95">
        <v>222200</v>
      </c>
      <c r="B216" s="123" t="s">
        <v>1</v>
      </c>
      <c r="C216" s="10">
        <v>100</v>
      </c>
      <c r="D216" s="83">
        <v>135</v>
      </c>
      <c r="E216" s="83">
        <f t="shared" si="46"/>
        <v>183.60000000000002</v>
      </c>
      <c r="F216" s="172">
        <f t="shared" si="49"/>
        <v>247.86000000000004</v>
      </c>
      <c r="G216" s="227">
        <v>297.3</v>
      </c>
      <c r="H216" s="172">
        <f t="shared" si="42"/>
        <v>346.94910000000004</v>
      </c>
      <c r="I216" s="170">
        <f t="shared" si="47"/>
        <v>395.02999143101971</v>
      </c>
      <c r="J216" s="170">
        <f t="shared" si="48"/>
        <v>461</v>
      </c>
      <c r="K216" s="96" t="s">
        <v>209</v>
      </c>
      <c r="L216" s="198"/>
    </row>
    <row r="217" spans="1:12" ht="17.25" thickBot="1" x14ac:dyDescent="0.3">
      <c r="A217" s="202" t="s">
        <v>210</v>
      </c>
      <c r="B217" s="75"/>
      <c r="C217" s="24"/>
      <c r="D217" s="39"/>
      <c r="E217" s="39"/>
      <c r="F217" s="39"/>
      <c r="G217" s="39"/>
      <c r="H217" s="39"/>
      <c r="I217" s="39"/>
      <c r="J217" s="39"/>
      <c r="K217" s="99"/>
      <c r="L217" s="198"/>
    </row>
    <row r="218" spans="1:12" ht="41.25" thickBot="1" x14ac:dyDescent="0.3">
      <c r="A218" s="95">
        <v>232000</v>
      </c>
      <c r="B218" s="123" t="s">
        <v>1</v>
      </c>
      <c r="C218" s="10">
        <v>280</v>
      </c>
      <c r="D218" s="84">
        <v>380</v>
      </c>
      <c r="E218" s="84">
        <v>517.54999999999995</v>
      </c>
      <c r="F218" s="173">
        <v>698.4</v>
      </c>
      <c r="G218" s="228">
        <v>838.07999999999993</v>
      </c>
      <c r="H218" s="173">
        <f t="shared" si="42"/>
        <v>978.03935999999999</v>
      </c>
      <c r="I218" s="170">
        <f t="shared" ref="I218" si="50">+J218/1.167</f>
        <v>1114.8243359040273</v>
      </c>
      <c r="J218" s="170">
        <f t="shared" ref="J218" si="51">ROUND(+H218*(1+$J$1),0)</f>
        <v>1301</v>
      </c>
      <c r="K218" s="96" t="s">
        <v>211</v>
      </c>
      <c r="L218" s="198"/>
    </row>
    <row r="219" spans="1:12" ht="17.25" thickBot="1" x14ac:dyDescent="0.3">
      <c r="A219" s="97" t="s">
        <v>212</v>
      </c>
      <c r="B219" s="75"/>
      <c r="C219" s="1"/>
      <c r="D219" s="34"/>
      <c r="E219" s="34"/>
      <c r="F219" s="34"/>
      <c r="G219" s="34"/>
      <c r="H219" s="34"/>
      <c r="I219" s="34"/>
      <c r="J219" s="34"/>
      <c r="K219" s="99"/>
      <c r="L219" s="198"/>
    </row>
    <row r="220" spans="1:12" ht="27.75" thickBot="1" x14ac:dyDescent="0.3">
      <c r="A220" s="95">
        <v>241110.1</v>
      </c>
      <c r="B220" s="123" t="s">
        <v>1</v>
      </c>
      <c r="C220" s="10">
        <v>280</v>
      </c>
      <c r="D220" s="84">
        <v>380</v>
      </c>
      <c r="E220" s="84">
        <v>517.54999999999995</v>
      </c>
      <c r="F220" s="173">
        <v>698.4</v>
      </c>
      <c r="G220" s="228">
        <v>838.07999999999993</v>
      </c>
      <c r="H220" s="173">
        <f t="shared" si="42"/>
        <v>978.03935999999999</v>
      </c>
      <c r="I220" s="170">
        <f t="shared" ref="I220:I229" si="52">+J220/1.167</f>
        <v>1114.8243359040273</v>
      </c>
      <c r="J220" s="170">
        <f t="shared" ref="J220:J229" si="53">ROUND(+H220*(1+$J$1),0)</f>
        <v>1301</v>
      </c>
      <c r="K220" s="96" t="s">
        <v>213</v>
      </c>
      <c r="L220" s="198"/>
    </row>
    <row r="221" spans="1:12" ht="27.75" thickBot="1" x14ac:dyDescent="0.3">
      <c r="A221" s="95">
        <v>241110.2</v>
      </c>
      <c r="B221" s="123" t="s">
        <v>1</v>
      </c>
      <c r="C221" s="10">
        <v>280</v>
      </c>
      <c r="D221" s="85">
        <v>380</v>
      </c>
      <c r="E221" s="85">
        <v>517.54999999999995</v>
      </c>
      <c r="F221" s="173">
        <v>698.4</v>
      </c>
      <c r="G221" s="228">
        <v>838.07999999999993</v>
      </c>
      <c r="H221" s="173">
        <f t="shared" si="42"/>
        <v>978.03935999999999</v>
      </c>
      <c r="I221" s="170">
        <f t="shared" si="52"/>
        <v>1114.8243359040273</v>
      </c>
      <c r="J221" s="170">
        <f t="shared" si="53"/>
        <v>1301</v>
      </c>
      <c r="K221" s="96" t="s">
        <v>214</v>
      </c>
      <c r="L221" s="198"/>
    </row>
    <row r="222" spans="1:12" ht="27.75" thickBot="1" x14ac:dyDescent="0.3">
      <c r="A222" s="95">
        <v>241120</v>
      </c>
      <c r="B222" s="123" t="s">
        <v>1</v>
      </c>
      <c r="C222" s="10">
        <v>221</v>
      </c>
      <c r="D222" s="83">
        <f t="shared" ref="D222:D229" si="54">+C222*$D$1</f>
        <v>299.89999999999998</v>
      </c>
      <c r="E222" s="83">
        <f t="shared" si="46"/>
        <v>407.86399999999998</v>
      </c>
      <c r="F222" s="172">
        <v>550.1</v>
      </c>
      <c r="G222" s="227">
        <v>659.8</v>
      </c>
      <c r="H222" s="172">
        <f t="shared" si="42"/>
        <v>769.98659999999995</v>
      </c>
      <c r="I222" s="170">
        <f t="shared" si="52"/>
        <v>877.46358183376174</v>
      </c>
      <c r="J222" s="170">
        <f t="shared" si="53"/>
        <v>1024</v>
      </c>
      <c r="K222" s="96" t="s">
        <v>215</v>
      </c>
      <c r="L222" s="198"/>
    </row>
    <row r="223" spans="1:12" ht="16.5" thickBot="1" x14ac:dyDescent="0.3">
      <c r="A223" s="95">
        <v>241130</v>
      </c>
      <c r="B223" s="123" t="s">
        <v>1</v>
      </c>
      <c r="C223" s="10">
        <v>221</v>
      </c>
      <c r="D223" s="83">
        <f t="shared" si="54"/>
        <v>299.89999999999998</v>
      </c>
      <c r="E223" s="83">
        <f t="shared" si="46"/>
        <v>407.86399999999998</v>
      </c>
      <c r="F223" s="172">
        <v>550.1</v>
      </c>
      <c r="G223" s="227">
        <v>659.8</v>
      </c>
      <c r="H223" s="172">
        <f t="shared" si="42"/>
        <v>769.98659999999995</v>
      </c>
      <c r="I223" s="170">
        <f t="shared" si="52"/>
        <v>877.46358183376174</v>
      </c>
      <c r="J223" s="170">
        <f t="shared" si="53"/>
        <v>1024</v>
      </c>
      <c r="K223" s="96" t="s">
        <v>216</v>
      </c>
      <c r="L223" s="198"/>
    </row>
    <row r="224" spans="1:12" ht="27.75" thickBot="1" x14ac:dyDescent="0.3">
      <c r="A224" s="95">
        <v>241180</v>
      </c>
      <c r="B224" s="123" t="s">
        <v>1</v>
      </c>
      <c r="C224" s="10">
        <v>221</v>
      </c>
      <c r="D224" s="83">
        <f t="shared" si="54"/>
        <v>299.89999999999998</v>
      </c>
      <c r="E224" s="83">
        <f t="shared" si="46"/>
        <v>407.86399999999998</v>
      </c>
      <c r="F224" s="172">
        <v>550.1</v>
      </c>
      <c r="G224" s="227">
        <v>659.8</v>
      </c>
      <c r="H224" s="172">
        <f t="shared" si="42"/>
        <v>769.98659999999995</v>
      </c>
      <c r="I224" s="170">
        <f t="shared" si="52"/>
        <v>877.46358183376174</v>
      </c>
      <c r="J224" s="170">
        <f t="shared" si="53"/>
        <v>1024</v>
      </c>
      <c r="K224" s="96" t="s">
        <v>217</v>
      </c>
      <c r="L224" s="198"/>
    </row>
    <row r="225" spans="1:12" ht="68.25" thickBot="1" x14ac:dyDescent="0.3">
      <c r="A225" s="95">
        <v>241190</v>
      </c>
      <c r="B225" s="123" t="s">
        <v>1</v>
      </c>
      <c r="C225" s="10">
        <v>221</v>
      </c>
      <c r="D225" s="83">
        <f t="shared" si="54"/>
        <v>299.89999999999998</v>
      </c>
      <c r="E225" s="83">
        <f t="shared" si="46"/>
        <v>407.86399999999998</v>
      </c>
      <c r="F225" s="172">
        <v>550.1</v>
      </c>
      <c r="G225" s="227">
        <v>659.8</v>
      </c>
      <c r="H225" s="172">
        <f t="shared" si="42"/>
        <v>769.98659999999995</v>
      </c>
      <c r="I225" s="170">
        <f t="shared" si="52"/>
        <v>877.46358183376174</v>
      </c>
      <c r="J225" s="170">
        <f t="shared" si="53"/>
        <v>1024</v>
      </c>
      <c r="K225" s="96" t="s">
        <v>218</v>
      </c>
      <c r="L225" s="198"/>
    </row>
    <row r="226" spans="1:12" ht="27.75" thickBot="1" x14ac:dyDescent="0.3">
      <c r="A226" s="95">
        <v>241200</v>
      </c>
      <c r="B226" s="123" t="s">
        <v>1</v>
      </c>
      <c r="C226" s="10">
        <v>221</v>
      </c>
      <c r="D226" s="83">
        <f t="shared" si="54"/>
        <v>299.89999999999998</v>
      </c>
      <c r="E226" s="83">
        <f t="shared" si="46"/>
        <v>407.86399999999998</v>
      </c>
      <c r="F226" s="172">
        <v>550.1</v>
      </c>
      <c r="G226" s="227">
        <v>659.8</v>
      </c>
      <c r="H226" s="172">
        <f t="shared" si="42"/>
        <v>769.98659999999995</v>
      </c>
      <c r="I226" s="170">
        <f t="shared" si="52"/>
        <v>877.46358183376174</v>
      </c>
      <c r="J226" s="170">
        <f t="shared" si="53"/>
        <v>1024</v>
      </c>
      <c r="K226" s="96" t="s">
        <v>219</v>
      </c>
      <c r="L226" s="198"/>
    </row>
    <row r="227" spans="1:12" ht="16.5" thickBot="1" x14ac:dyDescent="0.3">
      <c r="A227" s="95">
        <v>241301</v>
      </c>
      <c r="B227" s="123" t="s">
        <v>1</v>
      </c>
      <c r="C227" s="10">
        <v>221</v>
      </c>
      <c r="D227" s="83">
        <f t="shared" si="54"/>
        <v>299.89999999999998</v>
      </c>
      <c r="E227" s="83">
        <f t="shared" si="46"/>
        <v>407.86399999999998</v>
      </c>
      <c r="F227" s="172">
        <v>550.1</v>
      </c>
      <c r="G227" s="227">
        <v>659.8</v>
      </c>
      <c r="H227" s="172">
        <f t="shared" si="42"/>
        <v>769.98659999999995</v>
      </c>
      <c r="I227" s="170">
        <f t="shared" si="52"/>
        <v>877.46358183376174</v>
      </c>
      <c r="J227" s="170">
        <f t="shared" si="53"/>
        <v>1024</v>
      </c>
      <c r="K227" s="96" t="s">
        <v>220</v>
      </c>
      <c r="L227" s="198"/>
    </row>
    <row r="228" spans="1:12" ht="16.5" thickBot="1" x14ac:dyDescent="0.3">
      <c r="A228" s="95">
        <v>241309</v>
      </c>
      <c r="B228" s="123" t="s">
        <v>1</v>
      </c>
      <c r="C228" s="10">
        <v>221</v>
      </c>
      <c r="D228" s="83">
        <f t="shared" si="54"/>
        <v>299.89999999999998</v>
      </c>
      <c r="E228" s="83">
        <f t="shared" si="46"/>
        <v>407.86399999999998</v>
      </c>
      <c r="F228" s="172">
        <v>550.1</v>
      </c>
      <c r="G228" s="227">
        <v>659.8</v>
      </c>
      <c r="H228" s="172">
        <f t="shared" si="42"/>
        <v>769.98659999999995</v>
      </c>
      <c r="I228" s="170">
        <f t="shared" si="52"/>
        <v>877.46358183376174</v>
      </c>
      <c r="J228" s="170">
        <f t="shared" si="53"/>
        <v>1024</v>
      </c>
      <c r="K228" s="96" t="s">
        <v>221</v>
      </c>
      <c r="L228" s="198"/>
    </row>
    <row r="229" spans="1:12" ht="27.75" thickBot="1" x14ac:dyDescent="0.3">
      <c r="A229" s="95">
        <v>243000</v>
      </c>
      <c r="B229" s="123" t="s">
        <v>1</v>
      </c>
      <c r="C229" s="10">
        <v>221</v>
      </c>
      <c r="D229" s="83">
        <f t="shared" si="54"/>
        <v>299.89999999999998</v>
      </c>
      <c r="E229" s="83">
        <f t="shared" si="46"/>
        <v>407.86399999999998</v>
      </c>
      <c r="F229" s="172">
        <v>550.1</v>
      </c>
      <c r="G229" s="227">
        <v>659.8</v>
      </c>
      <c r="H229" s="172">
        <f t="shared" si="42"/>
        <v>769.98659999999995</v>
      </c>
      <c r="I229" s="170">
        <f t="shared" si="52"/>
        <v>877.46358183376174</v>
      </c>
      <c r="J229" s="170">
        <f t="shared" si="53"/>
        <v>1024</v>
      </c>
      <c r="K229" s="96" t="s">
        <v>222</v>
      </c>
      <c r="L229" s="198"/>
    </row>
    <row r="230" spans="1:12" ht="17.25" thickBot="1" x14ac:dyDescent="0.3">
      <c r="A230" s="97" t="s">
        <v>223</v>
      </c>
      <c r="B230" s="75"/>
      <c r="C230" s="1"/>
      <c r="D230" s="34"/>
      <c r="E230" s="34"/>
      <c r="F230" s="34"/>
      <c r="G230" s="34"/>
      <c r="H230" s="34"/>
      <c r="I230" s="34"/>
      <c r="J230" s="34"/>
      <c r="K230" s="99"/>
      <c r="L230" s="198"/>
    </row>
    <row r="231" spans="1:12" ht="27.75" thickBot="1" x14ac:dyDescent="0.3">
      <c r="A231" s="95">
        <v>242100</v>
      </c>
      <c r="B231" s="123" t="s">
        <v>1</v>
      </c>
      <c r="C231" s="10">
        <v>221</v>
      </c>
      <c r="D231" s="56">
        <f t="shared" ref="D231:D238" si="55">+C231*$D$1</f>
        <v>299.89999999999998</v>
      </c>
      <c r="E231" s="56">
        <f t="shared" si="46"/>
        <v>407.86399999999998</v>
      </c>
      <c r="F231" s="172">
        <v>550.1</v>
      </c>
      <c r="G231" s="227">
        <v>659.8</v>
      </c>
      <c r="H231" s="172">
        <f t="shared" si="42"/>
        <v>769.98659999999995</v>
      </c>
      <c r="I231" s="170">
        <f t="shared" ref="I231:I241" si="56">+J231/1.167</f>
        <v>877.46358183376174</v>
      </c>
      <c r="J231" s="170">
        <f t="shared" ref="J231:J241" si="57">ROUND(+H231*(1+$J$1),0)</f>
        <v>1024</v>
      </c>
      <c r="K231" s="96" t="s">
        <v>224</v>
      </c>
      <c r="L231" s="198"/>
    </row>
    <row r="232" spans="1:12" ht="41.25" thickBot="1" x14ac:dyDescent="0.3">
      <c r="A232" s="95">
        <v>242200</v>
      </c>
      <c r="B232" s="123" t="s">
        <v>1</v>
      </c>
      <c r="C232" s="10">
        <v>221</v>
      </c>
      <c r="D232" s="83">
        <f t="shared" si="55"/>
        <v>299.89999999999998</v>
      </c>
      <c r="E232" s="83">
        <f t="shared" si="46"/>
        <v>407.86399999999998</v>
      </c>
      <c r="F232" s="172">
        <v>550.1</v>
      </c>
      <c r="G232" s="227">
        <v>659.8</v>
      </c>
      <c r="H232" s="172">
        <f t="shared" si="42"/>
        <v>769.98659999999995</v>
      </c>
      <c r="I232" s="170">
        <f t="shared" si="56"/>
        <v>877.46358183376174</v>
      </c>
      <c r="J232" s="170">
        <f t="shared" si="57"/>
        <v>1024</v>
      </c>
      <c r="K232" s="96" t="s">
        <v>225</v>
      </c>
      <c r="L232" s="198"/>
    </row>
    <row r="233" spans="1:12" ht="41.25" thickBot="1" x14ac:dyDescent="0.3">
      <c r="A233" s="65">
        <v>242310</v>
      </c>
      <c r="B233" s="127" t="s">
        <v>1</v>
      </c>
      <c r="C233" s="10">
        <v>221</v>
      </c>
      <c r="D233" s="56">
        <f t="shared" si="55"/>
        <v>299.89999999999998</v>
      </c>
      <c r="E233" s="56">
        <f t="shared" si="46"/>
        <v>407.86399999999998</v>
      </c>
      <c r="F233" s="177">
        <v>550.1</v>
      </c>
      <c r="G233" s="232">
        <v>659.8</v>
      </c>
      <c r="H233" s="177">
        <f t="shared" si="42"/>
        <v>769.98659999999995</v>
      </c>
      <c r="I233" s="170">
        <f t="shared" si="56"/>
        <v>877.46358183376174</v>
      </c>
      <c r="J233" s="170">
        <f t="shared" si="57"/>
        <v>1024</v>
      </c>
      <c r="K233" s="92" t="s">
        <v>226</v>
      </c>
      <c r="L233" s="198"/>
    </row>
    <row r="234" spans="1:12" ht="41.25" thickBot="1" x14ac:dyDescent="0.3">
      <c r="A234" s="65">
        <v>242320</v>
      </c>
      <c r="B234" s="126" t="s">
        <v>1</v>
      </c>
      <c r="C234" s="10">
        <v>221</v>
      </c>
      <c r="D234" s="56">
        <f t="shared" si="55"/>
        <v>299.89999999999998</v>
      </c>
      <c r="E234" s="56">
        <f t="shared" si="46"/>
        <v>407.86399999999998</v>
      </c>
      <c r="F234" s="177">
        <v>550.1</v>
      </c>
      <c r="G234" s="232">
        <v>659.8</v>
      </c>
      <c r="H234" s="177">
        <f t="shared" si="42"/>
        <v>769.98659999999995</v>
      </c>
      <c r="I234" s="170">
        <f t="shared" si="56"/>
        <v>877.46358183376174</v>
      </c>
      <c r="J234" s="170">
        <f t="shared" si="57"/>
        <v>1024</v>
      </c>
      <c r="K234" s="92" t="s">
        <v>227</v>
      </c>
      <c r="L234" s="198"/>
    </row>
    <row r="235" spans="1:12" ht="27.75" thickBot="1" x14ac:dyDescent="0.3">
      <c r="A235" s="95">
        <v>242411</v>
      </c>
      <c r="B235" s="123" t="s">
        <v>1</v>
      </c>
      <c r="C235" s="10">
        <v>221</v>
      </c>
      <c r="D235" s="83">
        <f t="shared" si="55"/>
        <v>299.89999999999998</v>
      </c>
      <c r="E235" s="83">
        <f t="shared" si="46"/>
        <v>407.86399999999998</v>
      </c>
      <c r="F235" s="172">
        <v>550.1</v>
      </c>
      <c r="G235" s="227">
        <v>659.8</v>
      </c>
      <c r="H235" s="172">
        <f t="shared" si="42"/>
        <v>769.98659999999995</v>
      </c>
      <c r="I235" s="170">
        <f t="shared" si="56"/>
        <v>877.46358183376174</v>
      </c>
      <c r="J235" s="170">
        <f t="shared" si="57"/>
        <v>1024</v>
      </c>
      <c r="K235" s="96" t="s">
        <v>228</v>
      </c>
      <c r="L235" s="198"/>
    </row>
    <row r="236" spans="1:12" ht="16.5" thickBot="1" x14ac:dyDescent="0.3">
      <c r="A236" s="95">
        <v>242412</v>
      </c>
      <c r="B236" s="123" t="s">
        <v>1</v>
      </c>
      <c r="C236" s="10">
        <v>221</v>
      </c>
      <c r="D236" s="83">
        <f t="shared" si="55"/>
        <v>299.89999999999998</v>
      </c>
      <c r="E236" s="83">
        <f t="shared" si="46"/>
        <v>407.86399999999998</v>
      </c>
      <c r="F236" s="172">
        <v>550.1</v>
      </c>
      <c r="G236" s="227">
        <v>659.8</v>
      </c>
      <c r="H236" s="172">
        <f t="shared" si="42"/>
        <v>769.98659999999995</v>
      </c>
      <c r="I236" s="170">
        <f t="shared" si="56"/>
        <v>877.46358183376174</v>
      </c>
      <c r="J236" s="170">
        <f t="shared" si="57"/>
        <v>1024</v>
      </c>
      <c r="K236" s="96" t="s">
        <v>229</v>
      </c>
      <c r="L236" s="198"/>
    </row>
    <row r="237" spans="1:12" ht="27.75" thickBot="1" x14ac:dyDescent="0.3">
      <c r="A237" s="95">
        <v>242490</v>
      </c>
      <c r="B237" s="123" t="s">
        <v>1</v>
      </c>
      <c r="C237" s="10">
        <v>221</v>
      </c>
      <c r="D237" s="83">
        <f t="shared" si="55"/>
        <v>299.89999999999998</v>
      </c>
      <c r="E237" s="83">
        <f t="shared" si="46"/>
        <v>407.86399999999998</v>
      </c>
      <c r="F237" s="172">
        <v>550.1</v>
      </c>
      <c r="G237" s="227">
        <v>659.8</v>
      </c>
      <c r="H237" s="172">
        <f t="shared" si="42"/>
        <v>769.98659999999995</v>
      </c>
      <c r="I237" s="170">
        <f t="shared" si="56"/>
        <v>877.46358183376174</v>
      </c>
      <c r="J237" s="170">
        <f t="shared" si="57"/>
        <v>1024</v>
      </c>
      <c r="K237" s="96" t="s">
        <v>230</v>
      </c>
      <c r="L237" s="198"/>
    </row>
    <row r="238" spans="1:12" ht="27.75" thickBot="1" x14ac:dyDescent="0.3">
      <c r="A238" s="95">
        <v>242901</v>
      </c>
      <c r="B238" s="123" t="s">
        <v>1</v>
      </c>
      <c r="C238" s="10">
        <v>221</v>
      </c>
      <c r="D238" s="83">
        <f t="shared" si="55"/>
        <v>299.89999999999998</v>
      </c>
      <c r="E238" s="83">
        <f t="shared" si="46"/>
        <v>407.86399999999998</v>
      </c>
      <c r="F238" s="172">
        <v>550.1</v>
      </c>
      <c r="G238" s="227">
        <v>659.8</v>
      </c>
      <c r="H238" s="172">
        <f t="shared" si="42"/>
        <v>769.98659999999995</v>
      </c>
      <c r="I238" s="170">
        <f t="shared" si="56"/>
        <v>877.46358183376174</v>
      </c>
      <c r="J238" s="170">
        <f t="shared" si="57"/>
        <v>1024</v>
      </c>
      <c r="K238" s="96" t="s">
        <v>231</v>
      </c>
      <c r="L238" s="198"/>
    </row>
    <row r="239" spans="1:12" ht="27.75" thickBot="1" x14ac:dyDescent="0.3">
      <c r="A239" s="95">
        <v>242902</v>
      </c>
      <c r="B239" s="123" t="s">
        <v>130</v>
      </c>
      <c r="C239" s="10">
        <v>1092</v>
      </c>
      <c r="D239" s="83">
        <v>1480</v>
      </c>
      <c r="E239" s="83">
        <v>2013.7</v>
      </c>
      <c r="F239" s="172">
        <f t="shared" si="49"/>
        <v>2718.4950000000003</v>
      </c>
      <c r="G239" s="227">
        <f>+F239*1.2</f>
        <v>3262.1940000000004</v>
      </c>
      <c r="H239" s="172">
        <f t="shared" si="42"/>
        <v>3806.9803980000006</v>
      </c>
      <c r="I239" s="170">
        <f t="shared" si="56"/>
        <v>4338.4747215081406</v>
      </c>
      <c r="J239" s="170">
        <f t="shared" si="57"/>
        <v>5063</v>
      </c>
      <c r="K239" s="96" t="s">
        <v>232</v>
      </c>
      <c r="L239" s="198"/>
    </row>
    <row r="240" spans="1:12" ht="41.25" thickBot="1" x14ac:dyDescent="0.3">
      <c r="A240" s="95">
        <v>242903</v>
      </c>
      <c r="B240" s="123" t="s">
        <v>1</v>
      </c>
      <c r="C240" s="10">
        <v>221</v>
      </c>
      <c r="D240" s="83">
        <f>+C240*$D$1</f>
        <v>299.89999999999998</v>
      </c>
      <c r="E240" s="83">
        <f t="shared" si="46"/>
        <v>407.86399999999998</v>
      </c>
      <c r="F240" s="172">
        <v>550.1</v>
      </c>
      <c r="G240" s="227">
        <v>659.8</v>
      </c>
      <c r="H240" s="172">
        <f t="shared" si="42"/>
        <v>769.98659999999995</v>
      </c>
      <c r="I240" s="170">
        <f t="shared" si="56"/>
        <v>877.46358183376174</v>
      </c>
      <c r="J240" s="170">
        <f t="shared" si="57"/>
        <v>1024</v>
      </c>
      <c r="K240" s="96" t="s">
        <v>233</v>
      </c>
      <c r="L240" s="198"/>
    </row>
    <row r="241" spans="1:12" ht="27.75" thickBot="1" x14ac:dyDescent="0.3">
      <c r="A241" s="95">
        <v>242909</v>
      </c>
      <c r="B241" s="123" t="s">
        <v>1</v>
      </c>
      <c r="C241" s="10">
        <v>221</v>
      </c>
      <c r="D241" s="83">
        <f>+C241*$D$1</f>
        <v>299.89999999999998</v>
      </c>
      <c r="E241" s="83">
        <f t="shared" si="46"/>
        <v>407.86399999999998</v>
      </c>
      <c r="F241" s="172">
        <v>550.1</v>
      </c>
      <c r="G241" s="227">
        <v>659.8</v>
      </c>
      <c r="H241" s="172">
        <f t="shared" si="42"/>
        <v>769.98659999999995</v>
      </c>
      <c r="I241" s="170">
        <f t="shared" si="56"/>
        <v>877.46358183376174</v>
      </c>
      <c r="J241" s="170">
        <f t="shared" si="57"/>
        <v>1024</v>
      </c>
      <c r="K241" s="96" t="s">
        <v>234</v>
      </c>
      <c r="L241" s="198"/>
    </row>
    <row r="242" spans="1:12" ht="17.25" customHeight="1" thickBot="1" x14ac:dyDescent="0.3">
      <c r="A242" s="97" t="s">
        <v>235</v>
      </c>
      <c r="B242" s="75"/>
      <c r="C242" s="1"/>
      <c r="D242" s="34"/>
      <c r="E242" s="34"/>
      <c r="F242" s="34"/>
      <c r="G242" s="34"/>
      <c r="H242" s="34"/>
      <c r="I242" s="34"/>
      <c r="J242" s="34"/>
      <c r="K242" s="99"/>
      <c r="L242" s="198"/>
    </row>
    <row r="243" spans="1:12" ht="16.5" thickBot="1" x14ac:dyDescent="0.3">
      <c r="A243" s="95">
        <v>192020</v>
      </c>
      <c r="B243" s="123" t="s">
        <v>1</v>
      </c>
      <c r="C243" s="10">
        <v>221</v>
      </c>
      <c r="D243" s="56">
        <f>+C243*$D$1</f>
        <v>299.89999999999998</v>
      </c>
      <c r="E243" s="56">
        <f t="shared" si="46"/>
        <v>407.86399999999998</v>
      </c>
      <c r="F243" s="172">
        <v>550.1</v>
      </c>
      <c r="G243" s="227">
        <v>659.8</v>
      </c>
      <c r="H243" s="172">
        <f t="shared" si="42"/>
        <v>769.98659999999995</v>
      </c>
      <c r="I243" s="170">
        <f t="shared" ref="I243:I248" si="58">+J243/1.167</f>
        <v>877.46358183376174</v>
      </c>
      <c r="J243" s="170">
        <f t="shared" ref="J243:J248" si="59">ROUND(+H243*(1+$J$1),0)</f>
        <v>1024</v>
      </c>
      <c r="K243" s="96" t="s">
        <v>236</v>
      </c>
      <c r="L243" s="198"/>
    </row>
    <row r="244" spans="1:12" ht="16.5" thickBot="1" x14ac:dyDescent="0.3">
      <c r="A244" s="95">
        <v>251110</v>
      </c>
      <c r="B244" s="123" t="s">
        <v>1</v>
      </c>
      <c r="C244" s="10">
        <v>221</v>
      </c>
      <c r="D244" s="83">
        <f>+C244*$D$1</f>
        <v>299.89999999999998</v>
      </c>
      <c r="E244" s="83">
        <f t="shared" si="46"/>
        <v>407.86399999999998</v>
      </c>
      <c r="F244" s="172">
        <v>550.1</v>
      </c>
      <c r="G244" s="227">
        <v>659.8</v>
      </c>
      <c r="H244" s="172">
        <f t="shared" si="42"/>
        <v>769.98659999999995</v>
      </c>
      <c r="I244" s="170">
        <f t="shared" si="58"/>
        <v>877.46358183376174</v>
      </c>
      <c r="J244" s="170">
        <f t="shared" si="59"/>
        <v>1024</v>
      </c>
      <c r="K244" s="96" t="s">
        <v>237</v>
      </c>
      <c r="L244" s="198"/>
    </row>
    <row r="245" spans="1:12" ht="16.5" thickBot="1" x14ac:dyDescent="0.3">
      <c r="A245" s="95">
        <v>251120</v>
      </c>
      <c r="B245" s="123" t="s">
        <v>1</v>
      </c>
      <c r="C245" s="10">
        <v>160</v>
      </c>
      <c r="D245" s="83">
        <v>218</v>
      </c>
      <c r="E245" s="83">
        <f t="shared" si="46"/>
        <v>296.48</v>
      </c>
      <c r="F245" s="172">
        <f t="shared" si="49"/>
        <v>400.24800000000005</v>
      </c>
      <c r="G245" s="227">
        <v>479.9</v>
      </c>
      <c r="H245" s="172">
        <f t="shared" si="42"/>
        <v>560.04330000000004</v>
      </c>
      <c r="I245" s="170">
        <f t="shared" si="58"/>
        <v>638.38903170522701</v>
      </c>
      <c r="J245" s="170">
        <f t="shared" si="59"/>
        <v>745</v>
      </c>
      <c r="K245" s="96" t="s">
        <v>238</v>
      </c>
      <c r="L245" s="198"/>
    </row>
    <row r="246" spans="1:12" ht="41.25" thickBot="1" x14ac:dyDescent="0.3">
      <c r="A246" s="95">
        <v>251901</v>
      </c>
      <c r="B246" s="123" t="s">
        <v>1</v>
      </c>
      <c r="C246" s="10">
        <v>160</v>
      </c>
      <c r="D246" s="83">
        <v>218</v>
      </c>
      <c r="E246" s="83">
        <f t="shared" si="46"/>
        <v>296.48</v>
      </c>
      <c r="F246" s="172">
        <f t="shared" si="49"/>
        <v>400.24800000000005</v>
      </c>
      <c r="G246" s="227">
        <v>479.9</v>
      </c>
      <c r="H246" s="172">
        <f t="shared" si="42"/>
        <v>560.04330000000004</v>
      </c>
      <c r="I246" s="170">
        <f t="shared" si="58"/>
        <v>638.38903170522701</v>
      </c>
      <c r="J246" s="170">
        <f t="shared" si="59"/>
        <v>745</v>
      </c>
      <c r="K246" s="96" t="s">
        <v>239</v>
      </c>
      <c r="L246" s="198"/>
    </row>
    <row r="247" spans="1:12" ht="16.5" thickBot="1" x14ac:dyDescent="0.3">
      <c r="A247" s="95">
        <v>251909.1</v>
      </c>
      <c r="B247" s="123" t="s">
        <v>1</v>
      </c>
      <c r="C247" s="10">
        <v>160</v>
      </c>
      <c r="D247" s="83">
        <v>218</v>
      </c>
      <c r="E247" s="83">
        <f t="shared" si="46"/>
        <v>296.48</v>
      </c>
      <c r="F247" s="172">
        <f t="shared" si="49"/>
        <v>400.24800000000005</v>
      </c>
      <c r="G247" s="227">
        <v>479.9</v>
      </c>
      <c r="H247" s="172">
        <f t="shared" si="42"/>
        <v>560.04330000000004</v>
      </c>
      <c r="I247" s="170">
        <f t="shared" si="58"/>
        <v>638.38903170522701</v>
      </c>
      <c r="J247" s="170">
        <f t="shared" si="59"/>
        <v>745</v>
      </c>
      <c r="K247" s="96" t="s">
        <v>240</v>
      </c>
      <c r="L247" s="198"/>
    </row>
    <row r="248" spans="1:12" ht="16.5" thickBot="1" x14ac:dyDescent="0.3">
      <c r="A248" s="95">
        <v>251909.2</v>
      </c>
      <c r="B248" s="123" t="s">
        <v>1</v>
      </c>
      <c r="C248" s="10">
        <v>221</v>
      </c>
      <c r="D248" s="83">
        <f>+C248*$D$1</f>
        <v>299.89999999999998</v>
      </c>
      <c r="E248" s="83">
        <f t="shared" si="46"/>
        <v>407.86399999999998</v>
      </c>
      <c r="F248" s="172">
        <v>550.1</v>
      </c>
      <c r="G248" s="227">
        <v>659.8</v>
      </c>
      <c r="H248" s="172">
        <f t="shared" si="42"/>
        <v>769.98659999999995</v>
      </c>
      <c r="I248" s="170">
        <f t="shared" si="58"/>
        <v>877.46358183376174</v>
      </c>
      <c r="J248" s="170">
        <f t="shared" si="59"/>
        <v>1024</v>
      </c>
      <c r="K248" s="96" t="s">
        <v>241</v>
      </c>
      <c r="L248" s="198"/>
    </row>
    <row r="249" spans="1:12" ht="17.25" thickBot="1" x14ac:dyDescent="0.3">
      <c r="A249" s="97" t="s">
        <v>242</v>
      </c>
      <c r="B249" s="75"/>
      <c r="C249" s="1"/>
      <c r="D249" s="34"/>
      <c r="E249" s="34"/>
      <c r="F249" s="34"/>
      <c r="G249" s="34"/>
      <c r="H249" s="34"/>
      <c r="I249" s="34"/>
      <c r="J249" s="34"/>
      <c r="K249" s="99"/>
      <c r="L249" s="198"/>
    </row>
    <row r="250" spans="1:12" ht="16.5" thickBot="1" x14ac:dyDescent="0.3">
      <c r="A250" s="95">
        <v>241309.1</v>
      </c>
      <c r="B250" s="123" t="s">
        <v>1</v>
      </c>
      <c r="C250" s="10">
        <v>221</v>
      </c>
      <c r="D250" s="56">
        <f t="shared" ref="D250:D255" si="60">+C250*$D$1</f>
        <v>299.89999999999998</v>
      </c>
      <c r="E250" s="56">
        <f t="shared" si="46"/>
        <v>407.86399999999998</v>
      </c>
      <c r="F250" s="172">
        <v>550.1</v>
      </c>
      <c r="G250" s="227">
        <v>659.8</v>
      </c>
      <c r="H250" s="172">
        <f t="shared" si="42"/>
        <v>769.98659999999995</v>
      </c>
      <c r="I250" s="170">
        <f t="shared" ref="I250:I255" si="61">+J250/1.167</f>
        <v>877.46358183376174</v>
      </c>
      <c r="J250" s="170">
        <f t="shared" ref="J250:J255" si="62">ROUND(+H250*(1+$J$1),0)</f>
        <v>1024</v>
      </c>
      <c r="K250" s="96" t="s">
        <v>243</v>
      </c>
      <c r="L250" s="198"/>
    </row>
    <row r="251" spans="1:12" ht="16.5" thickBot="1" x14ac:dyDescent="0.3">
      <c r="A251" s="95">
        <v>252010</v>
      </c>
      <c r="B251" s="123" t="s">
        <v>1</v>
      </c>
      <c r="C251" s="10">
        <v>221</v>
      </c>
      <c r="D251" s="83">
        <f t="shared" si="60"/>
        <v>299.89999999999998</v>
      </c>
      <c r="E251" s="83">
        <f t="shared" si="46"/>
        <v>407.86399999999998</v>
      </c>
      <c r="F251" s="172">
        <v>550.1</v>
      </c>
      <c r="G251" s="227">
        <v>659.8</v>
      </c>
      <c r="H251" s="172">
        <f t="shared" si="42"/>
        <v>769.98659999999995</v>
      </c>
      <c r="I251" s="170">
        <f t="shared" si="61"/>
        <v>877.46358183376174</v>
      </c>
      <c r="J251" s="170">
        <f t="shared" si="62"/>
        <v>1024</v>
      </c>
      <c r="K251" s="96" t="s">
        <v>244</v>
      </c>
      <c r="L251" s="198"/>
    </row>
    <row r="252" spans="1:12" ht="27.75" thickBot="1" x14ac:dyDescent="0.3">
      <c r="A252" s="95">
        <v>252090.1</v>
      </c>
      <c r="B252" s="123" t="s">
        <v>1</v>
      </c>
      <c r="C252" s="10">
        <v>221</v>
      </c>
      <c r="D252" s="83">
        <f t="shared" si="60"/>
        <v>299.89999999999998</v>
      </c>
      <c r="E252" s="83">
        <f t="shared" si="46"/>
        <v>407.86399999999998</v>
      </c>
      <c r="F252" s="172">
        <v>550.1</v>
      </c>
      <c r="G252" s="227">
        <v>659.8</v>
      </c>
      <c r="H252" s="172">
        <f t="shared" si="42"/>
        <v>769.98659999999995</v>
      </c>
      <c r="I252" s="170">
        <f t="shared" si="61"/>
        <v>877.46358183376174</v>
      </c>
      <c r="J252" s="170">
        <f t="shared" si="62"/>
        <v>1024</v>
      </c>
      <c r="K252" s="96" t="s">
        <v>245</v>
      </c>
      <c r="L252" s="198"/>
    </row>
    <row r="253" spans="1:12" ht="41.25" thickBot="1" x14ac:dyDescent="0.3">
      <c r="A253" s="95">
        <v>252090.2</v>
      </c>
      <c r="B253" s="123" t="s">
        <v>1</v>
      </c>
      <c r="C253" s="10">
        <v>221</v>
      </c>
      <c r="D253" s="83">
        <f t="shared" si="60"/>
        <v>299.89999999999998</v>
      </c>
      <c r="E253" s="83">
        <f t="shared" si="46"/>
        <v>407.86399999999998</v>
      </c>
      <c r="F253" s="172">
        <v>550.1</v>
      </c>
      <c r="G253" s="227">
        <v>659.8</v>
      </c>
      <c r="H253" s="172">
        <f t="shared" si="42"/>
        <v>769.98659999999995</v>
      </c>
      <c r="I253" s="170">
        <f t="shared" si="61"/>
        <v>877.46358183376174</v>
      </c>
      <c r="J253" s="170">
        <f t="shared" si="62"/>
        <v>1024</v>
      </c>
      <c r="K253" s="96" t="s">
        <v>246</v>
      </c>
      <c r="L253" s="198"/>
    </row>
    <row r="254" spans="1:12" ht="16.5" thickBot="1" x14ac:dyDescent="0.3">
      <c r="A254" s="95">
        <v>252090.3</v>
      </c>
      <c r="B254" s="123" t="s">
        <v>1</v>
      </c>
      <c r="C254" s="10">
        <v>221</v>
      </c>
      <c r="D254" s="83">
        <f t="shared" si="60"/>
        <v>299.89999999999998</v>
      </c>
      <c r="E254" s="83">
        <f t="shared" si="46"/>
        <v>407.86399999999998</v>
      </c>
      <c r="F254" s="172">
        <v>550.1</v>
      </c>
      <c r="G254" s="227">
        <v>659.8</v>
      </c>
      <c r="H254" s="172">
        <f t="shared" si="42"/>
        <v>769.98659999999995</v>
      </c>
      <c r="I254" s="170">
        <f t="shared" si="61"/>
        <v>877.46358183376174</v>
      </c>
      <c r="J254" s="170">
        <f t="shared" si="62"/>
        <v>1024</v>
      </c>
      <c r="K254" s="96" t="s">
        <v>247</v>
      </c>
      <c r="L254" s="198"/>
    </row>
    <row r="255" spans="1:12" ht="27.75" thickBot="1" x14ac:dyDescent="0.3">
      <c r="A255" s="95">
        <v>361020</v>
      </c>
      <c r="B255" s="123" t="s">
        <v>1</v>
      </c>
      <c r="C255" s="10">
        <v>221</v>
      </c>
      <c r="D255" s="83">
        <f t="shared" si="60"/>
        <v>299.89999999999998</v>
      </c>
      <c r="E255" s="83">
        <f t="shared" si="46"/>
        <v>407.86399999999998</v>
      </c>
      <c r="F255" s="172">
        <v>550.1</v>
      </c>
      <c r="G255" s="227">
        <v>659.8</v>
      </c>
      <c r="H255" s="172">
        <f t="shared" si="42"/>
        <v>769.98659999999995</v>
      </c>
      <c r="I255" s="170">
        <f t="shared" si="61"/>
        <v>877.46358183376174</v>
      </c>
      <c r="J255" s="170">
        <f t="shared" si="62"/>
        <v>1024</v>
      </c>
      <c r="K255" s="96" t="s">
        <v>248</v>
      </c>
      <c r="L255" s="198"/>
    </row>
    <row r="256" spans="1:12" ht="17.25" thickBot="1" x14ac:dyDescent="0.3">
      <c r="A256" s="97" t="s">
        <v>249</v>
      </c>
      <c r="B256" s="75"/>
      <c r="C256" s="1"/>
      <c r="D256" s="34"/>
      <c r="E256" s="34"/>
      <c r="F256" s="34"/>
      <c r="G256" s="34"/>
      <c r="H256" s="34"/>
      <c r="I256" s="34"/>
      <c r="J256" s="34"/>
      <c r="K256" s="99"/>
      <c r="L256" s="198"/>
    </row>
    <row r="257" spans="1:12" ht="16.5" thickBot="1" x14ac:dyDescent="0.3">
      <c r="A257" s="95">
        <v>261020</v>
      </c>
      <c r="B257" s="123" t="s">
        <v>1</v>
      </c>
      <c r="C257" s="10">
        <v>221</v>
      </c>
      <c r="D257" s="56">
        <f>+C257*$D$1</f>
        <v>299.89999999999998</v>
      </c>
      <c r="E257" s="56">
        <f t="shared" si="46"/>
        <v>407.86399999999998</v>
      </c>
      <c r="F257" s="172">
        <v>550.1</v>
      </c>
      <c r="G257" s="227">
        <v>659.8</v>
      </c>
      <c r="H257" s="172">
        <f t="shared" si="42"/>
        <v>769.98659999999995</v>
      </c>
      <c r="I257" s="170">
        <f t="shared" ref="I257:I259" si="63">+J257/1.167</f>
        <v>877.46358183376174</v>
      </c>
      <c r="J257" s="170">
        <f t="shared" ref="J257:J259" si="64">ROUND(+H257*(1+$J$1),0)</f>
        <v>1024</v>
      </c>
      <c r="K257" s="96" t="s">
        <v>250</v>
      </c>
      <c r="L257" s="198"/>
    </row>
    <row r="258" spans="1:12" ht="16.5" thickBot="1" x14ac:dyDescent="0.3">
      <c r="A258" s="95">
        <v>261091</v>
      </c>
      <c r="B258" s="123" t="s">
        <v>1</v>
      </c>
      <c r="C258" s="10">
        <v>221</v>
      </c>
      <c r="D258" s="83">
        <f>+C258*$D$1</f>
        <v>299.89999999999998</v>
      </c>
      <c r="E258" s="83">
        <f t="shared" si="46"/>
        <v>407.86399999999998</v>
      </c>
      <c r="F258" s="172">
        <v>550.1</v>
      </c>
      <c r="G258" s="227">
        <v>659.8</v>
      </c>
      <c r="H258" s="172">
        <f t="shared" si="42"/>
        <v>769.98659999999995</v>
      </c>
      <c r="I258" s="170">
        <f t="shared" si="63"/>
        <v>877.46358183376174</v>
      </c>
      <c r="J258" s="170">
        <f t="shared" si="64"/>
        <v>1024</v>
      </c>
      <c r="K258" s="96" t="s">
        <v>251</v>
      </c>
      <c r="L258" s="198"/>
    </row>
    <row r="259" spans="1:12" ht="27.75" thickBot="1" x14ac:dyDescent="0.3">
      <c r="A259" s="95">
        <v>261099</v>
      </c>
      <c r="B259" s="123" t="s">
        <v>1</v>
      </c>
      <c r="C259" s="10">
        <v>221</v>
      </c>
      <c r="D259" s="83">
        <f>+C259*$D$1</f>
        <v>299.89999999999998</v>
      </c>
      <c r="E259" s="83">
        <f t="shared" si="46"/>
        <v>407.86399999999998</v>
      </c>
      <c r="F259" s="172">
        <v>550.1</v>
      </c>
      <c r="G259" s="227">
        <v>659.8</v>
      </c>
      <c r="H259" s="172">
        <f t="shared" si="42"/>
        <v>769.98659999999995</v>
      </c>
      <c r="I259" s="170">
        <f t="shared" si="63"/>
        <v>877.46358183376174</v>
      </c>
      <c r="J259" s="170">
        <f t="shared" si="64"/>
        <v>1024</v>
      </c>
      <c r="K259" s="96" t="s">
        <v>252</v>
      </c>
      <c r="L259" s="198"/>
    </row>
    <row r="260" spans="1:12" ht="17.25" thickBot="1" x14ac:dyDescent="0.3">
      <c r="A260" s="97" t="s">
        <v>253</v>
      </c>
      <c r="B260" s="75"/>
      <c r="C260" s="1"/>
      <c r="D260" s="34"/>
      <c r="E260" s="34"/>
      <c r="F260" s="34"/>
      <c r="G260" s="34"/>
      <c r="H260" s="34"/>
      <c r="I260" s="34"/>
      <c r="J260" s="34"/>
      <c r="K260" s="99"/>
      <c r="L260" s="198"/>
    </row>
    <row r="261" spans="1:12" ht="27.75" thickBot="1" x14ac:dyDescent="0.3">
      <c r="A261" s="95">
        <v>269110</v>
      </c>
      <c r="B261" s="123" t="s">
        <v>1</v>
      </c>
      <c r="C261" s="10">
        <v>221</v>
      </c>
      <c r="D261" s="56">
        <f>+C261*$D$1</f>
        <v>299.89999999999998</v>
      </c>
      <c r="E261" s="56">
        <f t="shared" si="46"/>
        <v>407.86399999999998</v>
      </c>
      <c r="F261" s="172">
        <v>550.1</v>
      </c>
      <c r="G261" s="227">
        <v>659.8</v>
      </c>
      <c r="H261" s="172">
        <f t="shared" si="42"/>
        <v>769.98659999999995</v>
      </c>
      <c r="I261" s="170">
        <f t="shared" ref="I261:I264" si="65">+J261/1.167</f>
        <v>877.46358183376174</v>
      </c>
      <c r="J261" s="170">
        <f t="shared" ref="J261:J264" si="66">ROUND(+H261*(1+$J$1),0)</f>
        <v>1024</v>
      </c>
      <c r="K261" s="96" t="s">
        <v>254</v>
      </c>
      <c r="L261" s="198"/>
    </row>
    <row r="262" spans="1:12" ht="41.25" thickBot="1" x14ac:dyDescent="0.3">
      <c r="A262" s="95">
        <v>269191</v>
      </c>
      <c r="B262" s="123" t="s">
        <v>1</v>
      </c>
      <c r="C262" s="10">
        <v>221</v>
      </c>
      <c r="D262" s="83">
        <f>+C262*$D$1</f>
        <v>299.89999999999998</v>
      </c>
      <c r="E262" s="83">
        <f t="shared" si="46"/>
        <v>407.86399999999998</v>
      </c>
      <c r="F262" s="172">
        <v>550.1</v>
      </c>
      <c r="G262" s="227">
        <v>659.8</v>
      </c>
      <c r="H262" s="172">
        <f t="shared" si="42"/>
        <v>769.98659999999995</v>
      </c>
      <c r="I262" s="170">
        <f t="shared" si="65"/>
        <v>877.46358183376174</v>
      </c>
      <c r="J262" s="170">
        <f t="shared" si="66"/>
        <v>1024</v>
      </c>
      <c r="K262" s="96" t="s">
        <v>255</v>
      </c>
      <c r="L262" s="198"/>
    </row>
    <row r="263" spans="1:12" ht="41.25" thickBot="1" x14ac:dyDescent="0.3">
      <c r="A263" s="95">
        <v>269192</v>
      </c>
      <c r="B263" s="123" t="s">
        <v>1</v>
      </c>
      <c r="C263" s="10">
        <v>160</v>
      </c>
      <c r="D263" s="83">
        <v>218</v>
      </c>
      <c r="E263" s="83">
        <f t="shared" si="46"/>
        <v>296.48</v>
      </c>
      <c r="F263" s="172">
        <f t="shared" ref="F263:F264" si="67">+E263*$F$1</f>
        <v>400.24800000000005</v>
      </c>
      <c r="G263" s="227">
        <v>479.9</v>
      </c>
      <c r="H263" s="172">
        <f t="shared" ref="H263:H325" si="68">G263*1.167</f>
        <v>560.04330000000004</v>
      </c>
      <c r="I263" s="170">
        <f t="shared" si="65"/>
        <v>638.38903170522701</v>
      </c>
      <c r="J263" s="170">
        <f t="shared" si="66"/>
        <v>745</v>
      </c>
      <c r="K263" s="96" t="s">
        <v>256</v>
      </c>
      <c r="L263" s="198"/>
    </row>
    <row r="264" spans="1:12" ht="54.75" thickBot="1" x14ac:dyDescent="0.3">
      <c r="A264" s="95">
        <v>269193</v>
      </c>
      <c r="B264" s="123" t="s">
        <v>1</v>
      </c>
      <c r="C264" s="10">
        <v>160</v>
      </c>
      <c r="D264" s="83">
        <v>218</v>
      </c>
      <c r="E264" s="83">
        <f t="shared" si="46"/>
        <v>296.48</v>
      </c>
      <c r="F264" s="172">
        <f t="shared" si="67"/>
        <v>400.24800000000005</v>
      </c>
      <c r="G264" s="227">
        <v>479.9</v>
      </c>
      <c r="H264" s="172">
        <f t="shared" si="68"/>
        <v>560.04330000000004</v>
      </c>
      <c r="I264" s="170">
        <f t="shared" si="65"/>
        <v>638.38903170522701</v>
      </c>
      <c r="J264" s="170">
        <f t="shared" si="66"/>
        <v>745</v>
      </c>
      <c r="K264" s="96" t="s">
        <v>257</v>
      </c>
      <c r="L264" s="198"/>
    </row>
    <row r="265" spans="1:12" ht="17.25" thickBot="1" x14ac:dyDescent="0.3">
      <c r="A265" s="97" t="s">
        <v>258</v>
      </c>
      <c r="B265" s="75"/>
      <c r="C265" s="1"/>
      <c r="D265" s="34"/>
      <c r="E265" s="34"/>
      <c r="F265" s="34"/>
      <c r="G265" s="34"/>
      <c r="H265" s="34"/>
      <c r="I265" s="34"/>
      <c r="J265" s="34"/>
      <c r="K265" s="99"/>
      <c r="L265" s="198"/>
    </row>
    <row r="266" spans="1:12" ht="16.5" thickBot="1" x14ac:dyDescent="0.3">
      <c r="A266" s="95">
        <v>269200</v>
      </c>
      <c r="B266" s="123" t="s">
        <v>1</v>
      </c>
      <c r="C266" s="10">
        <v>221</v>
      </c>
      <c r="D266" s="56">
        <f t="shared" ref="D266:D277" si="69">+C266*$D$1</f>
        <v>299.89999999999998</v>
      </c>
      <c r="E266" s="56">
        <f t="shared" si="46"/>
        <v>407.86399999999998</v>
      </c>
      <c r="F266" s="172">
        <v>550.1</v>
      </c>
      <c r="G266" s="227">
        <v>659.8</v>
      </c>
      <c r="H266" s="172">
        <f t="shared" si="68"/>
        <v>769.98659999999995</v>
      </c>
      <c r="I266" s="170">
        <f t="shared" ref="I266:I277" si="70">+J266/1.167</f>
        <v>877.46358183376174</v>
      </c>
      <c r="J266" s="170">
        <f t="shared" ref="J266:J277" si="71">ROUND(+H266*(1+$J$1),0)</f>
        <v>1024</v>
      </c>
      <c r="K266" s="96" t="s">
        <v>259</v>
      </c>
      <c r="L266" s="198"/>
    </row>
    <row r="267" spans="1:12" ht="16.5" thickBot="1" x14ac:dyDescent="0.3">
      <c r="A267" s="95">
        <v>269301</v>
      </c>
      <c r="B267" s="123" t="s">
        <v>1</v>
      </c>
      <c r="C267" s="10">
        <v>221</v>
      </c>
      <c r="D267" s="83">
        <f t="shared" si="69"/>
        <v>299.89999999999998</v>
      </c>
      <c r="E267" s="83">
        <f t="shared" si="46"/>
        <v>407.86399999999998</v>
      </c>
      <c r="F267" s="172">
        <v>550.1</v>
      </c>
      <c r="G267" s="227">
        <v>659.8</v>
      </c>
      <c r="H267" s="172">
        <f t="shared" si="68"/>
        <v>769.98659999999995</v>
      </c>
      <c r="I267" s="170">
        <f t="shared" si="70"/>
        <v>877.46358183376174</v>
      </c>
      <c r="J267" s="170">
        <f t="shared" si="71"/>
        <v>1024</v>
      </c>
      <c r="K267" s="96" t="s">
        <v>260</v>
      </c>
      <c r="L267" s="198"/>
    </row>
    <row r="268" spans="1:12" ht="27.75" thickBot="1" x14ac:dyDescent="0.3">
      <c r="A268" s="95">
        <v>269302</v>
      </c>
      <c r="B268" s="123" t="s">
        <v>1</v>
      </c>
      <c r="C268" s="10">
        <v>221</v>
      </c>
      <c r="D268" s="83">
        <f t="shared" si="69"/>
        <v>299.89999999999998</v>
      </c>
      <c r="E268" s="83">
        <f t="shared" si="46"/>
        <v>407.86399999999998</v>
      </c>
      <c r="F268" s="172">
        <v>550.1</v>
      </c>
      <c r="G268" s="227">
        <v>659.8</v>
      </c>
      <c r="H268" s="172">
        <f t="shared" si="68"/>
        <v>769.98659999999995</v>
      </c>
      <c r="I268" s="170">
        <f t="shared" si="70"/>
        <v>877.46358183376174</v>
      </c>
      <c r="J268" s="170">
        <f t="shared" si="71"/>
        <v>1024</v>
      </c>
      <c r="K268" s="96" t="s">
        <v>261</v>
      </c>
      <c r="L268" s="198"/>
    </row>
    <row r="269" spans="1:12" ht="27.75" thickBot="1" x14ac:dyDescent="0.3">
      <c r="A269" s="95">
        <v>269309</v>
      </c>
      <c r="B269" s="123" t="s">
        <v>1</v>
      </c>
      <c r="C269" s="10">
        <v>221</v>
      </c>
      <c r="D269" s="83">
        <f t="shared" si="69"/>
        <v>299.89999999999998</v>
      </c>
      <c r="E269" s="83">
        <f t="shared" si="46"/>
        <v>407.86399999999998</v>
      </c>
      <c r="F269" s="172">
        <v>550.1</v>
      </c>
      <c r="G269" s="227">
        <v>659.8</v>
      </c>
      <c r="H269" s="172">
        <f t="shared" si="68"/>
        <v>769.98659999999995</v>
      </c>
      <c r="I269" s="170">
        <f t="shared" si="70"/>
        <v>877.46358183376174</v>
      </c>
      <c r="J269" s="170">
        <f t="shared" si="71"/>
        <v>1024</v>
      </c>
      <c r="K269" s="96" t="s">
        <v>262</v>
      </c>
      <c r="L269" s="198"/>
    </row>
    <row r="270" spans="1:12" ht="16.5" thickBot="1" x14ac:dyDescent="0.3">
      <c r="A270" s="95">
        <v>269410</v>
      </c>
      <c r="B270" s="123" t="s">
        <v>1</v>
      </c>
      <c r="C270" s="10">
        <v>221</v>
      </c>
      <c r="D270" s="83">
        <f t="shared" si="69"/>
        <v>299.89999999999998</v>
      </c>
      <c r="E270" s="83">
        <f t="shared" si="46"/>
        <v>407.86399999999998</v>
      </c>
      <c r="F270" s="172">
        <v>550.1</v>
      </c>
      <c r="G270" s="227">
        <v>659.8</v>
      </c>
      <c r="H270" s="172">
        <f t="shared" si="68"/>
        <v>769.98659999999995</v>
      </c>
      <c r="I270" s="170">
        <f t="shared" si="70"/>
        <v>877.46358183376174</v>
      </c>
      <c r="J270" s="170">
        <f t="shared" si="71"/>
        <v>1024</v>
      </c>
      <c r="K270" s="96" t="s">
        <v>263</v>
      </c>
      <c r="L270" s="198"/>
    </row>
    <row r="271" spans="1:12" ht="16.5" thickBot="1" x14ac:dyDescent="0.3">
      <c r="A271" s="95">
        <v>269421</v>
      </c>
      <c r="B271" s="123" t="s">
        <v>1</v>
      </c>
      <c r="C271" s="10">
        <v>221</v>
      </c>
      <c r="D271" s="83">
        <f t="shared" si="69"/>
        <v>299.89999999999998</v>
      </c>
      <c r="E271" s="83">
        <f t="shared" si="46"/>
        <v>407.86399999999998</v>
      </c>
      <c r="F271" s="172">
        <v>550.1</v>
      </c>
      <c r="G271" s="227">
        <v>659.8</v>
      </c>
      <c r="H271" s="172">
        <f t="shared" si="68"/>
        <v>769.98659999999995</v>
      </c>
      <c r="I271" s="170">
        <f t="shared" si="70"/>
        <v>877.46358183376174</v>
      </c>
      <c r="J271" s="170">
        <f t="shared" si="71"/>
        <v>1024</v>
      </c>
      <c r="K271" s="96" t="s">
        <v>264</v>
      </c>
      <c r="L271" s="198"/>
    </row>
    <row r="272" spans="1:12" ht="16.5" thickBot="1" x14ac:dyDescent="0.3">
      <c r="A272" s="95">
        <v>269422</v>
      </c>
      <c r="B272" s="123" t="s">
        <v>1</v>
      </c>
      <c r="C272" s="10">
        <v>221</v>
      </c>
      <c r="D272" s="83">
        <f t="shared" si="69"/>
        <v>299.89999999999998</v>
      </c>
      <c r="E272" s="83">
        <f t="shared" si="46"/>
        <v>407.86399999999998</v>
      </c>
      <c r="F272" s="172">
        <v>550.1</v>
      </c>
      <c r="G272" s="227">
        <v>659.8</v>
      </c>
      <c r="H272" s="172">
        <f t="shared" si="68"/>
        <v>769.98659999999995</v>
      </c>
      <c r="I272" s="170">
        <f t="shared" si="70"/>
        <v>877.46358183376174</v>
      </c>
      <c r="J272" s="170">
        <f t="shared" si="71"/>
        <v>1024</v>
      </c>
      <c r="K272" s="96" t="s">
        <v>265</v>
      </c>
      <c r="L272" s="198"/>
    </row>
    <row r="273" spans="1:12" ht="41.25" thickBot="1" x14ac:dyDescent="0.3">
      <c r="A273" s="95">
        <v>269510</v>
      </c>
      <c r="B273" s="123" t="s">
        <v>1</v>
      </c>
      <c r="C273" s="10">
        <v>221</v>
      </c>
      <c r="D273" s="83">
        <f t="shared" si="69"/>
        <v>299.89999999999998</v>
      </c>
      <c r="E273" s="83">
        <f t="shared" si="46"/>
        <v>407.86399999999998</v>
      </c>
      <c r="F273" s="172">
        <v>550.1</v>
      </c>
      <c r="G273" s="227">
        <v>659.8</v>
      </c>
      <c r="H273" s="172">
        <f t="shared" si="68"/>
        <v>769.98659999999995</v>
      </c>
      <c r="I273" s="170">
        <f t="shared" si="70"/>
        <v>877.46358183376174</v>
      </c>
      <c r="J273" s="170">
        <f t="shared" si="71"/>
        <v>1024</v>
      </c>
      <c r="K273" s="96" t="s">
        <v>266</v>
      </c>
      <c r="L273" s="198"/>
    </row>
    <row r="274" spans="1:12" ht="27.75" thickBot="1" x14ac:dyDescent="0.3">
      <c r="A274" s="95">
        <v>269591</v>
      </c>
      <c r="B274" s="123" t="s">
        <v>1</v>
      </c>
      <c r="C274" s="10">
        <v>221</v>
      </c>
      <c r="D274" s="83">
        <f t="shared" si="69"/>
        <v>299.89999999999998</v>
      </c>
      <c r="E274" s="83">
        <f t="shared" ref="E274:E338" si="72">+D274*1.36</f>
        <v>407.86399999999998</v>
      </c>
      <c r="F274" s="172">
        <v>550.1</v>
      </c>
      <c r="G274" s="227">
        <v>659.8</v>
      </c>
      <c r="H274" s="172">
        <f t="shared" si="68"/>
        <v>769.98659999999995</v>
      </c>
      <c r="I274" s="170">
        <f t="shared" si="70"/>
        <v>877.46358183376174</v>
      </c>
      <c r="J274" s="170">
        <f t="shared" si="71"/>
        <v>1024</v>
      </c>
      <c r="K274" s="96" t="s">
        <v>267</v>
      </c>
      <c r="L274" s="198"/>
    </row>
    <row r="275" spans="1:12" ht="27.75" thickBot="1" x14ac:dyDescent="0.3">
      <c r="A275" s="95">
        <v>269592</v>
      </c>
      <c r="B275" s="123" t="s">
        <v>1</v>
      </c>
      <c r="C275" s="10">
        <v>221</v>
      </c>
      <c r="D275" s="83">
        <f t="shared" si="69"/>
        <v>299.89999999999998</v>
      </c>
      <c r="E275" s="83">
        <f t="shared" si="72"/>
        <v>407.86399999999998</v>
      </c>
      <c r="F275" s="172">
        <v>550.1</v>
      </c>
      <c r="G275" s="227">
        <v>659.8</v>
      </c>
      <c r="H275" s="172">
        <f t="shared" si="68"/>
        <v>769.98659999999995</v>
      </c>
      <c r="I275" s="170">
        <f t="shared" si="70"/>
        <v>877.46358183376174</v>
      </c>
      <c r="J275" s="170">
        <f t="shared" si="71"/>
        <v>1024</v>
      </c>
      <c r="K275" s="96" t="s">
        <v>268</v>
      </c>
      <c r="L275" s="198"/>
    </row>
    <row r="276" spans="1:12" ht="27.75" thickBot="1" x14ac:dyDescent="0.3">
      <c r="A276" s="95">
        <v>269600</v>
      </c>
      <c r="B276" s="123" t="s">
        <v>1</v>
      </c>
      <c r="C276" s="10">
        <v>221</v>
      </c>
      <c r="D276" s="83">
        <f t="shared" si="69"/>
        <v>299.89999999999998</v>
      </c>
      <c r="E276" s="83">
        <f t="shared" si="72"/>
        <v>407.86399999999998</v>
      </c>
      <c r="F276" s="172">
        <v>550.1</v>
      </c>
      <c r="G276" s="227">
        <v>659.8</v>
      </c>
      <c r="H276" s="172">
        <f t="shared" si="68"/>
        <v>769.98659999999995</v>
      </c>
      <c r="I276" s="170">
        <f t="shared" si="70"/>
        <v>877.46358183376174</v>
      </c>
      <c r="J276" s="170">
        <f t="shared" si="71"/>
        <v>1024</v>
      </c>
      <c r="K276" s="96" t="s">
        <v>269</v>
      </c>
      <c r="L276" s="198"/>
    </row>
    <row r="277" spans="1:12" ht="27.75" thickBot="1" x14ac:dyDescent="0.3">
      <c r="A277" s="95">
        <v>269990</v>
      </c>
      <c r="B277" s="123" t="s">
        <v>124</v>
      </c>
      <c r="C277" s="51">
        <v>221</v>
      </c>
      <c r="D277" s="83">
        <f t="shared" si="69"/>
        <v>299.89999999999998</v>
      </c>
      <c r="E277" s="83">
        <f t="shared" si="72"/>
        <v>407.86399999999998</v>
      </c>
      <c r="F277" s="172">
        <v>550.1</v>
      </c>
      <c r="G277" s="227">
        <v>659.8</v>
      </c>
      <c r="H277" s="172">
        <f t="shared" si="68"/>
        <v>769.98659999999995</v>
      </c>
      <c r="I277" s="170">
        <f t="shared" si="70"/>
        <v>877.46358183376174</v>
      </c>
      <c r="J277" s="170">
        <f t="shared" si="71"/>
        <v>1024</v>
      </c>
      <c r="K277" s="96" t="s">
        <v>270</v>
      </c>
      <c r="L277" s="198"/>
    </row>
    <row r="278" spans="1:12" ht="17.25" customHeight="1" thickBot="1" x14ac:dyDescent="0.3">
      <c r="A278" s="97" t="s">
        <v>271</v>
      </c>
      <c r="B278" s="75"/>
      <c r="C278" s="1"/>
      <c r="D278" s="34"/>
      <c r="E278" s="34"/>
      <c r="F278" s="34"/>
      <c r="G278" s="34"/>
      <c r="H278" s="34"/>
      <c r="I278" s="34"/>
      <c r="J278" s="34"/>
      <c r="K278" s="99"/>
      <c r="L278" s="198"/>
    </row>
    <row r="279" spans="1:12" ht="27.75" thickBot="1" x14ac:dyDescent="0.3">
      <c r="A279" s="95">
        <v>271001</v>
      </c>
      <c r="B279" s="123" t="s">
        <v>1</v>
      </c>
      <c r="C279" s="10">
        <v>221</v>
      </c>
      <c r="D279" s="56">
        <f>+C279*$D$1</f>
        <v>299.89999999999998</v>
      </c>
      <c r="E279" s="56">
        <f t="shared" si="72"/>
        <v>407.86399999999998</v>
      </c>
      <c r="F279" s="172">
        <v>550.1</v>
      </c>
      <c r="G279" s="227">
        <v>659.8</v>
      </c>
      <c r="H279" s="172">
        <f t="shared" si="68"/>
        <v>769.98659999999995</v>
      </c>
      <c r="I279" s="170">
        <f t="shared" ref="I279:I281" si="73">+J279/1.167</f>
        <v>877.46358183376174</v>
      </c>
      <c r="J279" s="170">
        <f t="shared" ref="J279:J281" si="74">ROUND(+H279*(1+$J$1),0)</f>
        <v>1024</v>
      </c>
      <c r="K279" s="96" t="s">
        <v>272</v>
      </c>
      <c r="L279" s="198"/>
    </row>
    <row r="280" spans="1:12" ht="27.75" thickBot="1" x14ac:dyDescent="0.3">
      <c r="A280" s="95">
        <v>271002</v>
      </c>
      <c r="B280" s="123" t="s">
        <v>1</v>
      </c>
      <c r="C280" s="10">
        <v>221</v>
      </c>
      <c r="D280" s="83">
        <f>+C280*$D$1</f>
        <v>299.89999999999998</v>
      </c>
      <c r="E280" s="83">
        <f t="shared" si="72"/>
        <v>407.86399999999998</v>
      </c>
      <c r="F280" s="172">
        <v>550.1</v>
      </c>
      <c r="G280" s="227">
        <v>659.8</v>
      </c>
      <c r="H280" s="172">
        <f t="shared" si="68"/>
        <v>769.98659999999995</v>
      </c>
      <c r="I280" s="170">
        <f t="shared" si="73"/>
        <v>877.46358183376174</v>
      </c>
      <c r="J280" s="170">
        <f t="shared" si="74"/>
        <v>1024</v>
      </c>
      <c r="K280" s="96" t="s">
        <v>273</v>
      </c>
      <c r="L280" s="198"/>
    </row>
    <row r="281" spans="1:12" ht="41.25" thickBot="1" x14ac:dyDescent="0.3">
      <c r="A281" s="95">
        <v>271009</v>
      </c>
      <c r="B281" s="123" t="s">
        <v>1</v>
      </c>
      <c r="C281" s="10">
        <v>221</v>
      </c>
      <c r="D281" s="83">
        <f>+C281*$D$1</f>
        <v>299.89999999999998</v>
      </c>
      <c r="E281" s="83">
        <f t="shared" si="72"/>
        <v>407.86399999999998</v>
      </c>
      <c r="F281" s="172">
        <v>550.1</v>
      </c>
      <c r="G281" s="227">
        <v>659.8</v>
      </c>
      <c r="H281" s="172">
        <f t="shared" si="68"/>
        <v>769.98659999999995</v>
      </c>
      <c r="I281" s="170">
        <f t="shared" si="73"/>
        <v>877.46358183376174</v>
      </c>
      <c r="J281" s="170">
        <f t="shared" si="74"/>
        <v>1024</v>
      </c>
      <c r="K281" s="96" t="s">
        <v>274</v>
      </c>
      <c r="L281" s="198"/>
    </row>
    <row r="282" spans="1:12" ht="28.5" customHeight="1" thickBot="1" x14ac:dyDescent="0.3">
      <c r="A282" s="202" t="s">
        <v>1009</v>
      </c>
      <c r="B282" s="34"/>
      <c r="C282" s="34"/>
      <c r="D282" s="34"/>
      <c r="E282" s="34"/>
      <c r="F282" s="34"/>
      <c r="G282" s="34"/>
      <c r="H282" s="34"/>
      <c r="I282" s="34"/>
      <c r="J282" s="34"/>
      <c r="K282" s="144"/>
      <c r="L282" s="198"/>
    </row>
    <row r="283" spans="1:12" ht="27.75" thickBot="1" x14ac:dyDescent="0.3">
      <c r="A283" s="95">
        <v>272010</v>
      </c>
      <c r="B283" s="123" t="s">
        <v>1</v>
      </c>
      <c r="C283" s="10">
        <v>221</v>
      </c>
      <c r="D283" s="56">
        <f>+C283*$D$1</f>
        <v>299.89999999999998</v>
      </c>
      <c r="E283" s="56">
        <f t="shared" si="72"/>
        <v>407.86399999999998</v>
      </c>
      <c r="F283" s="172">
        <v>550.1</v>
      </c>
      <c r="G283" s="227">
        <v>659.8</v>
      </c>
      <c r="H283" s="172">
        <f t="shared" si="68"/>
        <v>769.98659999999995</v>
      </c>
      <c r="I283" s="170">
        <f t="shared" ref="I283:I286" si="75">+J283/1.167</f>
        <v>877.46358183376174</v>
      </c>
      <c r="J283" s="170">
        <f t="shared" ref="J283:J286" si="76">ROUND(+H283*(1+$J$1),0)</f>
        <v>1024</v>
      </c>
      <c r="K283" s="96" t="s">
        <v>275</v>
      </c>
      <c r="L283" s="198"/>
    </row>
    <row r="284" spans="1:12" ht="27.75" thickBot="1" x14ac:dyDescent="0.3">
      <c r="A284" s="95">
        <v>272090</v>
      </c>
      <c r="B284" s="123" t="s">
        <v>1</v>
      </c>
      <c r="C284" s="10">
        <v>221</v>
      </c>
      <c r="D284" s="83">
        <f>+C284*$D$1</f>
        <v>299.89999999999998</v>
      </c>
      <c r="E284" s="83">
        <f t="shared" si="72"/>
        <v>407.86399999999998</v>
      </c>
      <c r="F284" s="172">
        <v>550.1</v>
      </c>
      <c r="G284" s="227">
        <v>659.8</v>
      </c>
      <c r="H284" s="172">
        <f t="shared" si="68"/>
        <v>769.98659999999995</v>
      </c>
      <c r="I284" s="170">
        <f t="shared" si="75"/>
        <v>877.46358183376174</v>
      </c>
      <c r="J284" s="170">
        <f t="shared" si="76"/>
        <v>1024</v>
      </c>
      <c r="K284" s="96" t="s">
        <v>276</v>
      </c>
      <c r="L284" s="198"/>
    </row>
    <row r="285" spans="1:12" ht="16.5" thickBot="1" x14ac:dyDescent="0.3">
      <c r="A285" s="95">
        <v>273100</v>
      </c>
      <c r="B285" s="123" t="s">
        <v>1</v>
      </c>
      <c r="C285" s="10">
        <v>221</v>
      </c>
      <c r="D285" s="83">
        <f>+C285*$D$1</f>
        <v>299.89999999999998</v>
      </c>
      <c r="E285" s="83">
        <f t="shared" si="72"/>
        <v>407.86399999999998</v>
      </c>
      <c r="F285" s="172">
        <v>550.1</v>
      </c>
      <c r="G285" s="227">
        <v>659.8</v>
      </c>
      <c r="H285" s="172">
        <f t="shared" si="68"/>
        <v>769.98659999999995</v>
      </c>
      <c r="I285" s="170">
        <f t="shared" si="75"/>
        <v>877.46358183376174</v>
      </c>
      <c r="J285" s="170">
        <f t="shared" si="76"/>
        <v>1024</v>
      </c>
      <c r="K285" s="96" t="s">
        <v>277</v>
      </c>
      <c r="L285" s="198"/>
    </row>
    <row r="286" spans="1:12" ht="16.5" thickBot="1" x14ac:dyDescent="0.3">
      <c r="A286" s="95">
        <v>273200</v>
      </c>
      <c r="B286" s="123" t="s">
        <v>1</v>
      </c>
      <c r="C286" s="10">
        <v>221</v>
      </c>
      <c r="D286" s="83">
        <f>+C286*$D$1</f>
        <v>299.89999999999998</v>
      </c>
      <c r="E286" s="83">
        <f t="shared" si="72"/>
        <v>407.86399999999998</v>
      </c>
      <c r="F286" s="172">
        <v>550.1</v>
      </c>
      <c r="G286" s="227">
        <v>659.8</v>
      </c>
      <c r="H286" s="172">
        <f t="shared" si="68"/>
        <v>769.98659999999995</v>
      </c>
      <c r="I286" s="170">
        <f t="shared" si="75"/>
        <v>877.46358183376174</v>
      </c>
      <c r="J286" s="170">
        <f t="shared" si="76"/>
        <v>1024</v>
      </c>
      <c r="K286" s="96" t="s">
        <v>278</v>
      </c>
      <c r="L286" s="198"/>
    </row>
    <row r="287" spans="1:12" ht="17.25" thickBot="1" x14ac:dyDescent="0.3">
      <c r="A287" s="105" t="s">
        <v>279</v>
      </c>
      <c r="B287" s="130"/>
      <c r="C287" s="23"/>
      <c r="D287" s="40"/>
      <c r="E287" s="40"/>
      <c r="F287" s="40"/>
      <c r="G287" s="40"/>
      <c r="H287" s="40"/>
      <c r="I287" s="40"/>
      <c r="J287" s="40"/>
      <c r="K287" s="106"/>
      <c r="L287" s="198"/>
    </row>
    <row r="288" spans="1:12" ht="27.75" thickBot="1" x14ac:dyDescent="0.3">
      <c r="A288" s="95">
        <v>281101</v>
      </c>
      <c r="B288" s="123" t="s">
        <v>1</v>
      </c>
      <c r="C288" s="86">
        <v>280</v>
      </c>
      <c r="D288" s="84">
        <v>380</v>
      </c>
      <c r="E288" s="84">
        <v>517.54999999999995</v>
      </c>
      <c r="F288" s="173">
        <v>698.4</v>
      </c>
      <c r="G288" s="228">
        <v>838.07999999999993</v>
      </c>
      <c r="H288" s="173">
        <f t="shared" si="68"/>
        <v>978.03935999999999</v>
      </c>
      <c r="I288" s="170">
        <f t="shared" ref="I288:I301" si="77">+J288/1.167</f>
        <v>1114.8243359040273</v>
      </c>
      <c r="J288" s="170">
        <f t="shared" ref="J288:J301" si="78">ROUND(+H288*(1+$J$1),0)</f>
        <v>1301</v>
      </c>
      <c r="K288" s="96" t="s">
        <v>280</v>
      </c>
      <c r="L288" s="198"/>
    </row>
    <row r="289" spans="1:12" ht="27.75" thickBot="1" x14ac:dyDescent="0.3">
      <c r="A289" s="95">
        <v>281102</v>
      </c>
      <c r="B289" s="123" t="s">
        <v>1</v>
      </c>
      <c r="C289" s="86">
        <v>280</v>
      </c>
      <c r="D289" s="85">
        <v>380</v>
      </c>
      <c r="E289" s="85">
        <v>517.54999999999995</v>
      </c>
      <c r="F289" s="173">
        <v>698.4</v>
      </c>
      <c r="G289" s="228">
        <v>838.07999999999993</v>
      </c>
      <c r="H289" s="173">
        <f t="shared" si="68"/>
        <v>978.03935999999999</v>
      </c>
      <c r="I289" s="170">
        <f t="shared" si="77"/>
        <v>1114.8243359040273</v>
      </c>
      <c r="J289" s="170">
        <f t="shared" si="78"/>
        <v>1301</v>
      </c>
      <c r="K289" s="96" t="s">
        <v>281</v>
      </c>
      <c r="L289" s="198"/>
    </row>
    <row r="290" spans="1:12" ht="16.5" thickBot="1" x14ac:dyDescent="0.3">
      <c r="A290" s="95">
        <v>281109</v>
      </c>
      <c r="B290" s="123" t="s">
        <v>1</v>
      </c>
      <c r="C290" s="86">
        <v>280</v>
      </c>
      <c r="D290" s="85">
        <v>380</v>
      </c>
      <c r="E290" s="85">
        <v>517.54999999999995</v>
      </c>
      <c r="F290" s="173">
        <v>698.4</v>
      </c>
      <c r="G290" s="228">
        <v>838.07999999999993</v>
      </c>
      <c r="H290" s="173">
        <f t="shared" si="68"/>
        <v>978.03935999999999</v>
      </c>
      <c r="I290" s="170">
        <f t="shared" si="77"/>
        <v>1114.8243359040273</v>
      </c>
      <c r="J290" s="170">
        <f t="shared" si="78"/>
        <v>1301</v>
      </c>
      <c r="K290" s="96" t="s">
        <v>282</v>
      </c>
      <c r="L290" s="198"/>
    </row>
    <row r="291" spans="1:12" ht="16.5" thickBot="1" x14ac:dyDescent="0.3">
      <c r="A291" s="95">
        <v>281200</v>
      </c>
      <c r="B291" s="123" t="s">
        <v>1</v>
      </c>
      <c r="C291" s="86">
        <v>280</v>
      </c>
      <c r="D291" s="85">
        <v>380</v>
      </c>
      <c r="E291" s="85">
        <v>517.54999999999995</v>
      </c>
      <c r="F291" s="173">
        <v>698.4</v>
      </c>
      <c r="G291" s="228">
        <v>838.07999999999993</v>
      </c>
      <c r="H291" s="173">
        <f t="shared" si="68"/>
        <v>978.03935999999999</v>
      </c>
      <c r="I291" s="170">
        <f t="shared" si="77"/>
        <v>1114.8243359040273</v>
      </c>
      <c r="J291" s="170">
        <f t="shared" si="78"/>
        <v>1301</v>
      </c>
      <c r="K291" s="96" t="s">
        <v>283</v>
      </c>
      <c r="L291" s="198"/>
    </row>
    <row r="292" spans="1:12" ht="16.5" thickBot="1" x14ac:dyDescent="0.3">
      <c r="A292" s="95">
        <v>281300</v>
      </c>
      <c r="B292" s="123" t="s">
        <v>1</v>
      </c>
      <c r="C292" s="86">
        <v>280</v>
      </c>
      <c r="D292" s="85">
        <v>380</v>
      </c>
      <c r="E292" s="85">
        <v>517.54999999999995</v>
      </c>
      <c r="F292" s="173">
        <v>698.4</v>
      </c>
      <c r="G292" s="228">
        <v>838.07999999999993</v>
      </c>
      <c r="H292" s="173">
        <f t="shared" si="68"/>
        <v>978.03935999999999</v>
      </c>
      <c r="I292" s="170">
        <f t="shared" si="77"/>
        <v>1114.8243359040273</v>
      </c>
      <c r="J292" s="170">
        <f t="shared" si="78"/>
        <v>1301</v>
      </c>
      <c r="K292" s="96" t="s">
        <v>284</v>
      </c>
      <c r="L292" s="198"/>
    </row>
    <row r="293" spans="1:12" ht="54.75" thickBot="1" x14ac:dyDescent="0.3">
      <c r="A293" s="95">
        <v>289100</v>
      </c>
      <c r="B293" s="123" t="s">
        <v>1</v>
      </c>
      <c r="C293" s="86">
        <v>280</v>
      </c>
      <c r="D293" s="85">
        <v>380</v>
      </c>
      <c r="E293" s="85">
        <v>517.54999999999995</v>
      </c>
      <c r="F293" s="173">
        <v>698.4</v>
      </c>
      <c r="G293" s="228">
        <v>838.07999999999993</v>
      </c>
      <c r="H293" s="173">
        <f t="shared" si="68"/>
        <v>978.03935999999999</v>
      </c>
      <c r="I293" s="170">
        <f t="shared" si="77"/>
        <v>1114.8243359040273</v>
      </c>
      <c r="J293" s="170">
        <f t="shared" si="78"/>
        <v>1301</v>
      </c>
      <c r="K293" s="96" t="s">
        <v>285</v>
      </c>
      <c r="L293" s="198"/>
    </row>
    <row r="294" spans="1:12" ht="41.25" thickBot="1" x14ac:dyDescent="0.3">
      <c r="A294" s="95">
        <v>289301</v>
      </c>
      <c r="B294" s="123" t="s">
        <v>1</v>
      </c>
      <c r="C294" s="86">
        <v>280</v>
      </c>
      <c r="D294" s="85">
        <v>380</v>
      </c>
      <c r="E294" s="85">
        <v>517.54999999999995</v>
      </c>
      <c r="F294" s="173">
        <v>698.4</v>
      </c>
      <c r="G294" s="228">
        <v>838.07999999999993</v>
      </c>
      <c r="H294" s="173">
        <f t="shared" si="68"/>
        <v>978.03935999999999</v>
      </c>
      <c r="I294" s="170">
        <f t="shared" si="77"/>
        <v>1114.8243359040273</v>
      </c>
      <c r="J294" s="170">
        <f t="shared" si="78"/>
        <v>1301</v>
      </c>
      <c r="K294" s="96" t="s">
        <v>286</v>
      </c>
      <c r="L294" s="198"/>
    </row>
    <row r="295" spans="1:12" ht="27.75" thickBot="1" x14ac:dyDescent="0.3">
      <c r="A295" s="95">
        <v>289302</v>
      </c>
      <c r="B295" s="123" t="s">
        <v>1</v>
      </c>
      <c r="C295" s="86">
        <v>280</v>
      </c>
      <c r="D295" s="85">
        <v>380</v>
      </c>
      <c r="E295" s="85">
        <v>517.54999999999995</v>
      </c>
      <c r="F295" s="173">
        <v>698.4</v>
      </c>
      <c r="G295" s="228">
        <v>838.07999999999993</v>
      </c>
      <c r="H295" s="173">
        <f t="shared" si="68"/>
        <v>978.03935999999999</v>
      </c>
      <c r="I295" s="170">
        <f t="shared" si="77"/>
        <v>1114.8243359040273</v>
      </c>
      <c r="J295" s="170">
        <f t="shared" si="78"/>
        <v>1301</v>
      </c>
      <c r="K295" s="96" t="s">
        <v>287</v>
      </c>
      <c r="L295" s="198"/>
    </row>
    <row r="296" spans="1:12" ht="41.25" thickBot="1" x14ac:dyDescent="0.3">
      <c r="A296" s="95">
        <v>289309</v>
      </c>
      <c r="B296" s="123" t="s">
        <v>1</v>
      </c>
      <c r="C296" s="86">
        <v>280</v>
      </c>
      <c r="D296" s="85">
        <v>380</v>
      </c>
      <c r="E296" s="85">
        <v>517.54999999999995</v>
      </c>
      <c r="F296" s="173">
        <v>698.4</v>
      </c>
      <c r="G296" s="228">
        <v>838.07999999999993</v>
      </c>
      <c r="H296" s="173">
        <f t="shared" si="68"/>
        <v>978.03935999999999</v>
      </c>
      <c r="I296" s="170">
        <f t="shared" si="77"/>
        <v>1114.8243359040273</v>
      </c>
      <c r="J296" s="170">
        <f t="shared" si="78"/>
        <v>1301</v>
      </c>
      <c r="K296" s="96" t="s">
        <v>288</v>
      </c>
      <c r="L296" s="198"/>
    </row>
    <row r="297" spans="1:12" ht="27.75" thickBot="1" x14ac:dyDescent="0.3">
      <c r="A297" s="95">
        <v>289910</v>
      </c>
      <c r="B297" s="123" t="s">
        <v>1</v>
      </c>
      <c r="C297" s="86">
        <v>280</v>
      </c>
      <c r="D297" s="85">
        <v>380</v>
      </c>
      <c r="E297" s="85">
        <v>517.54999999999995</v>
      </c>
      <c r="F297" s="173">
        <v>698.4</v>
      </c>
      <c r="G297" s="228">
        <v>838.07999999999993</v>
      </c>
      <c r="H297" s="173">
        <f t="shared" si="68"/>
        <v>978.03935999999999</v>
      </c>
      <c r="I297" s="170">
        <f t="shared" si="77"/>
        <v>1114.8243359040273</v>
      </c>
      <c r="J297" s="170">
        <f t="shared" si="78"/>
        <v>1301</v>
      </c>
      <c r="K297" s="96" t="s">
        <v>289</v>
      </c>
      <c r="L297" s="198"/>
    </row>
    <row r="298" spans="1:12" ht="16.5" thickBot="1" x14ac:dyDescent="0.3">
      <c r="A298" s="95">
        <v>289991</v>
      </c>
      <c r="B298" s="123" t="s">
        <v>1</v>
      </c>
      <c r="C298" s="86">
        <v>280</v>
      </c>
      <c r="D298" s="85">
        <v>380</v>
      </c>
      <c r="E298" s="85">
        <v>517.54999999999995</v>
      </c>
      <c r="F298" s="173">
        <v>698.4</v>
      </c>
      <c r="G298" s="228">
        <v>838.07999999999993</v>
      </c>
      <c r="H298" s="173">
        <f t="shared" si="68"/>
        <v>978.03935999999999</v>
      </c>
      <c r="I298" s="170">
        <f t="shared" si="77"/>
        <v>1114.8243359040273</v>
      </c>
      <c r="J298" s="170">
        <f t="shared" si="78"/>
        <v>1301</v>
      </c>
      <c r="K298" s="96" t="s">
        <v>290</v>
      </c>
      <c r="L298" s="198"/>
    </row>
    <row r="299" spans="1:12" ht="16.5" thickBot="1" x14ac:dyDescent="0.3">
      <c r="A299" s="95">
        <v>289992</v>
      </c>
      <c r="B299" s="123" t="s">
        <v>1</v>
      </c>
      <c r="C299" s="86">
        <v>280</v>
      </c>
      <c r="D299" s="85">
        <v>380</v>
      </c>
      <c r="E299" s="85">
        <v>517.54999999999995</v>
      </c>
      <c r="F299" s="173">
        <v>698.4</v>
      </c>
      <c r="G299" s="228">
        <v>838.07999999999993</v>
      </c>
      <c r="H299" s="173">
        <f t="shared" si="68"/>
        <v>978.03935999999999</v>
      </c>
      <c r="I299" s="170">
        <f t="shared" si="77"/>
        <v>1114.8243359040273</v>
      </c>
      <c r="J299" s="170">
        <f t="shared" si="78"/>
        <v>1301</v>
      </c>
      <c r="K299" s="96" t="s">
        <v>291</v>
      </c>
      <c r="L299" s="198"/>
    </row>
    <row r="300" spans="1:12" ht="27.75" thickBot="1" x14ac:dyDescent="0.3">
      <c r="A300" s="95">
        <v>289993</v>
      </c>
      <c r="B300" s="123" t="s">
        <v>1</v>
      </c>
      <c r="C300" s="86">
        <v>280</v>
      </c>
      <c r="D300" s="85">
        <v>380</v>
      </c>
      <c r="E300" s="85">
        <v>517.54999999999995</v>
      </c>
      <c r="F300" s="173">
        <v>698.4</v>
      </c>
      <c r="G300" s="228">
        <v>838.07999999999993</v>
      </c>
      <c r="H300" s="173">
        <f t="shared" si="68"/>
        <v>978.03935999999999</v>
      </c>
      <c r="I300" s="170">
        <f t="shared" si="77"/>
        <v>1114.8243359040273</v>
      </c>
      <c r="J300" s="170">
        <f t="shared" si="78"/>
        <v>1301</v>
      </c>
      <c r="K300" s="96" t="s">
        <v>292</v>
      </c>
      <c r="L300" s="198"/>
    </row>
    <row r="301" spans="1:12" ht="16.5" thickBot="1" x14ac:dyDescent="0.3">
      <c r="A301" s="95">
        <v>289999</v>
      </c>
      <c r="B301" s="123" t="s">
        <v>1</v>
      </c>
      <c r="C301" s="86">
        <v>280</v>
      </c>
      <c r="D301" s="85">
        <v>380</v>
      </c>
      <c r="E301" s="85">
        <v>517.54999999999995</v>
      </c>
      <c r="F301" s="173">
        <v>698.4</v>
      </c>
      <c r="G301" s="228">
        <v>838.07999999999993</v>
      </c>
      <c r="H301" s="173">
        <f t="shared" si="68"/>
        <v>978.03935999999999</v>
      </c>
      <c r="I301" s="170">
        <f t="shared" si="77"/>
        <v>1114.8243359040273</v>
      </c>
      <c r="J301" s="170">
        <f t="shared" si="78"/>
        <v>1301</v>
      </c>
      <c r="K301" s="96" t="s">
        <v>293</v>
      </c>
      <c r="L301" s="198"/>
    </row>
    <row r="302" spans="1:12" ht="17.25" thickBot="1" x14ac:dyDescent="0.3">
      <c r="A302" s="97" t="s">
        <v>294</v>
      </c>
      <c r="B302" s="75"/>
      <c r="C302" s="1"/>
      <c r="D302" s="59"/>
      <c r="E302" s="34"/>
      <c r="F302" s="34"/>
      <c r="G302" s="34"/>
      <c r="H302" s="34"/>
      <c r="I302" s="34"/>
      <c r="J302" s="34"/>
      <c r="K302" s="99"/>
      <c r="L302" s="198"/>
    </row>
    <row r="303" spans="1:12" ht="41.25" thickBot="1" x14ac:dyDescent="0.3">
      <c r="A303" s="95">
        <v>291100</v>
      </c>
      <c r="B303" s="123" t="s">
        <v>1</v>
      </c>
      <c r="C303" s="10">
        <v>221</v>
      </c>
      <c r="D303" s="56">
        <f t="shared" ref="D303:D325" si="79">+C303*$D$1</f>
        <v>299.89999999999998</v>
      </c>
      <c r="E303" s="56">
        <f t="shared" si="72"/>
        <v>407.86399999999998</v>
      </c>
      <c r="F303" s="172">
        <v>550.1</v>
      </c>
      <c r="G303" s="227">
        <v>659.8</v>
      </c>
      <c r="H303" s="172">
        <f t="shared" si="68"/>
        <v>769.98659999999995</v>
      </c>
      <c r="I303" s="170">
        <f t="shared" ref="I303:I325" si="80">+J303/1.167</f>
        <v>877.46358183376174</v>
      </c>
      <c r="J303" s="170">
        <f t="shared" ref="J303:J325" si="81">ROUND(+H303*(1+$J$1),0)</f>
        <v>1024</v>
      </c>
      <c r="K303" s="96" t="s">
        <v>295</v>
      </c>
      <c r="L303" s="198"/>
    </row>
    <row r="304" spans="1:12" ht="27.75" thickBot="1" x14ac:dyDescent="0.3">
      <c r="A304" s="95">
        <v>291200.09999999998</v>
      </c>
      <c r="B304" s="123" t="s">
        <v>1</v>
      </c>
      <c r="C304" s="10">
        <v>221</v>
      </c>
      <c r="D304" s="83">
        <f t="shared" si="79"/>
        <v>299.89999999999998</v>
      </c>
      <c r="E304" s="83">
        <f t="shared" si="72"/>
        <v>407.86399999999998</v>
      </c>
      <c r="F304" s="172">
        <v>550.1</v>
      </c>
      <c r="G304" s="227">
        <v>659.8</v>
      </c>
      <c r="H304" s="172">
        <f t="shared" si="68"/>
        <v>769.98659999999995</v>
      </c>
      <c r="I304" s="170">
        <f t="shared" si="80"/>
        <v>877.46358183376174</v>
      </c>
      <c r="J304" s="170">
        <f t="shared" si="81"/>
        <v>1024</v>
      </c>
      <c r="K304" s="96" t="s">
        <v>296</v>
      </c>
      <c r="L304" s="198"/>
    </row>
    <row r="305" spans="1:12" ht="27.75" thickBot="1" x14ac:dyDescent="0.3">
      <c r="A305" s="95">
        <v>291200.2</v>
      </c>
      <c r="B305" s="123" t="s">
        <v>1</v>
      </c>
      <c r="C305" s="10">
        <v>221</v>
      </c>
      <c r="D305" s="83">
        <f t="shared" si="79"/>
        <v>299.89999999999998</v>
      </c>
      <c r="E305" s="83">
        <f t="shared" si="72"/>
        <v>407.86399999999998</v>
      </c>
      <c r="F305" s="172">
        <v>550.1</v>
      </c>
      <c r="G305" s="227">
        <v>659.8</v>
      </c>
      <c r="H305" s="172">
        <f t="shared" si="68"/>
        <v>769.98659999999995</v>
      </c>
      <c r="I305" s="170">
        <f t="shared" si="80"/>
        <v>877.46358183376174</v>
      </c>
      <c r="J305" s="170">
        <f t="shared" si="81"/>
        <v>1024</v>
      </c>
      <c r="K305" s="96" t="s">
        <v>297</v>
      </c>
      <c r="L305" s="198"/>
    </row>
    <row r="306" spans="1:12" ht="41.25" thickBot="1" x14ac:dyDescent="0.3">
      <c r="A306" s="95">
        <v>291400</v>
      </c>
      <c r="B306" s="123" t="s">
        <v>1</v>
      </c>
      <c r="C306" s="10">
        <v>221</v>
      </c>
      <c r="D306" s="83">
        <f t="shared" si="79"/>
        <v>299.89999999999998</v>
      </c>
      <c r="E306" s="83">
        <f t="shared" si="72"/>
        <v>407.86399999999998</v>
      </c>
      <c r="F306" s="172">
        <v>550.1</v>
      </c>
      <c r="G306" s="227">
        <v>659.8</v>
      </c>
      <c r="H306" s="172">
        <f t="shared" si="68"/>
        <v>769.98659999999995</v>
      </c>
      <c r="I306" s="170">
        <f t="shared" si="80"/>
        <v>877.46358183376174</v>
      </c>
      <c r="J306" s="170">
        <f t="shared" si="81"/>
        <v>1024</v>
      </c>
      <c r="K306" s="96" t="s">
        <v>298</v>
      </c>
      <c r="L306" s="198"/>
    </row>
    <row r="307" spans="1:12" ht="27.75" thickBot="1" x14ac:dyDescent="0.3">
      <c r="A307" s="95">
        <v>291500</v>
      </c>
      <c r="B307" s="123" t="s">
        <v>1</v>
      </c>
      <c r="C307" s="10">
        <v>221</v>
      </c>
      <c r="D307" s="83">
        <f t="shared" si="79"/>
        <v>299.89999999999998</v>
      </c>
      <c r="E307" s="83">
        <f t="shared" si="72"/>
        <v>407.86399999999998</v>
      </c>
      <c r="F307" s="172">
        <v>550.1</v>
      </c>
      <c r="G307" s="227">
        <v>659.8</v>
      </c>
      <c r="H307" s="172">
        <f t="shared" si="68"/>
        <v>769.98659999999995</v>
      </c>
      <c r="I307" s="170">
        <f t="shared" si="80"/>
        <v>877.46358183376174</v>
      </c>
      <c r="J307" s="170">
        <f t="shared" si="81"/>
        <v>1024</v>
      </c>
      <c r="K307" s="96" t="s">
        <v>299</v>
      </c>
      <c r="L307" s="198"/>
    </row>
    <row r="308" spans="1:12" ht="27.75" thickBot="1" x14ac:dyDescent="0.3">
      <c r="A308" s="95">
        <v>291900.09999999998</v>
      </c>
      <c r="B308" s="123" t="s">
        <v>1</v>
      </c>
      <c r="C308" s="10">
        <v>221</v>
      </c>
      <c r="D308" s="83">
        <f t="shared" si="79"/>
        <v>299.89999999999998</v>
      </c>
      <c r="E308" s="83">
        <f t="shared" si="72"/>
        <v>407.86399999999998</v>
      </c>
      <c r="F308" s="172">
        <v>550.1</v>
      </c>
      <c r="G308" s="227">
        <v>659.8</v>
      </c>
      <c r="H308" s="172">
        <f t="shared" si="68"/>
        <v>769.98659999999995</v>
      </c>
      <c r="I308" s="170">
        <f t="shared" si="80"/>
        <v>877.46358183376174</v>
      </c>
      <c r="J308" s="170">
        <f t="shared" si="81"/>
        <v>1024</v>
      </c>
      <c r="K308" s="96" t="s">
        <v>300</v>
      </c>
      <c r="L308" s="198"/>
    </row>
    <row r="309" spans="1:12" ht="27.75" thickBot="1" x14ac:dyDescent="0.3">
      <c r="A309" s="95">
        <v>291900.2</v>
      </c>
      <c r="B309" s="123" t="s">
        <v>1</v>
      </c>
      <c r="C309" s="10">
        <v>221</v>
      </c>
      <c r="D309" s="83">
        <f t="shared" si="79"/>
        <v>299.89999999999998</v>
      </c>
      <c r="E309" s="83">
        <f t="shared" si="72"/>
        <v>407.86399999999998</v>
      </c>
      <c r="F309" s="172">
        <v>550.1</v>
      </c>
      <c r="G309" s="227">
        <v>659.8</v>
      </c>
      <c r="H309" s="172">
        <f t="shared" si="68"/>
        <v>769.98659999999995</v>
      </c>
      <c r="I309" s="170">
        <f t="shared" si="80"/>
        <v>877.46358183376174</v>
      </c>
      <c r="J309" s="170">
        <f t="shared" si="81"/>
        <v>1024</v>
      </c>
      <c r="K309" s="96" t="s">
        <v>301</v>
      </c>
      <c r="L309" s="198"/>
    </row>
    <row r="310" spans="1:12" ht="27.75" thickBot="1" x14ac:dyDescent="0.3">
      <c r="A310" s="95">
        <v>291900.3</v>
      </c>
      <c r="B310" s="123" t="s">
        <v>1</v>
      </c>
      <c r="C310" s="10">
        <v>221</v>
      </c>
      <c r="D310" s="83">
        <f t="shared" si="79"/>
        <v>299.89999999999998</v>
      </c>
      <c r="E310" s="83">
        <f t="shared" si="72"/>
        <v>407.86399999999998</v>
      </c>
      <c r="F310" s="172">
        <v>550.1</v>
      </c>
      <c r="G310" s="227">
        <v>659.8</v>
      </c>
      <c r="H310" s="172">
        <f t="shared" si="68"/>
        <v>769.98659999999995</v>
      </c>
      <c r="I310" s="170">
        <f t="shared" si="80"/>
        <v>877.46358183376174</v>
      </c>
      <c r="J310" s="170">
        <f t="shared" si="81"/>
        <v>1024</v>
      </c>
      <c r="K310" s="96" t="s">
        <v>302</v>
      </c>
      <c r="L310" s="198"/>
    </row>
    <row r="311" spans="1:12" ht="41.25" thickBot="1" x14ac:dyDescent="0.3">
      <c r="A311" s="95">
        <v>291900.40000000002</v>
      </c>
      <c r="B311" s="123" t="s">
        <v>1</v>
      </c>
      <c r="C311" s="10">
        <v>221</v>
      </c>
      <c r="D311" s="83">
        <f t="shared" si="79"/>
        <v>299.89999999999998</v>
      </c>
      <c r="E311" s="83">
        <f t="shared" si="72"/>
        <v>407.86399999999998</v>
      </c>
      <c r="F311" s="172">
        <v>550.1</v>
      </c>
      <c r="G311" s="227">
        <v>659.8</v>
      </c>
      <c r="H311" s="172">
        <f t="shared" si="68"/>
        <v>769.98659999999995</v>
      </c>
      <c r="I311" s="170">
        <f t="shared" si="80"/>
        <v>877.46358183376174</v>
      </c>
      <c r="J311" s="170">
        <f t="shared" si="81"/>
        <v>1024</v>
      </c>
      <c r="K311" s="96" t="s">
        <v>303</v>
      </c>
      <c r="L311" s="198"/>
    </row>
    <row r="312" spans="1:12" ht="16.5" thickBot="1" x14ac:dyDescent="0.3">
      <c r="A312" s="254">
        <v>292110</v>
      </c>
      <c r="B312" s="57" t="s">
        <v>1</v>
      </c>
      <c r="C312" s="14">
        <v>221</v>
      </c>
      <c r="D312" s="87">
        <f t="shared" si="79"/>
        <v>299.89999999999998</v>
      </c>
      <c r="E312" s="87">
        <f t="shared" si="72"/>
        <v>407.86399999999998</v>
      </c>
      <c r="F312" s="178">
        <v>550.1</v>
      </c>
      <c r="G312" s="233">
        <v>659.8</v>
      </c>
      <c r="H312" s="178">
        <f t="shared" si="68"/>
        <v>769.98659999999995</v>
      </c>
      <c r="I312" s="170">
        <f t="shared" si="80"/>
        <v>877.46358183376174</v>
      </c>
      <c r="J312" s="170">
        <f t="shared" si="81"/>
        <v>1024</v>
      </c>
      <c r="K312" s="107" t="s">
        <v>304</v>
      </c>
      <c r="L312" s="198"/>
    </row>
    <row r="313" spans="1:12" ht="27.75" thickBot="1" x14ac:dyDescent="0.3">
      <c r="A313" s="254">
        <v>292190</v>
      </c>
      <c r="B313" s="57" t="s">
        <v>1</v>
      </c>
      <c r="C313" s="14">
        <v>221</v>
      </c>
      <c r="D313" s="87">
        <f t="shared" si="79"/>
        <v>299.89999999999998</v>
      </c>
      <c r="E313" s="87">
        <f t="shared" si="72"/>
        <v>407.86399999999998</v>
      </c>
      <c r="F313" s="178">
        <v>550.1</v>
      </c>
      <c r="G313" s="233">
        <v>659.8</v>
      </c>
      <c r="H313" s="178">
        <f t="shared" si="68"/>
        <v>769.98659999999995</v>
      </c>
      <c r="I313" s="170">
        <f t="shared" si="80"/>
        <v>877.46358183376174</v>
      </c>
      <c r="J313" s="170">
        <f t="shared" si="81"/>
        <v>1024</v>
      </c>
      <c r="K313" s="107" t="s">
        <v>305</v>
      </c>
      <c r="L313" s="198"/>
    </row>
    <row r="314" spans="1:12" ht="54.75" thickBot="1" x14ac:dyDescent="0.3">
      <c r="A314" s="254">
        <v>292300</v>
      </c>
      <c r="B314" s="57" t="s">
        <v>1</v>
      </c>
      <c r="C314" s="14">
        <v>221</v>
      </c>
      <c r="D314" s="87">
        <f t="shared" si="79"/>
        <v>299.89999999999998</v>
      </c>
      <c r="E314" s="87">
        <f t="shared" si="72"/>
        <v>407.86399999999998</v>
      </c>
      <c r="F314" s="178">
        <v>550.1</v>
      </c>
      <c r="G314" s="233">
        <v>659.8</v>
      </c>
      <c r="H314" s="178">
        <f t="shared" si="68"/>
        <v>769.98659999999995</v>
      </c>
      <c r="I314" s="170">
        <f t="shared" si="80"/>
        <v>877.46358183376174</v>
      </c>
      <c r="J314" s="170">
        <f t="shared" si="81"/>
        <v>1024</v>
      </c>
      <c r="K314" s="107" t="s">
        <v>306</v>
      </c>
      <c r="L314" s="198"/>
    </row>
    <row r="315" spans="1:12" ht="41.25" thickBot="1" x14ac:dyDescent="0.3">
      <c r="A315" s="254">
        <v>292400.09999999998</v>
      </c>
      <c r="B315" s="57" t="s">
        <v>1</v>
      </c>
      <c r="C315" s="14">
        <v>221</v>
      </c>
      <c r="D315" s="87">
        <f t="shared" si="79"/>
        <v>299.89999999999998</v>
      </c>
      <c r="E315" s="87">
        <f t="shared" si="72"/>
        <v>407.86399999999998</v>
      </c>
      <c r="F315" s="178">
        <v>550.1</v>
      </c>
      <c r="G315" s="233">
        <v>659.8</v>
      </c>
      <c r="H315" s="178">
        <f t="shared" si="68"/>
        <v>769.98659999999995</v>
      </c>
      <c r="I315" s="170">
        <f t="shared" si="80"/>
        <v>877.46358183376174</v>
      </c>
      <c r="J315" s="170">
        <f t="shared" si="81"/>
        <v>1024</v>
      </c>
      <c r="K315" s="107" t="s">
        <v>307</v>
      </c>
      <c r="L315" s="198"/>
    </row>
    <row r="316" spans="1:12" ht="27.75" thickBot="1" x14ac:dyDescent="0.3">
      <c r="A316" s="254">
        <v>292400.2</v>
      </c>
      <c r="B316" s="57" t="s">
        <v>1</v>
      </c>
      <c r="C316" s="14">
        <v>221</v>
      </c>
      <c r="D316" s="87">
        <f t="shared" si="79"/>
        <v>299.89999999999998</v>
      </c>
      <c r="E316" s="87">
        <f t="shared" si="72"/>
        <v>407.86399999999998</v>
      </c>
      <c r="F316" s="178">
        <v>550.1</v>
      </c>
      <c r="G316" s="233">
        <v>659.8</v>
      </c>
      <c r="H316" s="178">
        <f t="shared" si="68"/>
        <v>769.98659999999995</v>
      </c>
      <c r="I316" s="170">
        <f t="shared" si="80"/>
        <v>877.46358183376174</v>
      </c>
      <c r="J316" s="170">
        <f t="shared" si="81"/>
        <v>1024</v>
      </c>
      <c r="K316" s="107" t="s">
        <v>308</v>
      </c>
      <c r="L316" s="198"/>
    </row>
    <row r="317" spans="1:12" ht="41.25" thickBot="1" x14ac:dyDescent="0.3">
      <c r="A317" s="254">
        <v>292500</v>
      </c>
      <c r="B317" s="57" t="s">
        <v>1</v>
      </c>
      <c r="C317" s="14">
        <v>221</v>
      </c>
      <c r="D317" s="87">
        <f t="shared" si="79"/>
        <v>299.89999999999998</v>
      </c>
      <c r="E317" s="87">
        <f t="shared" si="72"/>
        <v>407.86399999999998</v>
      </c>
      <c r="F317" s="178">
        <v>550.1</v>
      </c>
      <c r="G317" s="233">
        <v>659.8</v>
      </c>
      <c r="H317" s="178">
        <f t="shared" si="68"/>
        <v>769.98659999999995</v>
      </c>
      <c r="I317" s="170">
        <f t="shared" si="80"/>
        <v>877.46358183376174</v>
      </c>
      <c r="J317" s="170">
        <f t="shared" si="81"/>
        <v>1024</v>
      </c>
      <c r="K317" s="107" t="s">
        <v>309</v>
      </c>
      <c r="L317" s="198"/>
    </row>
    <row r="318" spans="1:12" ht="41.25" thickBot="1" x14ac:dyDescent="0.3">
      <c r="A318" s="254">
        <v>292600</v>
      </c>
      <c r="B318" s="57" t="s">
        <v>1</v>
      </c>
      <c r="C318" s="14">
        <v>221</v>
      </c>
      <c r="D318" s="87">
        <f t="shared" si="79"/>
        <v>299.89999999999998</v>
      </c>
      <c r="E318" s="87">
        <f t="shared" si="72"/>
        <v>407.86399999999998</v>
      </c>
      <c r="F318" s="178">
        <v>550.1</v>
      </c>
      <c r="G318" s="233">
        <v>659.8</v>
      </c>
      <c r="H318" s="178">
        <f t="shared" si="68"/>
        <v>769.98659999999995</v>
      </c>
      <c r="I318" s="170">
        <f t="shared" si="80"/>
        <v>877.46358183376174</v>
      </c>
      <c r="J318" s="170">
        <f t="shared" si="81"/>
        <v>1024</v>
      </c>
      <c r="K318" s="107" t="s">
        <v>310</v>
      </c>
      <c r="L318" s="198"/>
    </row>
    <row r="319" spans="1:12" ht="27.75" thickBot="1" x14ac:dyDescent="0.3">
      <c r="A319" s="254">
        <v>292700</v>
      </c>
      <c r="B319" s="57" t="s">
        <v>124</v>
      </c>
      <c r="C319" s="14">
        <v>221</v>
      </c>
      <c r="D319" s="87">
        <f t="shared" si="79"/>
        <v>299.89999999999998</v>
      </c>
      <c r="E319" s="87">
        <f t="shared" si="72"/>
        <v>407.86399999999998</v>
      </c>
      <c r="F319" s="178">
        <v>550.1</v>
      </c>
      <c r="G319" s="233">
        <v>659.8</v>
      </c>
      <c r="H319" s="178">
        <f t="shared" si="68"/>
        <v>769.98659999999995</v>
      </c>
      <c r="I319" s="170">
        <f t="shared" si="80"/>
        <v>877.46358183376174</v>
      </c>
      <c r="J319" s="170">
        <f t="shared" si="81"/>
        <v>1024</v>
      </c>
      <c r="K319" s="107" t="s">
        <v>311</v>
      </c>
      <c r="L319" s="198"/>
    </row>
    <row r="320" spans="1:12" ht="41.25" thickBot="1" x14ac:dyDescent="0.3">
      <c r="A320" s="254">
        <v>292901</v>
      </c>
      <c r="B320" s="57" t="s">
        <v>1</v>
      </c>
      <c r="C320" s="14">
        <v>221</v>
      </c>
      <c r="D320" s="87">
        <f t="shared" si="79"/>
        <v>299.89999999999998</v>
      </c>
      <c r="E320" s="87">
        <f t="shared" si="72"/>
        <v>407.86399999999998</v>
      </c>
      <c r="F320" s="178">
        <v>550.1</v>
      </c>
      <c r="G320" s="233">
        <v>659.8</v>
      </c>
      <c r="H320" s="178">
        <f t="shared" si="68"/>
        <v>769.98659999999995</v>
      </c>
      <c r="I320" s="170">
        <f t="shared" si="80"/>
        <v>877.46358183376174</v>
      </c>
      <c r="J320" s="170">
        <f t="shared" si="81"/>
        <v>1024</v>
      </c>
      <c r="K320" s="107" t="s">
        <v>312</v>
      </c>
      <c r="L320" s="198"/>
    </row>
    <row r="321" spans="1:12" ht="41.25" thickBot="1" x14ac:dyDescent="0.3">
      <c r="A321" s="254">
        <v>292909.09999999998</v>
      </c>
      <c r="B321" s="57" t="s">
        <v>1</v>
      </c>
      <c r="C321" s="14">
        <v>221</v>
      </c>
      <c r="D321" s="87">
        <f t="shared" si="79"/>
        <v>299.89999999999998</v>
      </c>
      <c r="E321" s="87">
        <f t="shared" si="72"/>
        <v>407.86399999999998</v>
      </c>
      <c r="F321" s="178">
        <v>550.1</v>
      </c>
      <c r="G321" s="233">
        <v>659.8</v>
      </c>
      <c r="H321" s="178">
        <f t="shared" si="68"/>
        <v>769.98659999999995</v>
      </c>
      <c r="I321" s="170">
        <f t="shared" si="80"/>
        <v>877.46358183376174</v>
      </c>
      <c r="J321" s="170">
        <f t="shared" si="81"/>
        <v>1024</v>
      </c>
      <c r="K321" s="107" t="s">
        <v>313</v>
      </c>
      <c r="L321" s="198"/>
    </row>
    <row r="322" spans="1:12" ht="27.75" thickBot="1" x14ac:dyDescent="0.3">
      <c r="A322" s="254">
        <v>292909.2</v>
      </c>
      <c r="B322" s="57" t="s">
        <v>1</v>
      </c>
      <c r="C322" s="14">
        <v>221</v>
      </c>
      <c r="D322" s="87">
        <f t="shared" si="79"/>
        <v>299.89999999999998</v>
      </c>
      <c r="E322" s="87">
        <f t="shared" si="72"/>
        <v>407.86399999999998</v>
      </c>
      <c r="F322" s="178">
        <v>550.1</v>
      </c>
      <c r="G322" s="233">
        <v>659.8</v>
      </c>
      <c r="H322" s="178">
        <f t="shared" si="68"/>
        <v>769.98659999999995</v>
      </c>
      <c r="I322" s="170">
        <f t="shared" si="80"/>
        <v>877.46358183376174</v>
      </c>
      <c r="J322" s="170">
        <f t="shared" si="81"/>
        <v>1024</v>
      </c>
      <c r="K322" s="107" t="s">
        <v>314</v>
      </c>
      <c r="L322" s="198"/>
    </row>
    <row r="323" spans="1:12" ht="27.75" thickBot="1" x14ac:dyDescent="0.3">
      <c r="A323" s="254">
        <v>292909.3</v>
      </c>
      <c r="B323" s="57" t="s">
        <v>1</v>
      </c>
      <c r="C323" s="14">
        <v>221</v>
      </c>
      <c r="D323" s="87">
        <f t="shared" si="79"/>
        <v>299.89999999999998</v>
      </c>
      <c r="E323" s="87">
        <f t="shared" si="72"/>
        <v>407.86399999999998</v>
      </c>
      <c r="F323" s="178">
        <v>550.1</v>
      </c>
      <c r="G323" s="233">
        <v>659.8</v>
      </c>
      <c r="H323" s="178">
        <f t="shared" si="68"/>
        <v>769.98659999999995</v>
      </c>
      <c r="I323" s="170">
        <f t="shared" si="80"/>
        <v>877.46358183376174</v>
      </c>
      <c r="J323" s="170">
        <f t="shared" si="81"/>
        <v>1024</v>
      </c>
      <c r="K323" s="107" t="s">
        <v>315</v>
      </c>
      <c r="L323" s="198"/>
    </row>
    <row r="324" spans="1:12" ht="41.25" thickBot="1" x14ac:dyDescent="0.3">
      <c r="A324" s="254">
        <v>293010</v>
      </c>
      <c r="B324" s="57" t="s">
        <v>1</v>
      </c>
      <c r="C324" s="14">
        <v>221</v>
      </c>
      <c r="D324" s="87">
        <f t="shared" si="79"/>
        <v>299.89999999999998</v>
      </c>
      <c r="E324" s="87">
        <f t="shared" si="72"/>
        <v>407.86399999999998</v>
      </c>
      <c r="F324" s="178">
        <v>550.1</v>
      </c>
      <c r="G324" s="233">
        <v>659.8</v>
      </c>
      <c r="H324" s="178">
        <f t="shared" si="68"/>
        <v>769.98659999999995</v>
      </c>
      <c r="I324" s="170">
        <f t="shared" si="80"/>
        <v>877.46358183376174</v>
      </c>
      <c r="J324" s="170">
        <f t="shared" si="81"/>
        <v>1024</v>
      </c>
      <c r="K324" s="107" t="s">
        <v>316</v>
      </c>
      <c r="L324" s="198"/>
    </row>
    <row r="325" spans="1:12" ht="27.75" thickBot="1" x14ac:dyDescent="0.3">
      <c r="A325" s="253">
        <v>293095</v>
      </c>
      <c r="B325" s="66" t="s">
        <v>1</v>
      </c>
      <c r="C325" s="17">
        <v>221</v>
      </c>
      <c r="D325" s="159">
        <f t="shared" si="79"/>
        <v>299.89999999999998</v>
      </c>
      <c r="E325" s="159">
        <f t="shared" si="72"/>
        <v>407.86399999999998</v>
      </c>
      <c r="F325" s="179">
        <v>550.1</v>
      </c>
      <c r="G325" s="234">
        <v>659.8</v>
      </c>
      <c r="H325" s="179">
        <f t="shared" si="68"/>
        <v>769.98659999999995</v>
      </c>
      <c r="I325" s="170">
        <f t="shared" si="80"/>
        <v>877.46358183376174</v>
      </c>
      <c r="J325" s="170">
        <f t="shared" si="81"/>
        <v>1024</v>
      </c>
      <c r="K325" s="108" t="s">
        <v>317</v>
      </c>
      <c r="L325" s="198"/>
    </row>
    <row r="326" spans="1:12" ht="16.5" x14ac:dyDescent="0.25">
      <c r="A326" s="160" t="s">
        <v>998</v>
      </c>
      <c r="B326" s="161"/>
      <c r="C326" s="162"/>
      <c r="D326" s="161"/>
      <c r="E326" s="161"/>
      <c r="F326" s="161"/>
      <c r="G326" s="161"/>
      <c r="H326" s="161"/>
      <c r="I326" s="161"/>
      <c r="J326" s="161"/>
      <c r="K326" s="163"/>
      <c r="L326" s="198"/>
    </row>
    <row r="327" spans="1:12" ht="17.25" thickBot="1" x14ac:dyDescent="0.3">
      <c r="A327" s="155" t="s">
        <v>999</v>
      </c>
      <c r="B327" s="156"/>
      <c r="C327" s="157"/>
      <c r="D327" s="156"/>
      <c r="E327" s="156"/>
      <c r="F327" s="156"/>
      <c r="G327" s="156"/>
      <c r="H327" s="156"/>
      <c r="I327" s="156"/>
      <c r="J327" s="156"/>
      <c r="K327" s="158"/>
      <c r="L327" s="198"/>
    </row>
    <row r="328" spans="1:12" ht="27.75" thickBot="1" x14ac:dyDescent="0.3">
      <c r="A328" s="254">
        <v>293020</v>
      </c>
      <c r="B328" s="57" t="s">
        <v>1</v>
      </c>
      <c r="C328" s="26">
        <v>221</v>
      </c>
      <c r="D328" s="87">
        <f>+C328*$D$1</f>
        <v>299.89999999999998</v>
      </c>
      <c r="E328" s="87">
        <f t="shared" si="72"/>
        <v>407.86399999999998</v>
      </c>
      <c r="F328" s="178">
        <v>550.1</v>
      </c>
      <c r="G328" s="233">
        <v>659.8</v>
      </c>
      <c r="H328" s="178">
        <f t="shared" ref="H328:H391" si="82">G328*1.167</f>
        <v>769.98659999999995</v>
      </c>
      <c r="I328" s="170">
        <f t="shared" ref="I328:I350" si="83">+J328/1.167</f>
        <v>877.46358183376174</v>
      </c>
      <c r="J328" s="170">
        <f t="shared" ref="J328:J350" si="84">ROUND(+H328*(1+$J$1),0)</f>
        <v>1024</v>
      </c>
      <c r="K328" s="107" t="s">
        <v>318</v>
      </c>
      <c r="L328" s="198"/>
    </row>
    <row r="329" spans="1:12" ht="27.75" thickBot="1" x14ac:dyDescent="0.3">
      <c r="A329" s="254">
        <v>293091</v>
      </c>
      <c r="B329" s="57" t="s">
        <v>1</v>
      </c>
      <c r="C329" s="14">
        <v>160</v>
      </c>
      <c r="D329" s="87">
        <v>218</v>
      </c>
      <c r="E329" s="87">
        <f t="shared" si="72"/>
        <v>296.48</v>
      </c>
      <c r="F329" s="178">
        <f t="shared" ref="F329" si="85">+E329*$F$1</f>
        <v>400.24800000000005</v>
      </c>
      <c r="G329" s="233">
        <v>479.9</v>
      </c>
      <c r="H329" s="178">
        <f t="shared" si="82"/>
        <v>560.04330000000004</v>
      </c>
      <c r="I329" s="170">
        <f t="shared" si="83"/>
        <v>638.38903170522701</v>
      </c>
      <c r="J329" s="170">
        <f t="shared" si="84"/>
        <v>745</v>
      </c>
      <c r="K329" s="107" t="s">
        <v>319</v>
      </c>
      <c r="L329" s="198"/>
    </row>
    <row r="330" spans="1:12" ht="27.75" thickBot="1" x14ac:dyDescent="0.3">
      <c r="A330" s="254">
        <v>293092.09999999998</v>
      </c>
      <c r="B330" s="57" t="s">
        <v>1</v>
      </c>
      <c r="C330" s="14">
        <v>221</v>
      </c>
      <c r="D330" s="87">
        <f t="shared" ref="D330:D350" si="86">+C330*$D$1</f>
        <v>299.89999999999998</v>
      </c>
      <c r="E330" s="87">
        <f t="shared" si="72"/>
        <v>407.86399999999998</v>
      </c>
      <c r="F330" s="178">
        <v>550.1</v>
      </c>
      <c r="G330" s="233">
        <v>659.8</v>
      </c>
      <c r="H330" s="178">
        <f t="shared" si="82"/>
        <v>769.98659999999995</v>
      </c>
      <c r="I330" s="170">
        <f t="shared" si="83"/>
        <v>877.46358183376174</v>
      </c>
      <c r="J330" s="170">
        <f t="shared" si="84"/>
        <v>1024</v>
      </c>
      <c r="K330" s="107" t="s">
        <v>320</v>
      </c>
      <c r="L330" s="198"/>
    </row>
    <row r="331" spans="1:12" ht="27.75" thickBot="1" x14ac:dyDescent="0.3">
      <c r="A331" s="254">
        <v>293092.2</v>
      </c>
      <c r="B331" s="57" t="s">
        <v>1</v>
      </c>
      <c r="C331" s="14">
        <v>221</v>
      </c>
      <c r="D331" s="87">
        <f t="shared" si="86"/>
        <v>299.89999999999998</v>
      </c>
      <c r="E331" s="87">
        <f t="shared" si="72"/>
        <v>407.86399999999998</v>
      </c>
      <c r="F331" s="178">
        <v>550.1</v>
      </c>
      <c r="G331" s="233">
        <v>659.8</v>
      </c>
      <c r="H331" s="178">
        <f t="shared" si="82"/>
        <v>769.98659999999995</v>
      </c>
      <c r="I331" s="170">
        <f t="shared" si="83"/>
        <v>877.46358183376174</v>
      </c>
      <c r="J331" s="170">
        <f t="shared" si="84"/>
        <v>1024</v>
      </c>
      <c r="K331" s="107" t="s">
        <v>321</v>
      </c>
      <c r="L331" s="198"/>
    </row>
    <row r="332" spans="1:12" ht="41.25" thickBot="1" x14ac:dyDescent="0.3">
      <c r="A332" s="254">
        <v>293093</v>
      </c>
      <c r="B332" s="57" t="s">
        <v>1</v>
      </c>
      <c r="C332" s="14">
        <v>221</v>
      </c>
      <c r="D332" s="87">
        <f t="shared" si="86"/>
        <v>299.89999999999998</v>
      </c>
      <c r="E332" s="87">
        <f t="shared" si="72"/>
        <v>407.86399999999998</v>
      </c>
      <c r="F332" s="178">
        <v>550.1</v>
      </c>
      <c r="G332" s="233">
        <v>659.8</v>
      </c>
      <c r="H332" s="178">
        <f t="shared" si="82"/>
        <v>769.98659999999995</v>
      </c>
      <c r="I332" s="170">
        <f t="shared" si="83"/>
        <v>877.46358183376174</v>
      </c>
      <c r="J332" s="170">
        <f t="shared" si="84"/>
        <v>1024</v>
      </c>
      <c r="K332" s="107" t="s">
        <v>322</v>
      </c>
      <c r="L332" s="198"/>
    </row>
    <row r="333" spans="1:12" ht="41.25" thickBot="1" x14ac:dyDescent="0.3">
      <c r="A333" s="254">
        <v>293094</v>
      </c>
      <c r="B333" s="57" t="s">
        <v>1</v>
      </c>
      <c r="C333" s="14">
        <v>221</v>
      </c>
      <c r="D333" s="87">
        <f t="shared" si="86"/>
        <v>299.89999999999998</v>
      </c>
      <c r="E333" s="87">
        <f t="shared" si="72"/>
        <v>407.86399999999998</v>
      </c>
      <c r="F333" s="178">
        <v>550.1</v>
      </c>
      <c r="G333" s="233">
        <v>659.8</v>
      </c>
      <c r="H333" s="178">
        <f t="shared" si="82"/>
        <v>769.98659999999995</v>
      </c>
      <c r="I333" s="170">
        <f t="shared" si="83"/>
        <v>877.46358183376174</v>
      </c>
      <c r="J333" s="170">
        <f t="shared" si="84"/>
        <v>1024</v>
      </c>
      <c r="K333" s="107" t="s">
        <v>323</v>
      </c>
      <c r="L333" s="198"/>
    </row>
    <row r="334" spans="1:12" ht="41.25" thickBot="1" x14ac:dyDescent="0.3">
      <c r="A334" s="254">
        <v>293099.09999999998</v>
      </c>
      <c r="B334" s="57" t="s">
        <v>1</v>
      </c>
      <c r="C334" s="14">
        <v>221</v>
      </c>
      <c r="D334" s="87">
        <f t="shared" si="86"/>
        <v>299.89999999999998</v>
      </c>
      <c r="E334" s="87">
        <f t="shared" si="72"/>
        <v>407.86399999999998</v>
      </c>
      <c r="F334" s="178">
        <v>550.1</v>
      </c>
      <c r="G334" s="233">
        <v>659.8</v>
      </c>
      <c r="H334" s="178">
        <f t="shared" si="82"/>
        <v>769.98659999999995</v>
      </c>
      <c r="I334" s="170">
        <f t="shared" si="83"/>
        <v>877.46358183376174</v>
      </c>
      <c r="J334" s="170">
        <f t="shared" si="84"/>
        <v>1024</v>
      </c>
      <c r="K334" s="107" t="s">
        <v>324</v>
      </c>
      <c r="L334" s="198"/>
    </row>
    <row r="335" spans="1:12" ht="41.25" thickBot="1" x14ac:dyDescent="0.3">
      <c r="A335" s="254">
        <v>293099.2</v>
      </c>
      <c r="B335" s="57" t="s">
        <v>1</v>
      </c>
      <c r="C335" s="14">
        <v>221</v>
      </c>
      <c r="D335" s="87">
        <f t="shared" si="86"/>
        <v>299.89999999999998</v>
      </c>
      <c r="E335" s="87">
        <f t="shared" si="72"/>
        <v>407.86399999999998</v>
      </c>
      <c r="F335" s="178">
        <v>550.1</v>
      </c>
      <c r="G335" s="233">
        <v>659.8</v>
      </c>
      <c r="H335" s="178">
        <f t="shared" si="82"/>
        <v>769.98659999999995</v>
      </c>
      <c r="I335" s="170">
        <f t="shared" si="83"/>
        <v>877.46358183376174</v>
      </c>
      <c r="J335" s="170">
        <f t="shared" si="84"/>
        <v>1024</v>
      </c>
      <c r="K335" s="107" t="s">
        <v>325</v>
      </c>
      <c r="L335" s="198"/>
    </row>
    <row r="336" spans="1:12" ht="41.25" thickBot="1" x14ac:dyDescent="0.3">
      <c r="A336" s="254">
        <v>293099.3</v>
      </c>
      <c r="B336" s="57" t="s">
        <v>1</v>
      </c>
      <c r="C336" s="14">
        <v>221</v>
      </c>
      <c r="D336" s="87">
        <f t="shared" si="86"/>
        <v>299.89999999999998</v>
      </c>
      <c r="E336" s="87">
        <f t="shared" si="72"/>
        <v>407.86399999999998</v>
      </c>
      <c r="F336" s="178">
        <v>550.1</v>
      </c>
      <c r="G336" s="233">
        <v>659.8</v>
      </c>
      <c r="H336" s="178">
        <f t="shared" si="82"/>
        <v>769.98659999999995</v>
      </c>
      <c r="I336" s="170">
        <f t="shared" si="83"/>
        <v>877.46358183376174</v>
      </c>
      <c r="J336" s="170">
        <f t="shared" si="84"/>
        <v>1024</v>
      </c>
      <c r="K336" s="107" t="s">
        <v>326</v>
      </c>
      <c r="L336" s="198"/>
    </row>
    <row r="337" spans="1:12" ht="27.75" thickBot="1" x14ac:dyDescent="0.3">
      <c r="A337" s="254">
        <v>293099.40000000002</v>
      </c>
      <c r="B337" s="57" t="s">
        <v>1</v>
      </c>
      <c r="C337" s="14">
        <v>221</v>
      </c>
      <c r="D337" s="87">
        <f t="shared" si="86"/>
        <v>299.89999999999998</v>
      </c>
      <c r="E337" s="87">
        <f t="shared" si="72"/>
        <v>407.86399999999998</v>
      </c>
      <c r="F337" s="178">
        <v>550.1</v>
      </c>
      <c r="G337" s="233">
        <v>659.8</v>
      </c>
      <c r="H337" s="178">
        <f t="shared" si="82"/>
        <v>769.98659999999995</v>
      </c>
      <c r="I337" s="170">
        <f t="shared" si="83"/>
        <v>877.46358183376174</v>
      </c>
      <c r="J337" s="170">
        <f t="shared" si="84"/>
        <v>1024</v>
      </c>
      <c r="K337" s="107" t="s">
        <v>327</v>
      </c>
      <c r="L337" s="198"/>
    </row>
    <row r="338" spans="1:12" ht="41.25" thickBot="1" x14ac:dyDescent="0.3">
      <c r="A338" s="254">
        <v>300000</v>
      </c>
      <c r="B338" s="57" t="s">
        <v>1</v>
      </c>
      <c r="C338" s="14">
        <v>221</v>
      </c>
      <c r="D338" s="87">
        <f t="shared" si="86"/>
        <v>299.89999999999998</v>
      </c>
      <c r="E338" s="87">
        <f t="shared" si="72"/>
        <v>407.86399999999998</v>
      </c>
      <c r="F338" s="178">
        <v>550.1</v>
      </c>
      <c r="G338" s="233">
        <v>659.8</v>
      </c>
      <c r="H338" s="178">
        <f t="shared" si="82"/>
        <v>769.98659999999995</v>
      </c>
      <c r="I338" s="170">
        <f t="shared" si="83"/>
        <v>877.46358183376174</v>
      </c>
      <c r="J338" s="170">
        <f t="shared" si="84"/>
        <v>1024</v>
      </c>
      <c r="K338" s="107" t="s">
        <v>328</v>
      </c>
      <c r="L338" s="198"/>
    </row>
    <row r="339" spans="1:12" ht="27.75" thickBot="1" x14ac:dyDescent="0.3">
      <c r="A339" s="254">
        <v>311000</v>
      </c>
      <c r="B339" s="57" t="s">
        <v>1</v>
      </c>
      <c r="C339" s="14">
        <v>221</v>
      </c>
      <c r="D339" s="87">
        <f t="shared" si="86"/>
        <v>299.89999999999998</v>
      </c>
      <c r="E339" s="87">
        <f t="shared" ref="E339:E350" si="87">+D339*1.36</f>
        <v>407.86399999999998</v>
      </c>
      <c r="F339" s="178">
        <v>550.1</v>
      </c>
      <c r="G339" s="233">
        <v>659.8</v>
      </c>
      <c r="H339" s="178">
        <f t="shared" si="82"/>
        <v>769.98659999999995</v>
      </c>
      <c r="I339" s="170">
        <f t="shared" si="83"/>
        <v>877.46358183376174</v>
      </c>
      <c r="J339" s="170">
        <f t="shared" si="84"/>
        <v>1024</v>
      </c>
      <c r="K339" s="107" t="s">
        <v>329</v>
      </c>
      <c r="L339" s="198"/>
    </row>
    <row r="340" spans="1:12" ht="27.75" thickBot="1" x14ac:dyDescent="0.3">
      <c r="A340" s="254">
        <v>312000.09999999998</v>
      </c>
      <c r="B340" s="57" t="s">
        <v>1</v>
      </c>
      <c r="C340" s="14">
        <v>221</v>
      </c>
      <c r="D340" s="87">
        <f t="shared" si="86"/>
        <v>299.89999999999998</v>
      </c>
      <c r="E340" s="87">
        <f t="shared" si="87"/>
        <v>407.86399999999998</v>
      </c>
      <c r="F340" s="178">
        <v>550.1</v>
      </c>
      <c r="G340" s="233">
        <v>659.8</v>
      </c>
      <c r="H340" s="178">
        <f t="shared" si="82"/>
        <v>769.98659999999995</v>
      </c>
      <c r="I340" s="170">
        <f t="shared" si="83"/>
        <v>877.46358183376174</v>
      </c>
      <c r="J340" s="170">
        <f t="shared" si="84"/>
        <v>1024</v>
      </c>
      <c r="K340" s="107" t="s">
        <v>330</v>
      </c>
      <c r="L340" s="198"/>
    </row>
    <row r="341" spans="1:12" ht="16.5" thickBot="1" x14ac:dyDescent="0.3">
      <c r="A341" s="254">
        <v>312000.2</v>
      </c>
      <c r="B341" s="57" t="s">
        <v>1</v>
      </c>
      <c r="C341" s="14">
        <v>221</v>
      </c>
      <c r="D341" s="87">
        <f t="shared" si="86"/>
        <v>299.89999999999998</v>
      </c>
      <c r="E341" s="87">
        <f t="shared" si="87"/>
        <v>407.86399999999998</v>
      </c>
      <c r="F341" s="178">
        <v>550.1</v>
      </c>
      <c r="G341" s="233">
        <v>659.8</v>
      </c>
      <c r="H341" s="178">
        <f t="shared" si="82"/>
        <v>769.98659999999995</v>
      </c>
      <c r="I341" s="170">
        <f t="shared" si="83"/>
        <v>877.46358183376174</v>
      </c>
      <c r="J341" s="170">
        <f t="shared" si="84"/>
        <v>1024</v>
      </c>
      <c r="K341" s="107" t="s">
        <v>331</v>
      </c>
      <c r="L341" s="198"/>
    </row>
    <row r="342" spans="1:12" ht="16.5" thickBot="1" x14ac:dyDescent="0.3">
      <c r="A342" s="254">
        <v>314000</v>
      </c>
      <c r="B342" s="57" t="s">
        <v>1</v>
      </c>
      <c r="C342" s="14">
        <v>221</v>
      </c>
      <c r="D342" s="87">
        <f t="shared" si="86"/>
        <v>299.89999999999998</v>
      </c>
      <c r="E342" s="87">
        <f t="shared" si="87"/>
        <v>407.86399999999998</v>
      </c>
      <c r="F342" s="178">
        <v>550.1</v>
      </c>
      <c r="G342" s="233">
        <v>659.8</v>
      </c>
      <c r="H342" s="178">
        <f t="shared" si="82"/>
        <v>769.98659999999995</v>
      </c>
      <c r="I342" s="170">
        <f t="shared" si="83"/>
        <v>877.46358183376174</v>
      </c>
      <c r="J342" s="170">
        <f t="shared" si="84"/>
        <v>1024</v>
      </c>
      <c r="K342" s="107" t="s">
        <v>332</v>
      </c>
      <c r="L342" s="198"/>
    </row>
    <row r="343" spans="1:12" ht="27.75" thickBot="1" x14ac:dyDescent="0.3">
      <c r="A343" s="254">
        <v>315000</v>
      </c>
      <c r="B343" s="57" t="s">
        <v>1</v>
      </c>
      <c r="C343" s="14">
        <v>221</v>
      </c>
      <c r="D343" s="87">
        <f t="shared" si="86"/>
        <v>299.89999999999998</v>
      </c>
      <c r="E343" s="87">
        <f t="shared" si="87"/>
        <v>407.86399999999998</v>
      </c>
      <c r="F343" s="178">
        <v>550.1</v>
      </c>
      <c r="G343" s="233">
        <v>659.8</v>
      </c>
      <c r="H343" s="178">
        <f t="shared" si="82"/>
        <v>769.98659999999995</v>
      </c>
      <c r="I343" s="170">
        <f t="shared" si="83"/>
        <v>877.46358183376174</v>
      </c>
      <c r="J343" s="170">
        <f t="shared" si="84"/>
        <v>1024</v>
      </c>
      <c r="K343" s="107" t="s">
        <v>333</v>
      </c>
      <c r="L343" s="198"/>
    </row>
    <row r="344" spans="1:12" ht="16.5" thickBot="1" x14ac:dyDescent="0.3">
      <c r="A344" s="254">
        <v>321000</v>
      </c>
      <c r="B344" s="57" t="s">
        <v>1</v>
      </c>
      <c r="C344" s="14">
        <v>221</v>
      </c>
      <c r="D344" s="87">
        <f t="shared" si="86"/>
        <v>299.89999999999998</v>
      </c>
      <c r="E344" s="87">
        <f t="shared" si="87"/>
        <v>407.86399999999998</v>
      </c>
      <c r="F344" s="178">
        <v>550.1</v>
      </c>
      <c r="G344" s="233">
        <v>659.8</v>
      </c>
      <c r="H344" s="178">
        <f t="shared" si="82"/>
        <v>769.98659999999995</v>
      </c>
      <c r="I344" s="170">
        <f t="shared" si="83"/>
        <v>877.46358183376174</v>
      </c>
      <c r="J344" s="170">
        <f t="shared" si="84"/>
        <v>1024</v>
      </c>
      <c r="K344" s="107" t="s">
        <v>334</v>
      </c>
      <c r="L344" s="198"/>
    </row>
    <row r="345" spans="1:12" ht="41.25" thickBot="1" x14ac:dyDescent="0.3">
      <c r="A345" s="254">
        <v>322000</v>
      </c>
      <c r="B345" s="57" t="s">
        <v>1</v>
      </c>
      <c r="C345" s="14">
        <v>221</v>
      </c>
      <c r="D345" s="87">
        <f t="shared" si="86"/>
        <v>299.89999999999998</v>
      </c>
      <c r="E345" s="87">
        <f t="shared" si="87"/>
        <v>407.86399999999998</v>
      </c>
      <c r="F345" s="178">
        <v>550.1</v>
      </c>
      <c r="G345" s="233">
        <v>659.8</v>
      </c>
      <c r="H345" s="178">
        <f t="shared" si="82"/>
        <v>769.98659999999995</v>
      </c>
      <c r="I345" s="170">
        <f t="shared" si="83"/>
        <v>877.46358183376174</v>
      </c>
      <c r="J345" s="170">
        <f t="shared" si="84"/>
        <v>1024</v>
      </c>
      <c r="K345" s="107" t="s">
        <v>335</v>
      </c>
      <c r="L345" s="198"/>
    </row>
    <row r="346" spans="1:12" ht="41.25" thickBot="1" x14ac:dyDescent="0.3">
      <c r="A346" s="254">
        <v>319000.09999999998</v>
      </c>
      <c r="B346" s="57" t="s">
        <v>1</v>
      </c>
      <c r="C346" s="14">
        <v>221</v>
      </c>
      <c r="D346" s="87">
        <f t="shared" si="86"/>
        <v>299.89999999999998</v>
      </c>
      <c r="E346" s="87">
        <f t="shared" si="87"/>
        <v>407.86399999999998</v>
      </c>
      <c r="F346" s="178">
        <v>550.1</v>
      </c>
      <c r="G346" s="233">
        <v>659.8</v>
      </c>
      <c r="H346" s="178">
        <f t="shared" si="82"/>
        <v>769.98659999999995</v>
      </c>
      <c r="I346" s="170">
        <f t="shared" si="83"/>
        <v>877.46358183376174</v>
      </c>
      <c r="J346" s="170">
        <f t="shared" si="84"/>
        <v>1024</v>
      </c>
      <c r="K346" s="107" t="s">
        <v>336</v>
      </c>
      <c r="L346" s="198"/>
    </row>
    <row r="347" spans="1:12" ht="27.75" thickBot="1" x14ac:dyDescent="0.3">
      <c r="A347" s="254">
        <v>319000.2</v>
      </c>
      <c r="B347" s="57" t="s">
        <v>1</v>
      </c>
      <c r="C347" s="14">
        <v>221</v>
      </c>
      <c r="D347" s="87">
        <f t="shared" si="86"/>
        <v>299.89999999999998</v>
      </c>
      <c r="E347" s="87">
        <f t="shared" si="87"/>
        <v>407.86399999999998</v>
      </c>
      <c r="F347" s="178">
        <v>550.1</v>
      </c>
      <c r="G347" s="233">
        <v>659.8</v>
      </c>
      <c r="H347" s="178">
        <f t="shared" si="82"/>
        <v>769.98659999999995</v>
      </c>
      <c r="I347" s="170">
        <f t="shared" si="83"/>
        <v>877.46358183376174</v>
      </c>
      <c r="J347" s="170">
        <f t="shared" si="84"/>
        <v>1024</v>
      </c>
      <c r="K347" s="107" t="s">
        <v>337</v>
      </c>
      <c r="L347" s="198"/>
    </row>
    <row r="348" spans="1:12" ht="41.25" thickBot="1" x14ac:dyDescent="0.3">
      <c r="A348" s="254">
        <v>323000.09999999998</v>
      </c>
      <c r="B348" s="57" t="s">
        <v>1</v>
      </c>
      <c r="C348" s="14">
        <v>221</v>
      </c>
      <c r="D348" s="87">
        <f t="shared" si="86"/>
        <v>299.89999999999998</v>
      </c>
      <c r="E348" s="87">
        <f t="shared" si="87"/>
        <v>407.86399999999998</v>
      </c>
      <c r="F348" s="178">
        <v>550.1</v>
      </c>
      <c r="G348" s="233">
        <v>659.8</v>
      </c>
      <c r="H348" s="178">
        <f t="shared" si="82"/>
        <v>769.98659999999995</v>
      </c>
      <c r="I348" s="170">
        <f t="shared" si="83"/>
        <v>877.46358183376174</v>
      </c>
      <c r="J348" s="170">
        <f t="shared" si="84"/>
        <v>1024</v>
      </c>
      <c r="K348" s="107" t="s">
        <v>338</v>
      </c>
      <c r="L348" s="198"/>
    </row>
    <row r="349" spans="1:12" ht="27.75" thickBot="1" x14ac:dyDescent="0.3">
      <c r="A349" s="254">
        <v>323000.2</v>
      </c>
      <c r="B349" s="57" t="s">
        <v>1</v>
      </c>
      <c r="C349" s="14">
        <v>221</v>
      </c>
      <c r="D349" s="87">
        <f t="shared" si="86"/>
        <v>299.89999999999998</v>
      </c>
      <c r="E349" s="87">
        <f t="shared" si="87"/>
        <v>407.86399999999998</v>
      </c>
      <c r="F349" s="178">
        <v>550.1</v>
      </c>
      <c r="G349" s="233">
        <v>659.8</v>
      </c>
      <c r="H349" s="178">
        <f t="shared" si="82"/>
        <v>769.98659999999995</v>
      </c>
      <c r="I349" s="170">
        <f t="shared" si="83"/>
        <v>877.46358183376174</v>
      </c>
      <c r="J349" s="170">
        <f t="shared" si="84"/>
        <v>1024</v>
      </c>
      <c r="K349" s="107" t="s">
        <v>339</v>
      </c>
      <c r="L349" s="198"/>
    </row>
    <row r="350" spans="1:12" ht="41.25" thickBot="1" x14ac:dyDescent="0.3">
      <c r="A350" s="253">
        <v>323000.3</v>
      </c>
      <c r="B350" s="66" t="s">
        <v>1</v>
      </c>
      <c r="C350" s="17">
        <v>221</v>
      </c>
      <c r="D350" s="87">
        <f t="shared" si="86"/>
        <v>299.89999999999998</v>
      </c>
      <c r="E350" s="87">
        <f t="shared" si="87"/>
        <v>407.86399999999998</v>
      </c>
      <c r="F350" s="179">
        <v>550.1</v>
      </c>
      <c r="G350" s="234">
        <v>659.8</v>
      </c>
      <c r="H350" s="179">
        <f t="shared" si="82"/>
        <v>769.98659999999995</v>
      </c>
      <c r="I350" s="170">
        <f t="shared" si="83"/>
        <v>877.46358183376174</v>
      </c>
      <c r="J350" s="170">
        <f t="shared" si="84"/>
        <v>1024</v>
      </c>
      <c r="K350" s="108" t="s">
        <v>340</v>
      </c>
      <c r="L350" s="198"/>
    </row>
    <row r="351" spans="1:12" ht="16.5" customHeight="1" x14ac:dyDescent="0.25">
      <c r="A351" s="203" t="s">
        <v>1010</v>
      </c>
      <c r="B351" s="185"/>
      <c r="C351" s="43"/>
      <c r="D351" s="185"/>
      <c r="E351" s="185"/>
      <c r="F351" s="185"/>
      <c r="G351" s="185"/>
      <c r="H351" s="185"/>
      <c r="I351" s="185"/>
      <c r="J351" s="185"/>
      <c r="K351" s="186"/>
      <c r="L351" s="198"/>
    </row>
    <row r="352" spans="1:12" ht="17.25" thickBot="1" x14ac:dyDescent="0.3">
      <c r="A352" s="204" t="s">
        <v>1011</v>
      </c>
      <c r="B352" s="187"/>
      <c r="C352" s="44"/>
      <c r="D352" s="187"/>
      <c r="E352" s="187"/>
      <c r="F352" s="187"/>
      <c r="G352" s="187"/>
      <c r="H352" s="187"/>
      <c r="I352" s="187"/>
      <c r="J352" s="187"/>
      <c r="K352" s="188"/>
      <c r="L352" s="198"/>
    </row>
    <row r="353" spans="1:12" ht="41.25" thickBot="1" x14ac:dyDescent="0.3">
      <c r="A353" s="68">
        <v>331100</v>
      </c>
      <c r="B353" s="67" t="s">
        <v>1</v>
      </c>
      <c r="C353" s="26">
        <v>180</v>
      </c>
      <c r="D353" s="56">
        <v>244</v>
      </c>
      <c r="E353" s="56">
        <f t="shared" ref="E353:E373" si="88">+D353*1.36</f>
        <v>331.84000000000003</v>
      </c>
      <c r="F353" s="177">
        <f>+E353*$F$1</f>
        <v>447.98400000000009</v>
      </c>
      <c r="G353" s="232">
        <v>537.29999999999995</v>
      </c>
      <c r="H353" s="177">
        <f t="shared" si="82"/>
        <v>627.02909999999997</v>
      </c>
      <c r="I353" s="170">
        <f t="shared" ref="I353:I358" si="89">+J353/1.167</f>
        <v>714.65295629820048</v>
      </c>
      <c r="J353" s="170">
        <f t="shared" ref="J353:J358" si="90">ROUND(+H353*(1+$J$1),0)</f>
        <v>834</v>
      </c>
      <c r="K353" s="93" t="s">
        <v>341</v>
      </c>
      <c r="L353" s="198"/>
    </row>
    <row r="354" spans="1:12" ht="41.25" thickBot="1" x14ac:dyDescent="0.3">
      <c r="A354" s="254">
        <v>331200</v>
      </c>
      <c r="B354" s="57" t="s">
        <v>1</v>
      </c>
      <c r="C354" s="14">
        <v>180</v>
      </c>
      <c r="D354" s="83">
        <v>244</v>
      </c>
      <c r="E354" s="83">
        <f t="shared" si="88"/>
        <v>331.84000000000003</v>
      </c>
      <c r="F354" s="172">
        <f t="shared" ref="F354:F408" si="91">+E354*$F$1</f>
        <v>447.98400000000009</v>
      </c>
      <c r="G354" s="227">
        <v>537.29999999999995</v>
      </c>
      <c r="H354" s="172">
        <f t="shared" si="82"/>
        <v>627.02909999999997</v>
      </c>
      <c r="I354" s="170">
        <f t="shared" si="89"/>
        <v>714.65295629820048</v>
      </c>
      <c r="J354" s="170">
        <f t="shared" si="90"/>
        <v>834</v>
      </c>
      <c r="K354" s="107" t="s">
        <v>1000</v>
      </c>
      <c r="L354" s="198"/>
    </row>
    <row r="355" spans="1:12" ht="27.75" thickBot="1" x14ac:dyDescent="0.3">
      <c r="A355" s="254">
        <v>332001</v>
      </c>
      <c r="B355" s="57" t="s">
        <v>1</v>
      </c>
      <c r="C355" s="14">
        <v>221</v>
      </c>
      <c r="D355" s="87">
        <f>+C355*$D$1</f>
        <v>299.89999999999998</v>
      </c>
      <c r="E355" s="87">
        <f t="shared" si="88"/>
        <v>407.86399999999998</v>
      </c>
      <c r="F355" s="178">
        <v>550.1</v>
      </c>
      <c r="G355" s="233">
        <v>659.8</v>
      </c>
      <c r="H355" s="178">
        <f t="shared" si="82"/>
        <v>769.98659999999995</v>
      </c>
      <c r="I355" s="170">
        <f t="shared" si="89"/>
        <v>877.46358183376174</v>
      </c>
      <c r="J355" s="170">
        <f t="shared" si="90"/>
        <v>1024</v>
      </c>
      <c r="K355" s="107" t="s">
        <v>342</v>
      </c>
      <c r="L355" s="198"/>
    </row>
    <row r="356" spans="1:12" ht="16.5" thickBot="1" x14ac:dyDescent="0.3">
      <c r="A356" s="254">
        <v>332002</v>
      </c>
      <c r="B356" s="57" t="s">
        <v>1</v>
      </c>
      <c r="C356" s="14">
        <v>180</v>
      </c>
      <c r="D356" s="83">
        <v>244</v>
      </c>
      <c r="E356" s="83">
        <f t="shared" si="88"/>
        <v>331.84000000000003</v>
      </c>
      <c r="F356" s="172">
        <f t="shared" si="91"/>
        <v>447.98400000000009</v>
      </c>
      <c r="G356" s="227">
        <v>537.29999999999995</v>
      </c>
      <c r="H356" s="172">
        <f t="shared" si="82"/>
        <v>627.02909999999997</v>
      </c>
      <c r="I356" s="170">
        <f t="shared" si="89"/>
        <v>714.65295629820048</v>
      </c>
      <c r="J356" s="170">
        <f t="shared" si="90"/>
        <v>834</v>
      </c>
      <c r="K356" s="107" t="s">
        <v>343</v>
      </c>
      <c r="L356" s="198"/>
    </row>
    <row r="357" spans="1:12" ht="16.5" thickBot="1" x14ac:dyDescent="0.3">
      <c r="A357" s="254">
        <v>332003</v>
      </c>
      <c r="B357" s="57" t="s">
        <v>1</v>
      </c>
      <c r="C357" s="14">
        <v>221</v>
      </c>
      <c r="D357" s="87">
        <f>+C357*$D$1</f>
        <v>299.89999999999998</v>
      </c>
      <c r="E357" s="87">
        <f t="shared" si="88"/>
        <v>407.86399999999998</v>
      </c>
      <c r="F357" s="178">
        <v>550.1</v>
      </c>
      <c r="G357" s="233">
        <v>659.8</v>
      </c>
      <c r="H357" s="178">
        <f t="shared" si="82"/>
        <v>769.98659999999995</v>
      </c>
      <c r="I357" s="170">
        <f t="shared" si="89"/>
        <v>877.46358183376174</v>
      </c>
      <c r="J357" s="170">
        <f t="shared" si="90"/>
        <v>1024</v>
      </c>
      <c r="K357" s="107" t="s">
        <v>344</v>
      </c>
      <c r="L357" s="198"/>
    </row>
    <row r="358" spans="1:12" ht="41.25" thickBot="1" x14ac:dyDescent="0.3">
      <c r="A358" s="254">
        <v>333000</v>
      </c>
      <c r="B358" s="57" t="s">
        <v>1</v>
      </c>
      <c r="C358" s="14">
        <v>221</v>
      </c>
      <c r="D358" s="55">
        <f>+C358*$D$1</f>
        <v>299.89999999999998</v>
      </c>
      <c r="E358" s="87">
        <f t="shared" si="88"/>
        <v>407.86399999999998</v>
      </c>
      <c r="F358" s="178">
        <v>550.1</v>
      </c>
      <c r="G358" s="233">
        <v>659.8</v>
      </c>
      <c r="H358" s="178">
        <f t="shared" si="82"/>
        <v>769.98659999999995</v>
      </c>
      <c r="I358" s="170">
        <f t="shared" si="89"/>
        <v>877.46358183376174</v>
      </c>
      <c r="J358" s="170">
        <f t="shared" si="90"/>
        <v>1024</v>
      </c>
      <c r="K358" s="107" t="s">
        <v>345</v>
      </c>
      <c r="L358" s="198"/>
    </row>
    <row r="359" spans="1:12" ht="17.25" customHeight="1" thickBot="1" x14ac:dyDescent="0.3">
      <c r="A359" s="73" t="s">
        <v>346</v>
      </c>
      <c r="B359" s="76"/>
      <c r="C359" s="4"/>
      <c r="D359" s="45"/>
      <c r="E359" s="45"/>
      <c r="F359" s="45"/>
      <c r="G359" s="45"/>
      <c r="H359" s="45"/>
      <c r="I359" s="45"/>
      <c r="J359" s="45"/>
      <c r="K359" s="72"/>
      <c r="L359" s="198"/>
    </row>
    <row r="360" spans="1:12" ht="54.75" thickBot="1" x14ac:dyDescent="0.3">
      <c r="A360" s="254">
        <v>341000.1</v>
      </c>
      <c r="B360" s="57" t="s">
        <v>1</v>
      </c>
      <c r="C360" s="14">
        <v>221</v>
      </c>
      <c r="D360" s="55">
        <f t="shared" ref="D360:D368" si="92">+C360*$D$1</f>
        <v>299.89999999999998</v>
      </c>
      <c r="E360" s="55">
        <f t="shared" si="88"/>
        <v>407.86399999999998</v>
      </c>
      <c r="F360" s="178">
        <v>550.1</v>
      </c>
      <c r="G360" s="233">
        <v>659.8</v>
      </c>
      <c r="H360" s="178">
        <f t="shared" si="82"/>
        <v>769.98659999999995</v>
      </c>
      <c r="I360" s="170">
        <f t="shared" ref="I360:I373" si="93">+J360/1.167</f>
        <v>877.46358183376174</v>
      </c>
      <c r="J360" s="170">
        <f t="shared" ref="J360:J373" si="94">ROUND(+H360*(1+$J$1),0)</f>
        <v>1024</v>
      </c>
      <c r="K360" s="107" t="s">
        <v>347</v>
      </c>
      <c r="L360" s="198"/>
    </row>
    <row r="361" spans="1:12" ht="16.5" thickBot="1" x14ac:dyDescent="0.3">
      <c r="A361" s="254">
        <v>341000.2</v>
      </c>
      <c r="B361" s="57" t="s">
        <v>1</v>
      </c>
      <c r="C361" s="14">
        <v>221</v>
      </c>
      <c r="D361" s="87">
        <f t="shared" si="92"/>
        <v>299.89999999999998</v>
      </c>
      <c r="E361" s="87">
        <f t="shared" si="88"/>
        <v>407.86399999999998</v>
      </c>
      <c r="F361" s="178">
        <v>550.1</v>
      </c>
      <c r="G361" s="233">
        <v>659.8</v>
      </c>
      <c r="H361" s="178">
        <f t="shared" si="82"/>
        <v>769.98659999999995</v>
      </c>
      <c r="I361" s="170">
        <f t="shared" si="93"/>
        <v>877.46358183376174</v>
      </c>
      <c r="J361" s="170">
        <f t="shared" si="94"/>
        <v>1024</v>
      </c>
      <c r="K361" s="107" t="s">
        <v>348</v>
      </c>
      <c r="L361" s="198"/>
    </row>
    <row r="362" spans="1:12" ht="16.5" thickBot="1" x14ac:dyDescent="0.3">
      <c r="A362" s="254">
        <v>342000.1</v>
      </c>
      <c r="B362" s="57" t="s">
        <v>1</v>
      </c>
      <c r="C362" s="14">
        <v>221</v>
      </c>
      <c r="D362" s="87">
        <f t="shared" si="92"/>
        <v>299.89999999999998</v>
      </c>
      <c r="E362" s="87">
        <f t="shared" si="88"/>
        <v>407.86399999999998</v>
      </c>
      <c r="F362" s="178">
        <v>550.1</v>
      </c>
      <c r="G362" s="233">
        <v>659.8</v>
      </c>
      <c r="H362" s="178">
        <f t="shared" si="82"/>
        <v>769.98659999999995</v>
      </c>
      <c r="I362" s="170">
        <f t="shared" si="93"/>
        <v>877.46358183376174</v>
      </c>
      <c r="J362" s="170">
        <f t="shared" si="94"/>
        <v>1024</v>
      </c>
      <c r="K362" s="107" t="s">
        <v>349</v>
      </c>
      <c r="L362" s="198"/>
    </row>
    <row r="363" spans="1:12" ht="54.75" thickBot="1" x14ac:dyDescent="0.3">
      <c r="A363" s="254">
        <v>342000.2</v>
      </c>
      <c r="B363" s="57" t="s">
        <v>1</v>
      </c>
      <c r="C363" s="14">
        <v>221</v>
      </c>
      <c r="D363" s="87">
        <f t="shared" si="92"/>
        <v>299.89999999999998</v>
      </c>
      <c r="E363" s="87">
        <f t="shared" si="88"/>
        <v>407.86399999999998</v>
      </c>
      <c r="F363" s="178">
        <v>550.1</v>
      </c>
      <c r="G363" s="233">
        <v>659.8</v>
      </c>
      <c r="H363" s="178">
        <f t="shared" si="82"/>
        <v>769.98659999999995</v>
      </c>
      <c r="I363" s="170">
        <f t="shared" si="93"/>
        <v>877.46358183376174</v>
      </c>
      <c r="J363" s="170">
        <f t="shared" si="94"/>
        <v>1024</v>
      </c>
      <c r="K363" s="107" t="s">
        <v>350</v>
      </c>
      <c r="L363" s="198"/>
    </row>
    <row r="364" spans="1:12" ht="27.75" thickBot="1" x14ac:dyDescent="0.3">
      <c r="A364" s="254">
        <v>343000</v>
      </c>
      <c r="B364" s="57" t="s">
        <v>1</v>
      </c>
      <c r="C364" s="14">
        <v>221</v>
      </c>
      <c r="D364" s="87">
        <f t="shared" si="92"/>
        <v>299.89999999999998</v>
      </c>
      <c r="E364" s="87">
        <f t="shared" si="88"/>
        <v>407.86399999999998</v>
      </c>
      <c r="F364" s="178">
        <v>550.1</v>
      </c>
      <c r="G364" s="233">
        <v>659.8</v>
      </c>
      <c r="H364" s="178">
        <f t="shared" si="82"/>
        <v>769.98659999999995</v>
      </c>
      <c r="I364" s="170">
        <f t="shared" si="93"/>
        <v>877.46358183376174</v>
      </c>
      <c r="J364" s="170">
        <f t="shared" si="94"/>
        <v>1024</v>
      </c>
      <c r="K364" s="107" t="s">
        <v>351</v>
      </c>
      <c r="L364" s="198"/>
    </row>
    <row r="365" spans="1:12" ht="16.5" thickBot="1" x14ac:dyDescent="0.3">
      <c r="A365" s="254">
        <v>343001</v>
      </c>
      <c r="B365" s="57" t="s">
        <v>1</v>
      </c>
      <c r="C365" s="14">
        <v>221</v>
      </c>
      <c r="D365" s="87">
        <f t="shared" si="92"/>
        <v>299.89999999999998</v>
      </c>
      <c r="E365" s="87">
        <f t="shared" si="88"/>
        <v>407.86399999999998</v>
      </c>
      <c r="F365" s="178">
        <v>550.1</v>
      </c>
      <c r="G365" s="233">
        <v>659.8</v>
      </c>
      <c r="H365" s="178">
        <f t="shared" si="82"/>
        <v>769.98659999999995</v>
      </c>
      <c r="I365" s="170">
        <f t="shared" si="93"/>
        <v>877.46358183376174</v>
      </c>
      <c r="J365" s="170">
        <f t="shared" si="94"/>
        <v>1024</v>
      </c>
      <c r="K365" s="107" t="s">
        <v>352</v>
      </c>
      <c r="L365" s="198"/>
    </row>
    <row r="366" spans="1:12" ht="16.5" thickBot="1" x14ac:dyDescent="0.3">
      <c r="A366" s="254">
        <v>351100</v>
      </c>
      <c r="B366" s="57" t="s">
        <v>1</v>
      </c>
      <c r="C366" s="14">
        <v>221</v>
      </c>
      <c r="D366" s="87">
        <f t="shared" si="92"/>
        <v>299.89999999999998</v>
      </c>
      <c r="E366" s="87">
        <f t="shared" si="88"/>
        <v>407.86399999999998</v>
      </c>
      <c r="F366" s="178">
        <v>550.1</v>
      </c>
      <c r="G366" s="233">
        <v>659.8</v>
      </c>
      <c r="H366" s="178">
        <f t="shared" si="82"/>
        <v>769.98659999999995</v>
      </c>
      <c r="I366" s="170">
        <f t="shared" si="93"/>
        <v>877.46358183376174</v>
      </c>
      <c r="J366" s="170">
        <f t="shared" si="94"/>
        <v>1024</v>
      </c>
      <c r="K366" s="107" t="s">
        <v>353</v>
      </c>
      <c r="L366" s="198"/>
    </row>
    <row r="367" spans="1:12" ht="41.25" thickBot="1" x14ac:dyDescent="0.3">
      <c r="A367" s="254">
        <v>351200</v>
      </c>
      <c r="B367" s="57" t="s">
        <v>1</v>
      </c>
      <c r="C367" s="14">
        <v>221</v>
      </c>
      <c r="D367" s="87">
        <f t="shared" si="92"/>
        <v>299.89999999999998</v>
      </c>
      <c r="E367" s="87">
        <f t="shared" si="88"/>
        <v>407.86399999999998</v>
      </c>
      <c r="F367" s="178">
        <v>550.1</v>
      </c>
      <c r="G367" s="233">
        <v>659.8</v>
      </c>
      <c r="H367" s="178">
        <f t="shared" si="82"/>
        <v>769.98659999999995</v>
      </c>
      <c r="I367" s="170">
        <f t="shared" si="93"/>
        <v>877.46358183376174</v>
      </c>
      <c r="J367" s="170">
        <f t="shared" si="94"/>
        <v>1024</v>
      </c>
      <c r="K367" s="107" t="s">
        <v>354</v>
      </c>
      <c r="L367" s="198"/>
    </row>
    <row r="368" spans="1:12" ht="41.25" thickBot="1" x14ac:dyDescent="0.3">
      <c r="A368" s="254">
        <v>352000</v>
      </c>
      <c r="B368" s="57" t="s">
        <v>1</v>
      </c>
      <c r="C368" s="14">
        <v>221</v>
      </c>
      <c r="D368" s="87">
        <f t="shared" si="92"/>
        <v>299.89999999999998</v>
      </c>
      <c r="E368" s="87">
        <f t="shared" si="88"/>
        <v>407.86399999999998</v>
      </c>
      <c r="F368" s="178">
        <v>550.1</v>
      </c>
      <c r="G368" s="233">
        <v>659.8</v>
      </c>
      <c r="H368" s="178">
        <f t="shared" si="82"/>
        <v>769.98659999999995</v>
      </c>
      <c r="I368" s="170">
        <f t="shared" si="93"/>
        <v>877.46358183376174</v>
      </c>
      <c r="J368" s="170">
        <f t="shared" si="94"/>
        <v>1024</v>
      </c>
      <c r="K368" s="107" t="s">
        <v>355</v>
      </c>
      <c r="L368" s="198"/>
    </row>
    <row r="369" spans="1:12" ht="41.25" thickBot="1" x14ac:dyDescent="0.3">
      <c r="A369" s="254">
        <v>353000</v>
      </c>
      <c r="B369" s="57" t="s">
        <v>1</v>
      </c>
      <c r="C369" s="14">
        <v>280</v>
      </c>
      <c r="D369" s="85">
        <v>380</v>
      </c>
      <c r="E369" s="85">
        <v>517.54999999999995</v>
      </c>
      <c r="F369" s="173">
        <v>698.4</v>
      </c>
      <c r="G369" s="228">
        <v>838.07999999999993</v>
      </c>
      <c r="H369" s="173">
        <f t="shared" si="82"/>
        <v>978.03935999999999</v>
      </c>
      <c r="I369" s="170">
        <f t="shared" si="93"/>
        <v>1114.8243359040273</v>
      </c>
      <c r="J369" s="170">
        <f t="shared" si="94"/>
        <v>1301</v>
      </c>
      <c r="K369" s="107" t="s">
        <v>356</v>
      </c>
      <c r="L369" s="198"/>
    </row>
    <row r="370" spans="1:12" ht="27.75" thickBot="1" x14ac:dyDescent="0.3">
      <c r="A370" s="254">
        <v>359100</v>
      </c>
      <c r="B370" s="57" t="s">
        <v>59</v>
      </c>
      <c r="C370" s="14">
        <v>221</v>
      </c>
      <c r="D370" s="87">
        <f>+C370*$D$1</f>
        <v>299.89999999999998</v>
      </c>
      <c r="E370" s="87">
        <f t="shared" si="88"/>
        <v>407.86399999999998</v>
      </c>
      <c r="F370" s="178">
        <v>550.1</v>
      </c>
      <c r="G370" s="233">
        <v>659.8</v>
      </c>
      <c r="H370" s="178">
        <f t="shared" si="82"/>
        <v>769.98659999999995</v>
      </c>
      <c r="I370" s="170">
        <f t="shared" si="93"/>
        <v>877.46358183376174</v>
      </c>
      <c r="J370" s="170">
        <f t="shared" si="94"/>
        <v>1024</v>
      </c>
      <c r="K370" s="107" t="s">
        <v>357</v>
      </c>
      <c r="L370" s="198"/>
    </row>
    <row r="371" spans="1:12" ht="27.75" thickBot="1" x14ac:dyDescent="0.3">
      <c r="A371" s="254">
        <v>359200</v>
      </c>
      <c r="B371" s="57" t="s">
        <v>1</v>
      </c>
      <c r="C371" s="14">
        <v>221</v>
      </c>
      <c r="D371" s="87">
        <f>+C371*$D$1</f>
        <v>299.89999999999998</v>
      </c>
      <c r="E371" s="87">
        <f t="shared" si="88"/>
        <v>407.86399999999998</v>
      </c>
      <c r="F371" s="178">
        <v>550.1</v>
      </c>
      <c r="G371" s="233">
        <v>659.8</v>
      </c>
      <c r="H371" s="178">
        <f t="shared" si="82"/>
        <v>769.98659999999995</v>
      </c>
      <c r="I371" s="170">
        <f t="shared" si="93"/>
        <v>877.46358183376174</v>
      </c>
      <c r="J371" s="170">
        <f t="shared" si="94"/>
        <v>1024</v>
      </c>
      <c r="K371" s="107" t="s">
        <v>358</v>
      </c>
      <c r="L371" s="198"/>
    </row>
    <row r="372" spans="1:12" ht="27.75" thickBot="1" x14ac:dyDescent="0.3">
      <c r="A372" s="254">
        <v>359200.1</v>
      </c>
      <c r="B372" s="57" t="s">
        <v>1</v>
      </c>
      <c r="C372" s="14">
        <v>221</v>
      </c>
      <c r="D372" s="87">
        <f>+C372*$D$1</f>
        <v>299.89999999999998</v>
      </c>
      <c r="E372" s="87">
        <f t="shared" si="88"/>
        <v>407.86399999999998</v>
      </c>
      <c r="F372" s="178">
        <v>550.1</v>
      </c>
      <c r="G372" s="233">
        <v>659.8</v>
      </c>
      <c r="H372" s="178">
        <f t="shared" si="82"/>
        <v>769.98659999999995</v>
      </c>
      <c r="I372" s="170">
        <f t="shared" si="93"/>
        <v>877.46358183376174</v>
      </c>
      <c r="J372" s="170">
        <f t="shared" si="94"/>
        <v>1024</v>
      </c>
      <c r="K372" s="107" t="s">
        <v>359</v>
      </c>
      <c r="L372" s="198"/>
    </row>
    <row r="373" spans="1:12" ht="27.75" thickBot="1" x14ac:dyDescent="0.3">
      <c r="A373" s="253">
        <v>359200.2</v>
      </c>
      <c r="B373" s="66" t="s">
        <v>1</v>
      </c>
      <c r="C373" s="17">
        <v>221</v>
      </c>
      <c r="D373" s="159">
        <f>+C373*$D$1</f>
        <v>299.89999999999998</v>
      </c>
      <c r="E373" s="159">
        <f t="shared" si="88"/>
        <v>407.86399999999998</v>
      </c>
      <c r="F373" s="179">
        <v>550.1</v>
      </c>
      <c r="G373" s="234">
        <v>659.8</v>
      </c>
      <c r="H373" s="179">
        <f t="shared" si="82"/>
        <v>769.98659999999995</v>
      </c>
      <c r="I373" s="170">
        <f t="shared" si="93"/>
        <v>877.46358183376174</v>
      </c>
      <c r="J373" s="170">
        <f t="shared" si="94"/>
        <v>1024</v>
      </c>
      <c r="K373" s="108" t="s">
        <v>360</v>
      </c>
      <c r="L373" s="198"/>
    </row>
    <row r="374" spans="1:12" ht="16.5" x14ac:dyDescent="0.25">
      <c r="A374" s="206" t="s">
        <v>1012</v>
      </c>
      <c r="B374" s="185"/>
      <c r="C374" s="43"/>
      <c r="D374" s="185"/>
      <c r="E374" s="185"/>
      <c r="F374" s="185"/>
      <c r="G374" s="185"/>
      <c r="H374" s="185"/>
      <c r="I374" s="185"/>
      <c r="J374" s="185"/>
      <c r="K374" s="186"/>
      <c r="L374" s="198"/>
    </row>
    <row r="375" spans="1:12" ht="17.25" thickBot="1" x14ac:dyDescent="0.3">
      <c r="A375" s="205" t="s">
        <v>1013</v>
      </c>
      <c r="B375" s="187"/>
      <c r="C375" s="44"/>
      <c r="D375" s="187"/>
      <c r="E375" s="187"/>
      <c r="F375" s="187"/>
      <c r="G375" s="187"/>
      <c r="H375" s="187"/>
      <c r="I375" s="187"/>
      <c r="J375" s="187"/>
      <c r="K375" s="188"/>
      <c r="L375" s="198"/>
    </row>
    <row r="376" spans="1:12" ht="27.75" thickBot="1" x14ac:dyDescent="0.3">
      <c r="A376" s="254">
        <v>361010.1</v>
      </c>
      <c r="B376" s="57" t="s">
        <v>1</v>
      </c>
      <c r="C376" s="26">
        <v>180</v>
      </c>
      <c r="D376" s="83">
        <v>244</v>
      </c>
      <c r="E376" s="83">
        <f t="shared" ref="E376:E377" si="95">+D376*1.36</f>
        <v>331.84000000000003</v>
      </c>
      <c r="F376" s="172">
        <f t="shared" si="91"/>
        <v>447.98400000000009</v>
      </c>
      <c r="G376" s="227">
        <v>537.29999999999995</v>
      </c>
      <c r="H376" s="172">
        <f t="shared" si="82"/>
        <v>627.02909999999997</v>
      </c>
      <c r="I376" s="170">
        <f t="shared" ref="I376:I377" si="96">+J376/1.167</f>
        <v>714.65295629820048</v>
      </c>
      <c r="J376" s="170">
        <f t="shared" ref="J376:J377" si="97">ROUND(+H376*(1+$J$1),0)</f>
        <v>834</v>
      </c>
      <c r="K376" s="107" t="s">
        <v>361</v>
      </c>
      <c r="L376" s="198"/>
    </row>
    <row r="377" spans="1:12" ht="16.5" thickBot="1" x14ac:dyDescent="0.3">
      <c r="A377" s="254">
        <v>361010.2</v>
      </c>
      <c r="B377" s="57" t="s">
        <v>1</v>
      </c>
      <c r="C377" s="14">
        <v>180</v>
      </c>
      <c r="D377" s="83">
        <v>244</v>
      </c>
      <c r="E377" s="83">
        <f t="shared" si="95"/>
        <v>331.84000000000003</v>
      </c>
      <c r="F377" s="172">
        <f t="shared" si="91"/>
        <v>447.98400000000009</v>
      </c>
      <c r="G377" s="227">
        <v>537.29999999999995</v>
      </c>
      <c r="H377" s="172">
        <f t="shared" si="82"/>
        <v>627.02909999999997</v>
      </c>
      <c r="I377" s="170">
        <f t="shared" si="96"/>
        <v>714.65295629820048</v>
      </c>
      <c r="J377" s="170">
        <f t="shared" si="97"/>
        <v>834</v>
      </c>
      <c r="K377" s="107" t="s">
        <v>362</v>
      </c>
      <c r="L377" s="198"/>
    </row>
    <row r="378" spans="1:12" ht="17.25" customHeight="1" thickBot="1" x14ac:dyDescent="0.3">
      <c r="A378" s="73" t="s">
        <v>363</v>
      </c>
      <c r="B378" s="76"/>
      <c r="C378" s="4"/>
      <c r="D378" s="45"/>
      <c r="E378" s="45"/>
      <c r="F378" s="45"/>
      <c r="G378" s="45"/>
      <c r="H378" s="45"/>
      <c r="I378" s="45"/>
      <c r="J378" s="45"/>
      <c r="K378" s="72"/>
      <c r="L378" s="198"/>
    </row>
    <row r="379" spans="1:12" ht="27.75" thickBot="1" x14ac:dyDescent="0.3">
      <c r="A379" s="254">
        <v>151191</v>
      </c>
      <c r="B379" s="66" t="s">
        <v>1</v>
      </c>
      <c r="C379" s="14">
        <v>221</v>
      </c>
      <c r="D379" s="88">
        <f>+C379*$D$1</f>
        <v>299.89999999999998</v>
      </c>
      <c r="E379" s="88">
        <f t="shared" ref="E379:E408" si="98">+D379*1.36</f>
        <v>407.86399999999998</v>
      </c>
      <c r="F379" s="179">
        <v>550.1</v>
      </c>
      <c r="G379" s="234">
        <v>659.8</v>
      </c>
      <c r="H379" s="179">
        <f t="shared" si="82"/>
        <v>769.98659999999995</v>
      </c>
      <c r="I379" s="170">
        <f t="shared" ref="I379:I395" si="99">+J379/1.167</f>
        <v>877.46358183376174</v>
      </c>
      <c r="J379" s="170">
        <f t="shared" ref="J379:J395" si="100">ROUND(+H379*(1+$J$1),0)</f>
        <v>1024</v>
      </c>
      <c r="K379" s="108" t="s">
        <v>364</v>
      </c>
      <c r="L379" s="198"/>
    </row>
    <row r="380" spans="1:12" ht="27.75" thickBot="1" x14ac:dyDescent="0.3">
      <c r="A380" s="254">
        <v>361030</v>
      </c>
      <c r="B380" s="67" t="s">
        <v>1</v>
      </c>
      <c r="C380" s="14">
        <v>221</v>
      </c>
      <c r="D380" s="55">
        <f>+C380*$D$1</f>
        <v>299.89999999999998</v>
      </c>
      <c r="E380" s="55">
        <f t="shared" si="98"/>
        <v>407.86399999999998</v>
      </c>
      <c r="F380" s="180">
        <v>550.1</v>
      </c>
      <c r="G380" s="235">
        <v>659.8</v>
      </c>
      <c r="H380" s="180">
        <f t="shared" si="82"/>
        <v>769.98659999999995</v>
      </c>
      <c r="I380" s="170">
        <f t="shared" si="99"/>
        <v>877.46358183376174</v>
      </c>
      <c r="J380" s="170">
        <f t="shared" si="100"/>
        <v>1024</v>
      </c>
      <c r="K380" s="93" t="s">
        <v>365</v>
      </c>
      <c r="L380" s="198"/>
    </row>
    <row r="381" spans="1:12" ht="16.5" thickBot="1" x14ac:dyDescent="0.3">
      <c r="A381" s="254">
        <v>369101</v>
      </c>
      <c r="B381" s="57" t="s">
        <v>124</v>
      </c>
      <c r="C381" s="14">
        <v>221</v>
      </c>
      <c r="D381" s="87">
        <f>+C381*$D$1</f>
        <v>299.89999999999998</v>
      </c>
      <c r="E381" s="87">
        <f t="shared" si="98"/>
        <v>407.86399999999998</v>
      </c>
      <c r="F381" s="178">
        <v>550.1</v>
      </c>
      <c r="G381" s="233">
        <v>659.8</v>
      </c>
      <c r="H381" s="178">
        <f t="shared" si="82"/>
        <v>769.98659999999995</v>
      </c>
      <c r="I381" s="170">
        <f t="shared" si="99"/>
        <v>877.46358183376174</v>
      </c>
      <c r="J381" s="170">
        <f t="shared" si="100"/>
        <v>1024</v>
      </c>
      <c r="K381" s="107" t="s">
        <v>366</v>
      </c>
      <c r="L381" s="198"/>
    </row>
    <row r="382" spans="1:12" ht="27.75" thickBot="1" x14ac:dyDescent="0.3">
      <c r="A382" s="254">
        <v>369102</v>
      </c>
      <c r="B382" s="57" t="s">
        <v>124</v>
      </c>
      <c r="C382" s="14">
        <v>180</v>
      </c>
      <c r="D382" s="83">
        <v>244</v>
      </c>
      <c r="E382" s="83">
        <f t="shared" si="98"/>
        <v>331.84000000000003</v>
      </c>
      <c r="F382" s="172">
        <f t="shared" si="91"/>
        <v>447.98400000000009</v>
      </c>
      <c r="G382" s="227">
        <v>537.29999999999995</v>
      </c>
      <c r="H382" s="172">
        <f t="shared" si="82"/>
        <v>627.02909999999997</v>
      </c>
      <c r="I382" s="170">
        <f t="shared" si="99"/>
        <v>714.65295629820048</v>
      </c>
      <c r="J382" s="170">
        <f t="shared" si="100"/>
        <v>834</v>
      </c>
      <c r="K382" s="107" t="s">
        <v>367</v>
      </c>
      <c r="L382" s="198"/>
    </row>
    <row r="383" spans="1:12" ht="16.5" thickBot="1" x14ac:dyDescent="0.3">
      <c r="A383" s="254">
        <v>369200</v>
      </c>
      <c r="B383" s="57" t="s">
        <v>1</v>
      </c>
      <c r="C383" s="14">
        <v>180</v>
      </c>
      <c r="D383" s="83">
        <v>244</v>
      </c>
      <c r="E383" s="83">
        <f t="shared" si="98"/>
        <v>331.84000000000003</v>
      </c>
      <c r="F383" s="172">
        <f t="shared" si="91"/>
        <v>447.98400000000009</v>
      </c>
      <c r="G383" s="227">
        <v>537.29999999999995</v>
      </c>
      <c r="H383" s="172">
        <f t="shared" si="82"/>
        <v>627.02909999999997</v>
      </c>
      <c r="I383" s="170">
        <f t="shared" si="99"/>
        <v>714.65295629820048</v>
      </c>
      <c r="J383" s="170">
        <f t="shared" si="100"/>
        <v>834</v>
      </c>
      <c r="K383" s="107" t="s">
        <v>368</v>
      </c>
      <c r="L383" s="198"/>
    </row>
    <row r="384" spans="1:12" ht="27.75" thickBot="1" x14ac:dyDescent="0.3">
      <c r="A384" s="254">
        <v>369300</v>
      </c>
      <c r="B384" s="57" t="s">
        <v>1</v>
      </c>
      <c r="C384" s="14">
        <v>180</v>
      </c>
      <c r="D384" s="83">
        <v>244</v>
      </c>
      <c r="E384" s="83">
        <f t="shared" si="98"/>
        <v>331.84000000000003</v>
      </c>
      <c r="F384" s="172">
        <f t="shared" si="91"/>
        <v>447.98400000000009</v>
      </c>
      <c r="G384" s="227">
        <v>537.29999999999995</v>
      </c>
      <c r="H384" s="172">
        <f t="shared" si="82"/>
        <v>627.02909999999997</v>
      </c>
      <c r="I384" s="170">
        <f t="shared" si="99"/>
        <v>714.65295629820048</v>
      </c>
      <c r="J384" s="170">
        <f t="shared" si="100"/>
        <v>834</v>
      </c>
      <c r="K384" s="107" t="s">
        <v>369</v>
      </c>
      <c r="L384" s="198"/>
    </row>
    <row r="385" spans="1:12" ht="27.75" thickBot="1" x14ac:dyDescent="0.3">
      <c r="A385" s="254">
        <v>369400</v>
      </c>
      <c r="B385" s="57" t="s">
        <v>1</v>
      </c>
      <c r="C385" s="14">
        <v>221</v>
      </c>
      <c r="D385" s="87">
        <f>+C385*$D$1</f>
        <v>299.89999999999998</v>
      </c>
      <c r="E385" s="87">
        <f t="shared" si="98"/>
        <v>407.86399999999998</v>
      </c>
      <c r="F385" s="178">
        <v>550.1</v>
      </c>
      <c r="G385" s="233">
        <v>659.8</v>
      </c>
      <c r="H385" s="178">
        <f t="shared" si="82"/>
        <v>769.98659999999995</v>
      </c>
      <c r="I385" s="170">
        <f t="shared" si="99"/>
        <v>877.46358183376174</v>
      </c>
      <c r="J385" s="170">
        <f t="shared" si="100"/>
        <v>1024</v>
      </c>
      <c r="K385" s="107" t="s">
        <v>370</v>
      </c>
      <c r="L385" s="198"/>
    </row>
    <row r="386" spans="1:12" ht="41.25" thickBot="1" x14ac:dyDescent="0.3">
      <c r="A386" s="254">
        <v>369910</v>
      </c>
      <c r="B386" s="57" t="s">
        <v>1</v>
      </c>
      <c r="C386" s="14">
        <v>221</v>
      </c>
      <c r="D386" s="87">
        <f>+C386*$D$1</f>
        <v>299.89999999999998</v>
      </c>
      <c r="E386" s="87">
        <f t="shared" si="98"/>
        <v>407.86399999999998</v>
      </c>
      <c r="F386" s="178">
        <v>550.1</v>
      </c>
      <c r="G386" s="233">
        <v>659.8</v>
      </c>
      <c r="H386" s="178">
        <f t="shared" si="82"/>
        <v>769.98659999999995</v>
      </c>
      <c r="I386" s="170">
        <f t="shared" si="99"/>
        <v>877.46358183376174</v>
      </c>
      <c r="J386" s="170">
        <f t="shared" si="100"/>
        <v>1024</v>
      </c>
      <c r="K386" s="107" t="s">
        <v>371</v>
      </c>
      <c r="L386" s="198"/>
    </row>
    <row r="387" spans="1:12" ht="16.5" thickBot="1" x14ac:dyDescent="0.3">
      <c r="A387" s="254">
        <v>369920</v>
      </c>
      <c r="B387" s="57" t="s">
        <v>1</v>
      </c>
      <c r="C387" s="14">
        <v>180</v>
      </c>
      <c r="D387" s="83">
        <v>244</v>
      </c>
      <c r="E387" s="83">
        <f t="shared" si="98"/>
        <v>331.84000000000003</v>
      </c>
      <c r="F387" s="172">
        <f t="shared" si="91"/>
        <v>447.98400000000009</v>
      </c>
      <c r="G387" s="227">
        <v>537.29999999999995</v>
      </c>
      <c r="H387" s="172">
        <f t="shared" si="82"/>
        <v>627.02909999999997</v>
      </c>
      <c r="I387" s="170">
        <f t="shared" si="99"/>
        <v>714.65295629820048</v>
      </c>
      <c r="J387" s="170">
        <f t="shared" si="100"/>
        <v>834</v>
      </c>
      <c r="K387" s="107" t="s">
        <v>372</v>
      </c>
      <c r="L387" s="198"/>
    </row>
    <row r="388" spans="1:12" ht="16.5" thickBot="1" x14ac:dyDescent="0.3">
      <c r="A388" s="254">
        <v>369991</v>
      </c>
      <c r="B388" s="57" t="s">
        <v>373</v>
      </c>
      <c r="C388" s="14">
        <v>221</v>
      </c>
      <c r="D388" s="87">
        <f>+C388*$D$1</f>
        <v>299.89999999999998</v>
      </c>
      <c r="E388" s="87">
        <f t="shared" si="98"/>
        <v>407.86399999999998</v>
      </c>
      <c r="F388" s="178">
        <v>550.1</v>
      </c>
      <c r="G388" s="233">
        <v>659.8</v>
      </c>
      <c r="H388" s="178">
        <f t="shared" si="82"/>
        <v>769.98659999999995</v>
      </c>
      <c r="I388" s="170">
        <f t="shared" si="99"/>
        <v>877.46358183376174</v>
      </c>
      <c r="J388" s="170">
        <f t="shared" si="100"/>
        <v>1024</v>
      </c>
      <c r="K388" s="107" t="s">
        <v>374</v>
      </c>
      <c r="L388" s="198"/>
    </row>
    <row r="389" spans="1:12" ht="16.5" thickBot="1" x14ac:dyDescent="0.3">
      <c r="A389" s="254">
        <v>369992</v>
      </c>
      <c r="B389" s="57" t="s">
        <v>373</v>
      </c>
      <c r="C389" s="14">
        <v>221</v>
      </c>
      <c r="D389" s="87">
        <f>+C389*$D$1</f>
        <v>299.89999999999998</v>
      </c>
      <c r="E389" s="87">
        <f t="shared" si="98"/>
        <v>407.86399999999998</v>
      </c>
      <c r="F389" s="178">
        <v>550.1</v>
      </c>
      <c r="G389" s="233">
        <v>659.8</v>
      </c>
      <c r="H389" s="178">
        <f t="shared" si="82"/>
        <v>769.98659999999995</v>
      </c>
      <c r="I389" s="170">
        <f t="shared" si="99"/>
        <v>877.46358183376174</v>
      </c>
      <c r="J389" s="170">
        <f t="shared" si="100"/>
        <v>1024</v>
      </c>
      <c r="K389" s="107" t="s">
        <v>375</v>
      </c>
      <c r="L389" s="198"/>
    </row>
    <row r="390" spans="1:12" ht="27.75" thickBot="1" x14ac:dyDescent="0.3">
      <c r="A390" s="254">
        <v>369999.1</v>
      </c>
      <c r="B390" s="57" t="s">
        <v>373</v>
      </c>
      <c r="C390" s="14">
        <v>221</v>
      </c>
      <c r="D390" s="87">
        <f>+C390*$D$1</f>
        <v>299.89999999999998</v>
      </c>
      <c r="E390" s="87">
        <f t="shared" si="98"/>
        <v>407.86399999999998</v>
      </c>
      <c r="F390" s="178">
        <v>550.1</v>
      </c>
      <c r="G390" s="233">
        <v>659.8</v>
      </c>
      <c r="H390" s="178">
        <f t="shared" si="82"/>
        <v>769.98659999999995</v>
      </c>
      <c r="I390" s="170">
        <f t="shared" si="99"/>
        <v>877.46358183376174</v>
      </c>
      <c r="J390" s="170">
        <f t="shared" si="100"/>
        <v>1024</v>
      </c>
      <c r="K390" s="107" t="s">
        <v>376</v>
      </c>
      <c r="L390" s="198"/>
    </row>
    <row r="391" spans="1:12" ht="27.75" thickBot="1" x14ac:dyDescent="0.3">
      <c r="A391" s="254">
        <v>369999.2</v>
      </c>
      <c r="B391" s="57" t="s">
        <v>373</v>
      </c>
      <c r="C391" s="14">
        <v>221</v>
      </c>
      <c r="D391" s="87">
        <f>+C391*$D$1</f>
        <v>299.89999999999998</v>
      </c>
      <c r="E391" s="87">
        <f t="shared" si="98"/>
        <v>407.86399999999998</v>
      </c>
      <c r="F391" s="178">
        <v>550.1</v>
      </c>
      <c r="G391" s="233">
        <v>659.8</v>
      </c>
      <c r="H391" s="178">
        <f t="shared" si="82"/>
        <v>769.98659999999995</v>
      </c>
      <c r="I391" s="170">
        <f t="shared" si="99"/>
        <v>877.46358183376174</v>
      </c>
      <c r="J391" s="170">
        <f t="shared" si="100"/>
        <v>1024</v>
      </c>
      <c r="K391" s="107" t="s">
        <v>377</v>
      </c>
      <c r="L391" s="198"/>
    </row>
    <row r="392" spans="1:12" ht="27.75" thickBot="1" x14ac:dyDescent="0.3">
      <c r="A392" s="254">
        <v>371000</v>
      </c>
      <c r="B392" s="57" t="s">
        <v>1</v>
      </c>
      <c r="C392" s="14">
        <v>180</v>
      </c>
      <c r="D392" s="83">
        <v>244</v>
      </c>
      <c r="E392" s="83">
        <f t="shared" si="98"/>
        <v>331.84000000000003</v>
      </c>
      <c r="F392" s="172">
        <f t="shared" si="91"/>
        <v>447.98400000000009</v>
      </c>
      <c r="G392" s="227">
        <v>537.29999999999995</v>
      </c>
      <c r="H392" s="172">
        <f t="shared" ref="H392:H455" si="101">G392*1.167</f>
        <v>627.02909999999997</v>
      </c>
      <c r="I392" s="170">
        <f t="shared" si="99"/>
        <v>714.65295629820048</v>
      </c>
      <c r="J392" s="170">
        <f t="shared" si="100"/>
        <v>834</v>
      </c>
      <c r="K392" s="107" t="s">
        <v>378</v>
      </c>
      <c r="L392" s="198"/>
    </row>
    <row r="393" spans="1:12" ht="27.75" thickBot="1" x14ac:dyDescent="0.3">
      <c r="A393" s="254">
        <v>372000</v>
      </c>
      <c r="B393" s="57" t="s">
        <v>1</v>
      </c>
      <c r="C393" s="14">
        <v>180</v>
      </c>
      <c r="D393" s="83">
        <v>244</v>
      </c>
      <c r="E393" s="83">
        <f t="shared" si="98"/>
        <v>331.84000000000003</v>
      </c>
      <c r="F393" s="172">
        <f t="shared" si="91"/>
        <v>447.98400000000009</v>
      </c>
      <c r="G393" s="227">
        <v>537.29999999999995</v>
      </c>
      <c r="H393" s="172">
        <f t="shared" si="101"/>
        <v>627.02909999999997</v>
      </c>
      <c r="I393" s="170">
        <f t="shared" si="99"/>
        <v>714.65295629820048</v>
      </c>
      <c r="J393" s="170">
        <f t="shared" si="100"/>
        <v>834</v>
      </c>
      <c r="K393" s="107" t="s">
        <v>379</v>
      </c>
      <c r="L393" s="198"/>
    </row>
    <row r="394" spans="1:12" ht="16.5" thickBot="1" x14ac:dyDescent="0.3">
      <c r="A394" s="254">
        <v>373000</v>
      </c>
      <c r="B394" s="57" t="s">
        <v>124</v>
      </c>
      <c r="C394" s="14">
        <v>180</v>
      </c>
      <c r="D394" s="83">
        <v>244</v>
      </c>
      <c r="E394" s="83">
        <f t="shared" si="98"/>
        <v>331.84000000000003</v>
      </c>
      <c r="F394" s="172">
        <f t="shared" si="91"/>
        <v>447.98400000000009</v>
      </c>
      <c r="G394" s="227">
        <v>537.29999999999995</v>
      </c>
      <c r="H394" s="172">
        <f t="shared" si="101"/>
        <v>627.02909999999997</v>
      </c>
      <c r="I394" s="170">
        <f t="shared" si="99"/>
        <v>714.65295629820048</v>
      </c>
      <c r="J394" s="170">
        <f t="shared" si="100"/>
        <v>834</v>
      </c>
      <c r="K394" s="107" t="s">
        <v>380</v>
      </c>
      <c r="L394" s="198"/>
    </row>
    <row r="395" spans="1:12" ht="27.75" thickBot="1" x14ac:dyDescent="0.3">
      <c r="A395" s="254">
        <v>374000</v>
      </c>
      <c r="B395" s="57" t="s">
        <v>1</v>
      </c>
      <c r="C395" s="14">
        <v>221</v>
      </c>
      <c r="D395" s="87">
        <f>+C395*$D$1</f>
        <v>299.89999999999998</v>
      </c>
      <c r="E395" s="87">
        <f t="shared" si="98"/>
        <v>407.86399999999998</v>
      </c>
      <c r="F395" s="178">
        <v>550.1</v>
      </c>
      <c r="G395" s="233">
        <v>659.8</v>
      </c>
      <c r="H395" s="178">
        <f t="shared" si="101"/>
        <v>769.98659999999995</v>
      </c>
      <c r="I395" s="170">
        <f t="shared" si="99"/>
        <v>877.46358183376174</v>
      </c>
      <c r="J395" s="170">
        <f t="shared" si="100"/>
        <v>1024</v>
      </c>
      <c r="K395" s="107" t="s">
        <v>381</v>
      </c>
      <c r="L395" s="198"/>
    </row>
    <row r="396" spans="1:12" ht="17.25" customHeight="1" thickBot="1" x14ac:dyDescent="0.3">
      <c r="A396" s="73" t="s">
        <v>382</v>
      </c>
      <c r="B396" s="76"/>
      <c r="C396" s="4"/>
      <c r="D396" s="45"/>
      <c r="E396" s="45"/>
      <c r="F396" s="45"/>
      <c r="G396" s="45"/>
      <c r="H396" s="45"/>
      <c r="I396" s="45"/>
      <c r="J396" s="45"/>
      <c r="K396" s="72"/>
      <c r="L396" s="198"/>
    </row>
    <row r="397" spans="1:12" ht="17.25" customHeight="1" thickBot="1" x14ac:dyDescent="0.3">
      <c r="A397" s="73" t="s">
        <v>383</v>
      </c>
      <c r="B397" s="76"/>
      <c r="C397" s="4"/>
      <c r="D397" s="45"/>
      <c r="E397" s="45"/>
      <c r="F397" s="45"/>
      <c r="G397" s="45"/>
      <c r="H397" s="45"/>
      <c r="I397" s="45"/>
      <c r="J397" s="45"/>
      <c r="K397" s="72"/>
      <c r="L397" s="198"/>
    </row>
    <row r="398" spans="1:12" ht="68.25" thickBot="1" x14ac:dyDescent="0.3">
      <c r="A398" s="254">
        <v>401110</v>
      </c>
      <c r="B398" s="66" t="s">
        <v>480</v>
      </c>
      <c r="C398" s="14">
        <v>40</v>
      </c>
      <c r="D398" s="55">
        <v>54</v>
      </c>
      <c r="E398" s="55">
        <f t="shared" si="98"/>
        <v>73.440000000000012</v>
      </c>
      <c r="F398" s="55">
        <f t="shared" si="91"/>
        <v>99.14400000000002</v>
      </c>
      <c r="G398" s="236">
        <v>120</v>
      </c>
      <c r="H398" s="55">
        <f t="shared" si="101"/>
        <v>140.04</v>
      </c>
      <c r="I398" s="170">
        <f t="shared" ref="I398:I406" si="102">+J398/1.167</f>
        <v>159.38303341902312</v>
      </c>
      <c r="J398" s="170">
        <f t="shared" ref="J398:J406" si="103">ROUND(+H398*(1+$J$1),0)</f>
        <v>186</v>
      </c>
      <c r="K398" s="53" t="s">
        <v>983</v>
      </c>
      <c r="L398" s="198"/>
    </row>
    <row r="399" spans="1:12" ht="54.75" thickBot="1" x14ac:dyDescent="0.3">
      <c r="A399" s="254">
        <v>401120</v>
      </c>
      <c r="B399" s="67" t="s">
        <v>480</v>
      </c>
      <c r="C399" s="14">
        <v>40</v>
      </c>
      <c r="D399" s="87">
        <v>54</v>
      </c>
      <c r="E399" s="87">
        <f t="shared" si="98"/>
        <v>73.440000000000012</v>
      </c>
      <c r="F399" s="178">
        <f t="shared" si="91"/>
        <v>99.14400000000002</v>
      </c>
      <c r="G399" s="233">
        <v>120</v>
      </c>
      <c r="H399" s="178">
        <f t="shared" si="101"/>
        <v>140.04</v>
      </c>
      <c r="I399" s="170">
        <f t="shared" si="102"/>
        <v>159.38303341902312</v>
      </c>
      <c r="J399" s="170">
        <f t="shared" si="103"/>
        <v>186</v>
      </c>
      <c r="K399" s="107" t="s">
        <v>984</v>
      </c>
      <c r="L399" s="198"/>
    </row>
    <row r="400" spans="1:12" ht="54.75" thickBot="1" x14ac:dyDescent="0.3">
      <c r="A400" s="254">
        <v>401130</v>
      </c>
      <c r="B400" s="57" t="s">
        <v>480</v>
      </c>
      <c r="C400" s="14">
        <v>40</v>
      </c>
      <c r="D400" s="87">
        <v>54</v>
      </c>
      <c r="E400" s="87">
        <f t="shared" si="98"/>
        <v>73.440000000000012</v>
      </c>
      <c r="F400" s="178">
        <f t="shared" si="91"/>
        <v>99.14400000000002</v>
      </c>
      <c r="G400" s="233">
        <v>120</v>
      </c>
      <c r="H400" s="178">
        <f t="shared" si="101"/>
        <v>140.04</v>
      </c>
      <c r="I400" s="170">
        <f t="shared" si="102"/>
        <v>159.38303341902312</v>
      </c>
      <c r="J400" s="170">
        <f t="shared" si="103"/>
        <v>186</v>
      </c>
      <c r="K400" s="107" t="s">
        <v>985</v>
      </c>
      <c r="L400" s="198"/>
    </row>
    <row r="401" spans="1:12" ht="68.25" thickBot="1" x14ac:dyDescent="0.3">
      <c r="A401" s="254">
        <v>401190</v>
      </c>
      <c r="B401" s="57" t="s">
        <v>480</v>
      </c>
      <c r="C401" s="14">
        <v>40</v>
      </c>
      <c r="D401" s="87">
        <v>54</v>
      </c>
      <c r="E401" s="87">
        <f t="shared" si="98"/>
        <v>73.440000000000012</v>
      </c>
      <c r="F401" s="178">
        <f t="shared" si="91"/>
        <v>99.14400000000002</v>
      </c>
      <c r="G401" s="233">
        <v>120</v>
      </c>
      <c r="H401" s="178">
        <f t="shared" si="101"/>
        <v>140.04</v>
      </c>
      <c r="I401" s="170">
        <f t="shared" si="102"/>
        <v>159.38303341902312</v>
      </c>
      <c r="J401" s="170">
        <f t="shared" si="103"/>
        <v>186</v>
      </c>
      <c r="K401" s="107" t="s">
        <v>986</v>
      </c>
      <c r="L401" s="198"/>
    </row>
    <row r="402" spans="1:12" ht="27.75" thickBot="1" x14ac:dyDescent="0.3">
      <c r="A402" s="254">
        <v>401200</v>
      </c>
      <c r="B402" s="57" t="s">
        <v>480</v>
      </c>
      <c r="C402" s="15">
        <v>100</v>
      </c>
      <c r="D402" s="89">
        <v>135</v>
      </c>
      <c r="E402" s="89">
        <f t="shared" si="98"/>
        <v>183.60000000000002</v>
      </c>
      <c r="F402" s="181">
        <f t="shared" si="91"/>
        <v>247.86000000000004</v>
      </c>
      <c r="G402" s="237">
        <v>297.3</v>
      </c>
      <c r="H402" s="181">
        <f t="shared" si="101"/>
        <v>346.94910000000004</v>
      </c>
      <c r="I402" s="170">
        <f t="shared" si="102"/>
        <v>395.02999143101971</v>
      </c>
      <c r="J402" s="170">
        <f t="shared" si="103"/>
        <v>461</v>
      </c>
      <c r="K402" s="107" t="s">
        <v>987</v>
      </c>
      <c r="L402" s="198"/>
    </row>
    <row r="403" spans="1:12" ht="27.75" thickBot="1" x14ac:dyDescent="0.3">
      <c r="A403" s="254">
        <v>401300</v>
      </c>
      <c r="B403" s="57" t="s">
        <v>480</v>
      </c>
      <c r="C403" s="50">
        <v>100</v>
      </c>
      <c r="D403" s="89">
        <v>160</v>
      </c>
      <c r="E403" s="89">
        <v>217.66</v>
      </c>
      <c r="F403" s="181">
        <f t="shared" si="91"/>
        <v>293.84100000000001</v>
      </c>
      <c r="G403" s="237">
        <v>352.2</v>
      </c>
      <c r="H403" s="181">
        <f t="shared" si="101"/>
        <v>411.01740000000001</v>
      </c>
      <c r="I403" s="170">
        <f t="shared" si="102"/>
        <v>468.72322193658954</v>
      </c>
      <c r="J403" s="170">
        <f t="shared" si="103"/>
        <v>547</v>
      </c>
      <c r="K403" s="107" t="s">
        <v>988</v>
      </c>
      <c r="L403" s="198"/>
    </row>
    <row r="404" spans="1:12" ht="16.5" thickBot="1" x14ac:dyDescent="0.3">
      <c r="A404" s="254">
        <v>402001</v>
      </c>
      <c r="B404" s="57" t="s">
        <v>59</v>
      </c>
      <c r="C404" s="14">
        <v>3630</v>
      </c>
      <c r="D404" s="87">
        <v>4925</v>
      </c>
      <c r="E404" s="87">
        <v>6704.8</v>
      </c>
      <c r="F404" s="178">
        <f t="shared" si="91"/>
        <v>9051.4800000000014</v>
      </c>
      <c r="G404" s="233">
        <v>10862.1</v>
      </c>
      <c r="H404" s="178">
        <f t="shared" si="101"/>
        <v>12676.0707</v>
      </c>
      <c r="I404" s="170">
        <f t="shared" si="102"/>
        <v>14446.443873179091</v>
      </c>
      <c r="J404" s="170">
        <f t="shared" si="103"/>
        <v>16859</v>
      </c>
      <c r="K404" s="107" t="s">
        <v>384</v>
      </c>
      <c r="L404" s="198"/>
    </row>
    <row r="405" spans="1:12" ht="27.75" thickBot="1" x14ac:dyDescent="0.3">
      <c r="A405" s="254">
        <v>402009</v>
      </c>
      <c r="B405" s="57" t="s">
        <v>59</v>
      </c>
      <c r="C405" s="14">
        <v>3630</v>
      </c>
      <c r="D405" s="87">
        <v>4925</v>
      </c>
      <c r="E405" s="87">
        <v>6704.8</v>
      </c>
      <c r="F405" s="178">
        <f t="shared" si="91"/>
        <v>9051.4800000000014</v>
      </c>
      <c r="G405" s="233">
        <v>10862.1</v>
      </c>
      <c r="H405" s="178">
        <f t="shared" si="101"/>
        <v>12676.0707</v>
      </c>
      <c r="I405" s="170">
        <f t="shared" si="102"/>
        <v>14446.443873179091</v>
      </c>
      <c r="J405" s="170">
        <f t="shared" si="103"/>
        <v>16859</v>
      </c>
      <c r="K405" s="107" t="s">
        <v>385</v>
      </c>
      <c r="L405" s="198"/>
    </row>
    <row r="406" spans="1:12" ht="16.5" thickBot="1" x14ac:dyDescent="0.3">
      <c r="A406" s="252">
        <v>403000</v>
      </c>
      <c r="B406" s="66" t="s">
        <v>59</v>
      </c>
      <c r="C406" s="14">
        <v>358</v>
      </c>
      <c r="D406" s="87">
        <v>485</v>
      </c>
      <c r="E406" s="87">
        <v>659.8</v>
      </c>
      <c r="F406" s="179">
        <f t="shared" si="91"/>
        <v>890.73</v>
      </c>
      <c r="G406" s="234">
        <v>1068.5999999999999</v>
      </c>
      <c r="H406" s="179">
        <f t="shared" si="101"/>
        <v>1247.0562</v>
      </c>
      <c r="I406" s="170">
        <f t="shared" si="102"/>
        <v>1421.5938303341902</v>
      </c>
      <c r="J406" s="170">
        <f t="shared" si="103"/>
        <v>1659</v>
      </c>
      <c r="K406" s="109" t="s">
        <v>386</v>
      </c>
      <c r="L406" s="198"/>
    </row>
    <row r="407" spans="1:12" ht="17.25" thickBot="1" x14ac:dyDescent="0.3">
      <c r="A407" s="73" t="s">
        <v>387</v>
      </c>
      <c r="B407" s="76"/>
      <c r="C407" s="4"/>
      <c r="D407" s="45"/>
      <c r="E407" s="45"/>
      <c r="F407" s="45"/>
      <c r="G407" s="45"/>
      <c r="H407" s="45"/>
      <c r="I407" s="45"/>
      <c r="J407" s="45"/>
      <c r="K407" s="72"/>
      <c r="L407" s="198"/>
    </row>
    <row r="408" spans="1:12" ht="16.5" thickBot="1" x14ac:dyDescent="0.3">
      <c r="A408" s="254">
        <v>410020</v>
      </c>
      <c r="B408" s="57" t="s">
        <v>59</v>
      </c>
      <c r="C408" s="14">
        <v>1755</v>
      </c>
      <c r="D408" s="55">
        <v>2380</v>
      </c>
      <c r="E408" s="55">
        <f t="shared" si="98"/>
        <v>3236.8</v>
      </c>
      <c r="F408" s="178">
        <f t="shared" si="91"/>
        <v>4369.68</v>
      </c>
      <c r="G408" s="233">
        <v>5244.2</v>
      </c>
      <c r="H408" s="178">
        <f t="shared" si="101"/>
        <v>6119.9813999999997</v>
      </c>
      <c r="I408" s="170">
        <f t="shared" ref="I408" si="104">+J408/1.167</f>
        <v>6975.1499571550985</v>
      </c>
      <c r="J408" s="170">
        <f t="shared" ref="J408" si="105">ROUND(+H408*(1+$J$1),0)</f>
        <v>8140</v>
      </c>
      <c r="K408" s="107" t="s">
        <v>387</v>
      </c>
      <c r="L408" s="198"/>
    </row>
    <row r="409" spans="1:12" ht="17.25" customHeight="1" thickBot="1" x14ac:dyDescent="0.3">
      <c r="A409" s="207" t="s">
        <v>388</v>
      </c>
      <c r="B409" s="208"/>
      <c r="C409" s="28"/>
      <c r="D409" s="46"/>
      <c r="E409" s="46"/>
      <c r="F409" s="46"/>
      <c r="G409" s="46"/>
      <c r="H409" s="46"/>
      <c r="I409" s="46"/>
      <c r="J409" s="46"/>
      <c r="K409" s="209"/>
      <c r="L409" s="198"/>
    </row>
    <row r="410" spans="1:12" ht="16.5" x14ac:dyDescent="0.25">
      <c r="A410" s="196" t="s">
        <v>1014</v>
      </c>
      <c r="B410" s="43"/>
      <c r="C410" s="43"/>
      <c r="D410" s="43"/>
      <c r="E410" s="43"/>
      <c r="F410" s="43"/>
      <c r="G410" s="43"/>
      <c r="H410" s="43"/>
      <c r="I410" s="43"/>
      <c r="J410" s="43"/>
      <c r="K410" s="197"/>
      <c r="L410" s="198"/>
    </row>
    <row r="411" spans="1:12" ht="17.25" thickBot="1" x14ac:dyDescent="0.3">
      <c r="A411" s="189" t="s">
        <v>1015</v>
      </c>
      <c r="B411" s="44"/>
      <c r="C411" s="44"/>
      <c r="D411" s="44"/>
      <c r="E411" s="44"/>
      <c r="F411" s="44"/>
      <c r="G411" s="44"/>
      <c r="H411" s="44"/>
      <c r="I411" s="44"/>
      <c r="J411" s="44"/>
      <c r="K411" s="210"/>
      <c r="L411" s="198"/>
    </row>
    <row r="412" spans="1:12" ht="27.75" thickBot="1" x14ac:dyDescent="0.3">
      <c r="A412" s="254">
        <v>451100</v>
      </c>
      <c r="B412" s="57" t="s">
        <v>59</v>
      </c>
      <c r="C412" s="26">
        <v>221</v>
      </c>
      <c r="D412" s="87">
        <f>+C412*$D$1</f>
        <v>299.89999999999998</v>
      </c>
      <c r="E412" s="87">
        <f t="shared" ref="E412:E446" si="106">+D412*1.36</f>
        <v>407.86399999999998</v>
      </c>
      <c r="F412" s="178">
        <v>550.1</v>
      </c>
      <c r="G412" s="233">
        <v>659.8</v>
      </c>
      <c r="H412" s="178">
        <f t="shared" si="101"/>
        <v>769.98659999999995</v>
      </c>
      <c r="I412" s="170">
        <f t="shared" ref="I412:I433" si="107">+J412/1.167</f>
        <v>877.46358183376174</v>
      </c>
      <c r="J412" s="170">
        <f t="shared" ref="J412:J433" si="108">ROUND(+H412*(1+$J$1),0)</f>
        <v>1024</v>
      </c>
      <c r="K412" s="107" t="s">
        <v>389</v>
      </c>
      <c r="L412" s="198"/>
    </row>
    <row r="413" spans="1:12" ht="54.75" thickBot="1" x14ac:dyDescent="0.3">
      <c r="A413" s="254">
        <v>451200</v>
      </c>
      <c r="B413" s="67" t="s">
        <v>59</v>
      </c>
      <c r="C413" s="14">
        <v>358</v>
      </c>
      <c r="D413" s="87">
        <v>485</v>
      </c>
      <c r="E413" s="87">
        <v>659.8</v>
      </c>
      <c r="F413" s="178">
        <f t="shared" ref="F413:F447" si="109">+E413*$F$1</f>
        <v>890.73</v>
      </c>
      <c r="G413" s="233">
        <v>1068.5999999999999</v>
      </c>
      <c r="H413" s="178">
        <f t="shared" si="101"/>
        <v>1247.0562</v>
      </c>
      <c r="I413" s="170">
        <f t="shared" si="107"/>
        <v>1421.5938303341902</v>
      </c>
      <c r="J413" s="170">
        <f t="shared" si="108"/>
        <v>1659</v>
      </c>
      <c r="K413" s="93" t="s">
        <v>390</v>
      </c>
      <c r="L413" s="198"/>
    </row>
    <row r="414" spans="1:12" ht="108.75" thickBot="1" x14ac:dyDescent="0.3">
      <c r="A414" s="254">
        <v>451900</v>
      </c>
      <c r="B414" s="57" t="s">
        <v>59</v>
      </c>
      <c r="C414" s="14">
        <v>221</v>
      </c>
      <c r="D414" s="87">
        <f t="shared" ref="D414:D420" si="110">+C414*$D$1</f>
        <v>299.89999999999998</v>
      </c>
      <c r="E414" s="87">
        <f t="shared" si="106"/>
        <v>407.86399999999998</v>
      </c>
      <c r="F414" s="178">
        <v>550.1</v>
      </c>
      <c r="G414" s="233">
        <v>659.8</v>
      </c>
      <c r="H414" s="178">
        <f t="shared" si="101"/>
        <v>769.98659999999995</v>
      </c>
      <c r="I414" s="170">
        <f t="shared" si="107"/>
        <v>877.46358183376174</v>
      </c>
      <c r="J414" s="170">
        <f t="shared" si="108"/>
        <v>1024</v>
      </c>
      <c r="K414" s="107" t="s">
        <v>391</v>
      </c>
      <c r="L414" s="198"/>
    </row>
    <row r="415" spans="1:12" ht="68.25" thickBot="1" x14ac:dyDescent="0.3">
      <c r="A415" s="254">
        <v>452100</v>
      </c>
      <c r="B415" s="57" t="s">
        <v>59</v>
      </c>
      <c r="C415" s="14">
        <v>221</v>
      </c>
      <c r="D415" s="87">
        <f t="shared" si="110"/>
        <v>299.89999999999998</v>
      </c>
      <c r="E415" s="87">
        <f t="shared" si="106"/>
        <v>407.86399999999998</v>
      </c>
      <c r="F415" s="178">
        <v>550.1</v>
      </c>
      <c r="G415" s="233">
        <v>659.8</v>
      </c>
      <c r="H415" s="178">
        <f t="shared" si="101"/>
        <v>769.98659999999995</v>
      </c>
      <c r="I415" s="170">
        <f t="shared" si="107"/>
        <v>877.46358183376174</v>
      </c>
      <c r="J415" s="170">
        <f t="shared" si="108"/>
        <v>1024</v>
      </c>
      <c r="K415" s="107" t="s">
        <v>392</v>
      </c>
      <c r="L415" s="198"/>
    </row>
    <row r="416" spans="1:12" ht="41.25" thickBot="1" x14ac:dyDescent="0.3">
      <c r="A416" s="254">
        <v>452390</v>
      </c>
      <c r="B416" s="57" t="s">
        <v>393</v>
      </c>
      <c r="C416" s="14">
        <v>221</v>
      </c>
      <c r="D416" s="87">
        <f t="shared" si="110"/>
        <v>299.89999999999998</v>
      </c>
      <c r="E416" s="87">
        <f t="shared" si="106"/>
        <v>407.86399999999998</v>
      </c>
      <c r="F416" s="178">
        <v>550.1</v>
      </c>
      <c r="G416" s="233">
        <v>659.8</v>
      </c>
      <c r="H416" s="178">
        <f t="shared" si="101"/>
        <v>769.98659999999995</v>
      </c>
      <c r="I416" s="170">
        <f t="shared" si="107"/>
        <v>877.46358183376174</v>
      </c>
      <c r="J416" s="170">
        <f t="shared" si="108"/>
        <v>1024</v>
      </c>
      <c r="K416" s="107" t="s">
        <v>394</v>
      </c>
      <c r="L416" s="198"/>
    </row>
    <row r="417" spans="1:12" ht="16.5" thickBot="1" x14ac:dyDescent="0.3">
      <c r="A417" s="254">
        <v>452510</v>
      </c>
      <c r="B417" s="57" t="s">
        <v>59</v>
      </c>
      <c r="C417" s="14">
        <v>221</v>
      </c>
      <c r="D417" s="87">
        <f t="shared" si="110"/>
        <v>299.89999999999998</v>
      </c>
      <c r="E417" s="87">
        <f t="shared" si="106"/>
        <v>407.86399999999998</v>
      </c>
      <c r="F417" s="178">
        <v>550.1</v>
      </c>
      <c r="G417" s="233">
        <v>659.8</v>
      </c>
      <c r="H417" s="178">
        <f t="shared" si="101"/>
        <v>769.98659999999995</v>
      </c>
      <c r="I417" s="170">
        <f t="shared" si="107"/>
        <v>877.46358183376174</v>
      </c>
      <c r="J417" s="170">
        <f t="shared" si="108"/>
        <v>1024</v>
      </c>
      <c r="K417" s="107" t="s">
        <v>395</v>
      </c>
      <c r="L417" s="198"/>
    </row>
    <row r="418" spans="1:12" ht="16.5" thickBot="1" x14ac:dyDescent="0.3">
      <c r="A418" s="254">
        <v>452510.1</v>
      </c>
      <c r="B418" s="57" t="s">
        <v>59</v>
      </c>
      <c r="C418" s="14">
        <v>221</v>
      </c>
      <c r="D418" s="87">
        <f t="shared" si="110"/>
        <v>299.89999999999998</v>
      </c>
      <c r="E418" s="87">
        <f t="shared" si="106"/>
        <v>407.86399999999998</v>
      </c>
      <c r="F418" s="178">
        <v>550.1</v>
      </c>
      <c r="G418" s="233">
        <v>659.8</v>
      </c>
      <c r="H418" s="178">
        <f t="shared" si="101"/>
        <v>769.98659999999995</v>
      </c>
      <c r="I418" s="170">
        <f t="shared" si="107"/>
        <v>877.46358183376174</v>
      </c>
      <c r="J418" s="170">
        <f t="shared" si="108"/>
        <v>1024</v>
      </c>
      <c r="K418" s="107" t="s">
        <v>396</v>
      </c>
      <c r="L418" s="198"/>
    </row>
    <row r="419" spans="1:12" ht="27.75" thickBot="1" x14ac:dyDescent="0.3">
      <c r="A419" s="254">
        <v>452520</v>
      </c>
      <c r="B419" s="57" t="s">
        <v>59</v>
      </c>
      <c r="C419" s="14">
        <v>221</v>
      </c>
      <c r="D419" s="87">
        <f t="shared" si="110"/>
        <v>299.89999999999998</v>
      </c>
      <c r="E419" s="87">
        <f t="shared" si="106"/>
        <v>407.86399999999998</v>
      </c>
      <c r="F419" s="178">
        <v>550.1</v>
      </c>
      <c r="G419" s="233">
        <v>659.8</v>
      </c>
      <c r="H419" s="178">
        <f t="shared" si="101"/>
        <v>769.98659999999995</v>
      </c>
      <c r="I419" s="170">
        <f t="shared" si="107"/>
        <v>877.46358183376174</v>
      </c>
      <c r="J419" s="170">
        <f t="shared" si="108"/>
        <v>1024</v>
      </c>
      <c r="K419" s="107" t="s">
        <v>397</v>
      </c>
      <c r="L419" s="198"/>
    </row>
    <row r="420" spans="1:12" ht="16.5" thickBot="1" x14ac:dyDescent="0.3">
      <c r="A420" s="254">
        <v>452530</v>
      </c>
      <c r="B420" s="57" t="s">
        <v>393</v>
      </c>
      <c r="C420" s="14">
        <v>221</v>
      </c>
      <c r="D420" s="87">
        <f t="shared" si="110"/>
        <v>299.89999999999998</v>
      </c>
      <c r="E420" s="87">
        <f t="shared" si="106"/>
        <v>407.86399999999998</v>
      </c>
      <c r="F420" s="178">
        <v>550.1</v>
      </c>
      <c r="G420" s="233">
        <v>659.8</v>
      </c>
      <c r="H420" s="178">
        <f t="shared" si="101"/>
        <v>769.98659999999995</v>
      </c>
      <c r="I420" s="170">
        <f t="shared" si="107"/>
        <v>877.46358183376174</v>
      </c>
      <c r="J420" s="170">
        <f t="shared" si="108"/>
        <v>1024</v>
      </c>
      <c r="K420" s="107" t="s">
        <v>398</v>
      </c>
      <c r="L420" s="198"/>
    </row>
    <row r="421" spans="1:12" ht="16.5" thickBot="1" x14ac:dyDescent="0.3">
      <c r="A421" s="254">
        <v>452900</v>
      </c>
      <c r="B421" s="57" t="s">
        <v>393</v>
      </c>
      <c r="C421" s="14">
        <v>358</v>
      </c>
      <c r="D421" s="87">
        <v>485</v>
      </c>
      <c r="E421" s="87">
        <v>659.8</v>
      </c>
      <c r="F421" s="178">
        <f t="shared" si="109"/>
        <v>890.73</v>
      </c>
      <c r="G421" s="233">
        <v>1068.5999999999999</v>
      </c>
      <c r="H421" s="178">
        <f t="shared" si="101"/>
        <v>1247.0562</v>
      </c>
      <c r="I421" s="170">
        <f t="shared" si="107"/>
        <v>1421.5938303341902</v>
      </c>
      <c r="J421" s="170">
        <f t="shared" si="108"/>
        <v>1659</v>
      </c>
      <c r="K421" s="107" t="s">
        <v>399</v>
      </c>
      <c r="L421" s="198"/>
    </row>
    <row r="422" spans="1:12" ht="16.5" thickBot="1" x14ac:dyDescent="0.3">
      <c r="A422" s="254">
        <v>452900.1</v>
      </c>
      <c r="B422" s="57" t="s">
        <v>393</v>
      </c>
      <c r="C422" s="14">
        <v>358</v>
      </c>
      <c r="D422" s="87">
        <v>485</v>
      </c>
      <c r="E422" s="87">
        <v>659.8</v>
      </c>
      <c r="F422" s="178">
        <f t="shared" si="109"/>
        <v>890.73</v>
      </c>
      <c r="G422" s="233">
        <v>1068.5999999999999</v>
      </c>
      <c r="H422" s="178">
        <f t="shared" si="101"/>
        <v>1247.0562</v>
      </c>
      <c r="I422" s="170">
        <f t="shared" si="107"/>
        <v>1421.5938303341902</v>
      </c>
      <c r="J422" s="170">
        <f t="shared" si="108"/>
        <v>1659</v>
      </c>
      <c r="K422" s="107" t="s">
        <v>400</v>
      </c>
      <c r="L422" s="198"/>
    </row>
    <row r="423" spans="1:12" ht="27.75" thickBot="1" x14ac:dyDescent="0.3">
      <c r="A423" s="254">
        <v>453110</v>
      </c>
      <c r="B423" s="57" t="s">
        <v>393</v>
      </c>
      <c r="C423" s="14">
        <v>221</v>
      </c>
      <c r="D423" s="87">
        <f t="shared" ref="D423:D433" si="111">+C423*$D$1</f>
        <v>299.89999999999998</v>
      </c>
      <c r="E423" s="87">
        <f t="shared" si="106"/>
        <v>407.86399999999998</v>
      </c>
      <c r="F423" s="178">
        <v>550.1</v>
      </c>
      <c r="G423" s="233">
        <v>659.8</v>
      </c>
      <c r="H423" s="178">
        <f t="shared" si="101"/>
        <v>769.98659999999995</v>
      </c>
      <c r="I423" s="170">
        <f t="shared" si="107"/>
        <v>877.46358183376174</v>
      </c>
      <c r="J423" s="170">
        <f t="shared" si="108"/>
        <v>1024</v>
      </c>
      <c r="K423" s="107" t="s">
        <v>1031</v>
      </c>
      <c r="L423" s="198"/>
    </row>
    <row r="424" spans="1:12" ht="27.75" thickBot="1" x14ac:dyDescent="0.3">
      <c r="A424" s="254">
        <v>453190</v>
      </c>
      <c r="B424" s="57" t="s">
        <v>393</v>
      </c>
      <c r="C424" s="14">
        <v>221</v>
      </c>
      <c r="D424" s="87">
        <f t="shared" si="111"/>
        <v>299.89999999999998</v>
      </c>
      <c r="E424" s="87">
        <f t="shared" si="106"/>
        <v>407.86399999999998</v>
      </c>
      <c r="F424" s="178">
        <v>550.1</v>
      </c>
      <c r="G424" s="233">
        <v>659.8</v>
      </c>
      <c r="H424" s="178">
        <f t="shared" si="101"/>
        <v>769.98659999999995</v>
      </c>
      <c r="I424" s="170">
        <f t="shared" si="107"/>
        <v>877.46358183376174</v>
      </c>
      <c r="J424" s="170">
        <f t="shared" si="108"/>
        <v>1024</v>
      </c>
      <c r="K424" s="107" t="s">
        <v>401</v>
      </c>
      <c r="L424" s="198"/>
    </row>
    <row r="425" spans="1:12" ht="41.25" thickBot="1" x14ac:dyDescent="0.3">
      <c r="A425" s="254">
        <v>453300</v>
      </c>
      <c r="B425" s="57" t="s">
        <v>393</v>
      </c>
      <c r="C425" s="14">
        <v>221</v>
      </c>
      <c r="D425" s="87">
        <f t="shared" si="111"/>
        <v>299.89999999999998</v>
      </c>
      <c r="E425" s="87">
        <f t="shared" si="106"/>
        <v>407.86399999999998</v>
      </c>
      <c r="F425" s="178">
        <v>550.1</v>
      </c>
      <c r="G425" s="233">
        <v>659.8</v>
      </c>
      <c r="H425" s="178">
        <f t="shared" si="101"/>
        <v>769.98659999999995</v>
      </c>
      <c r="I425" s="170">
        <f t="shared" si="107"/>
        <v>877.46358183376174</v>
      </c>
      <c r="J425" s="170">
        <f t="shared" si="108"/>
        <v>1024</v>
      </c>
      <c r="K425" s="107" t="s">
        <v>1032</v>
      </c>
      <c r="L425" s="198"/>
    </row>
    <row r="426" spans="1:12" ht="41.25" thickBot="1" x14ac:dyDescent="0.3">
      <c r="A426" s="254">
        <v>453900</v>
      </c>
      <c r="B426" s="57" t="s">
        <v>393</v>
      </c>
      <c r="C426" s="14">
        <v>221</v>
      </c>
      <c r="D426" s="87">
        <f t="shared" si="111"/>
        <v>299.89999999999998</v>
      </c>
      <c r="E426" s="87">
        <f t="shared" si="106"/>
        <v>407.86399999999998</v>
      </c>
      <c r="F426" s="178">
        <v>550.1</v>
      </c>
      <c r="G426" s="233">
        <v>659.8</v>
      </c>
      <c r="H426" s="178">
        <f t="shared" si="101"/>
        <v>769.98659999999995</v>
      </c>
      <c r="I426" s="170">
        <f t="shared" si="107"/>
        <v>877.46358183376174</v>
      </c>
      <c r="J426" s="170">
        <f t="shared" si="108"/>
        <v>1024</v>
      </c>
      <c r="K426" s="107" t="s">
        <v>402</v>
      </c>
      <c r="L426" s="198"/>
    </row>
    <row r="427" spans="1:12" ht="27.75" thickBot="1" x14ac:dyDescent="0.3">
      <c r="A427" s="254">
        <v>454100</v>
      </c>
      <c r="B427" s="57" t="s">
        <v>393</v>
      </c>
      <c r="C427" s="14">
        <v>221</v>
      </c>
      <c r="D427" s="87">
        <f t="shared" si="111"/>
        <v>299.89999999999998</v>
      </c>
      <c r="E427" s="87">
        <f t="shared" si="106"/>
        <v>407.86399999999998</v>
      </c>
      <c r="F427" s="178">
        <v>550.1</v>
      </c>
      <c r="G427" s="233">
        <v>659.8</v>
      </c>
      <c r="H427" s="178">
        <f t="shared" si="101"/>
        <v>769.98659999999995</v>
      </c>
      <c r="I427" s="170">
        <f t="shared" si="107"/>
        <v>877.46358183376174</v>
      </c>
      <c r="J427" s="170">
        <f t="shared" si="108"/>
        <v>1024</v>
      </c>
      <c r="K427" s="107" t="s">
        <v>403</v>
      </c>
      <c r="L427" s="198"/>
    </row>
    <row r="428" spans="1:12" ht="16.5" thickBot="1" x14ac:dyDescent="0.3">
      <c r="A428" s="254">
        <v>454200.1</v>
      </c>
      <c r="B428" s="57" t="s">
        <v>59</v>
      </c>
      <c r="C428" s="14">
        <v>221</v>
      </c>
      <c r="D428" s="87">
        <f t="shared" si="111"/>
        <v>299.89999999999998</v>
      </c>
      <c r="E428" s="87">
        <f t="shared" si="106"/>
        <v>407.86399999999998</v>
      </c>
      <c r="F428" s="178">
        <v>550.1</v>
      </c>
      <c r="G428" s="233">
        <v>659.8</v>
      </c>
      <c r="H428" s="178">
        <f t="shared" si="101"/>
        <v>769.98659999999995</v>
      </c>
      <c r="I428" s="170">
        <f t="shared" si="107"/>
        <v>877.46358183376174</v>
      </c>
      <c r="J428" s="170">
        <f t="shared" si="108"/>
        <v>1024</v>
      </c>
      <c r="K428" s="107" t="s">
        <v>404</v>
      </c>
      <c r="L428" s="198"/>
    </row>
    <row r="429" spans="1:12" ht="27.75" thickBot="1" x14ac:dyDescent="0.3">
      <c r="A429" s="254">
        <v>454200.2</v>
      </c>
      <c r="B429" s="57" t="s">
        <v>59</v>
      </c>
      <c r="C429" s="14">
        <v>221</v>
      </c>
      <c r="D429" s="87">
        <f t="shared" si="111"/>
        <v>299.89999999999998</v>
      </c>
      <c r="E429" s="87">
        <f t="shared" si="106"/>
        <v>407.86399999999998</v>
      </c>
      <c r="F429" s="178">
        <v>550.1</v>
      </c>
      <c r="G429" s="233">
        <v>659.8</v>
      </c>
      <c r="H429" s="178">
        <f t="shared" si="101"/>
        <v>769.98659999999995</v>
      </c>
      <c r="I429" s="170">
        <f t="shared" si="107"/>
        <v>877.46358183376174</v>
      </c>
      <c r="J429" s="170">
        <f t="shared" si="108"/>
        <v>1024</v>
      </c>
      <c r="K429" s="107" t="s">
        <v>405</v>
      </c>
      <c r="L429" s="198"/>
    </row>
    <row r="430" spans="1:12" ht="27.75" thickBot="1" x14ac:dyDescent="0.3">
      <c r="A430" s="254">
        <v>454200.3</v>
      </c>
      <c r="B430" s="57" t="s">
        <v>59</v>
      </c>
      <c r="C430" s="14">
        <v>221</v>
      </c>
      <c r="D430" s="87">
        <f t="shared" si="111"/>
        <v>299.89999999999998</v>
      </c>
      <c r="E430" s="87">
        <f t="shared" si="106"/>
        <v>407.86399999999998</v>
      </c>
      <c r="F430" s="178">
        <v>550.1</v>
      </c>
      <c r="G430" s="233">
        <v>659.8</v>
      </c>
      <c r="H430" s="178">
        <f t="shared" si="101"/>
        <v>769.98659999999995</v>
      </c>
      <c r="I430" s="170">
        <f t="shared" si="107"/>
        <v>877.46358183376174</v>
      </c>
      <c r="J430" s="170">
        <f t="shared" si="108"/>
        <v>1024</v>
      </c>
      <c r="K430" s="107" t="s">
        <v>406</v>
      </c>
      <c r="L430" s="198"/>
    </row>
    <row r="431" spans="1:12" ht="16.5" thickBot="1" x14ac:dyDescent="0.3">
      <c r="A431" s="254">
        <v>454400</v>
      </c>
      <c r="B431" s="57" t="s">
        <v>59</v>
      </c>
      <c r="C431" s="14">
        <v>221</v>
      </c>
      <c r="D431" s="87">
        <f t="shared" si="111"/>
        <v>299.89999999999998</v>
      </c>
      <c r="E431" s="87">
        <f t="shared" si="106"/>
        <v>407.86399999999998</v>
      </c>
      <c r="F431" s="178">
        <v>550.1</v>
      </c>
      <c r="G431" s="233">
        <v>659.8</v>
      </c>
      <c r="H431" s="178">
        <f t="shared" si="101"/>
        <v>769.98659999999995</v>
      </c>
      <c r="I431" s="170">
        <f t="shared" si="107"/>
        <v>877.46358183376174</v>
      </c>
      <c r="J431" s="170">
        <f t="shared" si="108"/>
        <v>1024</v>
      </c>
      <c r="K431" s="107" t="s">
        <v>407</v>
      </c>
      <c r="L431" s="198"/>
    </row>
    <row r="432" spans="1:12" ht="54.75" thickBot="1" x14ac:dyDescent="0.3">
      <c r="A432" s="254">
        <v>454900</v>
      </c>
      <c r="B432" s="57" t="s">
        <v>59</v>
      </c>
      <c r="C432" s="14">
        <v>221</v>
      </c>
      <c r="D432" s="87">
        <f t="shared" si="111"/>
        <v>299.89999999999998</v>
      </c>
      <c r="E432" s="87">
        <f t="shared" si="106"/>
        <v>407.86399999999998</v>
      </c>
      <c r="F432" s="178">
        <v>550.1</v>
      </c>
      <c r="G432" s="233">
        <v>659.8</v>
      </c>
      <c r="H432" s="178">
        <f t="shared" si="101"/>
        <v>769.98659999999995</v>
      </c>
      <c r="I432" s="170">
        <f t="shared" si="107"/>
        <v>877.46358183376174</v>
      </c>
      <c r="J432" s="170">
        <f t="shared" si="108"/>
        <v>1024</v>
      </c>
      <c r="K432" s="107" t="s">
        <v>408</v>
      </c>
      <c r="L432" s="198"/>
    </row>
    <row r="433" spans="1:12" ht="27.75" thickBot="1" x14ac:dyDescent="0.3">
      <c r="A433" s="254">
        <v>455000</v>
      </c>
      <c r="B433" s="57" t="s">
        <v>59</v>
      </c>
      <c r="C433" s="14">
        <v>221</v>
      </c>
      <c r="D433" s="87">
        <f t="shared" si="111"/>
        <v>299.89999999999998</v>
      </c>
      <c r="E433" s="87">
        <f t="shared" si="106"/>
        <v>407.86399999999998</v>
      </c>
      <c r="F433" s="178">
        <v>550.1</v>
      </c>
      <c r="G433" s="233">
        <v>659.8</v>
      </c>
      <c r="H433" s="178">
        <f t="shared" si="101"/>
        <v>769.98659999999995</v>
      </c>
      <c r="I433" s="170">
        <f t="shared" si="107"/>
        <v>877.46358183376174</v>
      </c>
      <c r="J433" s="170">
        <f t="shared" si="108"/>
        <v>1024</v>
      </c>
      <c r="K433" s="107" t="s">
        <v>409</v>
      </c>
      <c r="L433" s="198"/>
    </row>
    <row r="434" spans="1:12" ht="33" customHeight="1" thickBot="1" x14ac:dyDescent="0.3">
      <c r="A434" s="73" t="s">
        <v>410</v>
      </c>
      <c r="B434" s="76"/>
      <c r="C434" s="4"/>
      <c r="D434" s="45"/>
      <c r="E434" s="45"/>
      <c r="F434" s="45"/>
      <c r="G434" s="45"/>
      <c r="H434" s="45"/>
      <c r="I434" s="45"/>
      <c r="J434" s="45"/>
      <c r="K434" s="72"/>
      <c r="L434" s="198"/>
    </row>
    <row r="435" spans="1:12" ht="27.75" thickBot="1" x14ac:dyDescent="0.3">
      <c r="A435" s="254">
        <v>502210</v>
      </c>
      <c r="B435" s="57" t="s">
        <v>1</v>
      </c>
      <c r="C435" s="14">
        <v>180</v>
      </c>
      <c r="D435" s="56">
        <v>244</v>
      </c>
      <c r="E435" s="56">
        <f t="shared" si="106"/>
        <v>331.84000000000003</v>
      </c>
      <c r="F435" s="172">
        <f t="shared" si="109"/>
        <v>447.98400000000009</v>
      </c>
      <c r="G435" s="227">
        <v>537.29999999999995</v>
      </c>
      <c r="H435" s="172">
        <f t="shared" si="101"/>
        <v>627.02909999999997</v>
      </c>
      <c r="I435" s="170">
        <f t="shared" ref="I435:I447" si="112">+J435/1.167</f>
        <v>714.65295629820048</v>
      </c>
      <c r="J435" s="170">
        <f t="shared" ref="J435:J447" si="113">ROUND(+H435*(1+$J$1),0)</f>
        <v>834</v>
      </c>
      <c r="K435" s="107" t="s">
        <v>411</v>
      </c>
      <c r="L435" s="198"/>
    </row>
    <row r="436" spans="1:12" ht="41.25" thickBot="1" x14ac:dyDescent="0.3">
      <c r="A436" s="254">
        <v>502220</v>
      </c>
      <c r="B436" s="57" t="s">
        <v>1</v>
      </c>
      <c r="C436" s="14">
        <v>221</v>
      </c>
      <c r="D436" s="87">
        <f>+C436*$D$1</f>
        <v>299.89999999999998</v>
      </c>
      <c r="E436" s="87">
        <f t="shared" si="106"/>
        <v>407.86399999999998</v>
      </c>
      <c r="F436" s="178">
        <v>550.1</v>
      </c>
      <c r="G436" s="233">
        <v>659.8</v>
      </c>
      <c r="H436" s="178">
        <f t="shared" si="101"/>
        <v>769.98659999999995</v>
      </c>
      <c r="I436" s="170">
        <f t="shared" si="112"/>
        <v>877.46358183376174</v>
      </c>
      <c r="J436" s="170">
        <f t="shared" si="113"/>
        <v>1024</v>
      </c>
      <c r="K436" s="107" t="s">
        <v>412</v>
      </c>
      <c r="L436" s="198"/>
    </row>
    <row r="437" spans="1:12" ht="41.25" thickBot="1" x14ac:dyDescent="0.3">
      <c r="A437" s="254">
        <v>502300</v>
      </c>
      <c r="B437" s="57" t="s">
        <v>1</v>
      </c>
      <c r="C437" s="14">
        <v>221</v>
      </c>
      <c r="D437" s="87">
        <f>+C437*$D$1</f>
        <v>299.89999999999998</v>
      </c>
      <c r="E437" s="87">
        <f t="shared" si="106"/>
        <v>407.86399999999998</v>
      </c>
      <c r="F437" s="178">
        <v>550.1</v>
      </c>
      <c r="G437" s="233">
        <v>659.8</v>
      </c>
      <c r="H437" s="178">
        <f t="shared" si="101"/>
        <v>769.98659999999995</v>
      </c>
      <c r="I437" s="170">
        <f t="shared" si="112"/>
        <v>877.46358183376174</v>
      </c>
      <c r="J437" s="170">
        <f t="shared" si="113"/>
        <v>1024</v>
      </c>
      <c r="K437" s="107" t="s">
        <v>413</v>
      </c>
      <c r="L437" s="198"/>
    </row>
    <row r="438" spans="1:12" ht="16.5" thickBot="1" x14ac:dyDescent="0.3">
      <c r="A438" s="254">
        <v>502400.1</v>
      </c>
      <c r="B438" s="57" t="s">
        <v>1</v>
      </c>
      <c r="C438" s="14">
        <v>180</v>
      </c>
      <c r="D438" s="83">
        <v>244</v>
      </c>
      <c r="E438" s="83">
        <f t="shared" si="106"/>
        <v>331.84000000000003</v>
      </c>
      <c r="F438" s="172">
        <f t="shared" si="109"/>
        <v>447.98400000000009</v>
      </c>
      <c r="G438" s="227">
        <v>537.29999999999995</v>
      </c>
      <c r="H438" s="172">
        <f t="shared" si="101"/>
        <v>627.02909999999997</v>
      </c>
      <c r="I438" s="170">
        <f t="shared" si="112"/>
        <v>714.65295629820048</v>
      </c>
      <c r="J438" s="170">
        <f t="shared" si="113"/>
        <v>834</v>
      </c>
      <c r="K438" s="107" t="s">
        <v>414</v>
      </c>
      <c r="L438" s="198"/>
    </row>
    <row r="439" spans="1:12" ht="16.5" thickBot="1" x14ac:dyDescent="0.3">
      <c r="A439" s="254">
        <v>502400.2</v>
      </c>
      <c r="B439" s="57" t="s">
        <v>1</v>
      </c>
      <c r="C439" s="14">
        <v>180</v>
      </c>
      <c r="D439" s="83">
        <v>244</v>
      </c>
      <c r="E439" s="83">
        <f t="shared" si="106"/>
        <v>331.84000000000003</v>
      </c>
      <c r="F439" s="172">
        <f t="shared" si="109"/>
        <v>447.98400000000009</v>
      </c>
      <c r="G439" s="227">
        <v>537.29999999999995</v>
      </c>
      <c r="H439" s="172">
        <f t="shared" si="101"/>
        <v>627.02909999999997</v>
      </c>
      <c r="I439" s="170">
        <f t="shared" si="112"/>
        <v>714.65295629820048</v>
      </c>
      <c r="J439" s="170">
        <f t="shared" si="113"/>
        <v>834</v>
      </c>
      <c r="K439" s="107" t="s">
        <v>415</v>
      </c>
      <c r="L439" s="198"/>
    </row>
    <row r="440" spans="1:12" ht="41.25" thickBot="1" x14ac:dyDescent="0.3">
      <c r="A440" s="254">
        <v>502500</v>
      </c>
      <c r="B440" s="57" t="s">
        <v>1</v>
      </c>
      <c r="C440" s="14">
        <v>180</v>
      </c>
      <c r="D440" s="83">
        <v>244</v>
      </c>
      <c r="E440" s="83">
        <f t="shared" si="106"/>
        <v>331.84000000000003</v>
      </c>
      <c r="F440" s="172">
        <f t="shared" si="109"/>
        <v>447.98400000000009</v>
      </c>
      <c r="G440" s="227">
        <v>537.29999999999995</v>
      </c>
      <c r="H440" s="172">
        <f t="shared" si="101"/>
        <v>627.02909999999997</v>
      </c>
      <c r="I440" s="170">
        <f t="shared" si="112"/>
        <v>714.65295629820048</v>
      </c>
      <c r="J440" s="170">
        <f t="shared" si="113"/>
        <v>834</v>
      </c>
      <c r="K440" s="107" t="s">
        <v>416</v>
      </c>
      <c r="L440" s="198"/>
    </row>
    <row r="441" spans="1:12" ht="16.5" thickBot="1" x14ac:dyDescent="0.3">
      <c r="A441" s="254">
        <v>502600</v>
      </c>
      <c r="B441" s="57" t="s">
        <v>1</v>
      </c>
      <c r="C441" s="14">
        <v>358</v>
      </c>
      <c r="D441" s="87">
        <v>485</v>
      </c>
      <c r="E441" s="87">
        <v>659.8</v>
      </c>
      <c r="F441" s="178">
        <f t="shared" si="109"/>
        <v>890.73</v>
      </c>
      <c r="G441" s="233">
        <v>1068.5999999999999</v>
      </c>
      <c r="H441" s="178">
        <f t="shared" si="101"/>
        <v>1247.0562</v>
      </c>
      <c r="I441" s="170">
        <f t="shared" si="112"/>
        <v>1421.5938303341902</v>
      </c>
      <c r="J441" s="170">
        <f t="shared" si="113"/>
        <v>1659</v>
      </c>
      <c r="K441" s="107" t="s">
        <v>417</v>
      </c>
      <c r="L441" s="198"/>
    </row>
    <row r="442" spans="1:12" ht="16.5" thickBot="1" x14ac:dyDescent="0.3">
      <c r="A442" s="254">
        <v>502700</v>
      </c>
      <c r="B442" s="57" t="s">
        <v>1</v>
      </c>
      <c r="C442" s="14">
        <v>180</v>
      </c>
      <c r="D442" s="83">
        <v>244</v>
      </c>
      <c r="E442" s="83">
        <f t="shared" si="106"/>
        <v>331.84000000000003</v>
      </c>
      <c r="F442" s="172">
        <f t="shared" si="109"/>
        <v>447.98400000000009</v>
      </c>
      <c r="G442" s="227">
        <v>537.29999999999995</v>
      </c>
      <c r="H442" s="172">
        <f t="shared" si="101"/>
        <v>627.02909999999997</v>
      </c>
      <c r="I442" s="170">
        <f t="shared" si="112"/>
        <v>714.65295629820048</v>
      </c>
      <c r="J442" s="170">
        <f t="shared" si="113"/>
        <v>834</v>
      </c>
      <c r="K442" s="107" t="s">
        <v>418</v>
      </c>
      <c r="L442" s="198"/>
    </row>
    <row r="443" spans="1:12" ht="27.75" thickBot="1" x14ac:dyDescent="0.3">
      <c r="A443" s="254">
        <v>502920</v>
      </c>
      <c r="B443" s="57" t="s">
        <v>1</v>
      </c>
      <c r="C443" s="14">
        <v>221</v>
      </c>
      <c r="D443" s="87">
        <f>+C443*$D$1</f>
        <v>299.89999999999998</v>
      </c>
      <c r="E443" s="87">
        <f t="shared" si="106"/>
        <v>407.86399999999998</v>
      </c>
      <c r="F443" s="178">
        <v>550.1</v>
      </c>
      <c r="G443" s="233">
        <v>659.8</v>
      </c>
      <c r="H443" s="178">
        <f t="shared" si="101"/>
        <v>769.98659999999995</v>
      </c>
      <c r="I443" s="170">
        <f t="shared" si="112"/>
        <v>877.46358183376174</v>
      </c>
      <c r="J443" s="170">
        <f t="shared" si="113"/>
        <v>1024</v>
      </c>
      <c r="K443" s="107" t="s">
        <v>419</v>
      </c>
      <c r="L443" s="198"/>
    </row>
    <row r="444" spans="1:12" ht="16.5" thickBot="1" x14ac:dyDescent="0.3">
      <c r="A444" s="254">
        <v>502921</v>
      </c>
      <c r="B444" s="57" t="s">
        <v>1</v>
      </c>
      <c r="C444" s="14">
        <v>180</v>
      </c>
      <c r="D444" s="83">
        <v>244</v>
      </c>
      <c r="E444" s="83">
        <f t="shared" si="106"/>
        <v>331.84000000000003</v>
      </c>
      <c r="F444" s="172">
        <f t="shared" si="109"/>
        <v>447.98400000000009</v>
      </c>
      <c r="G444" s="227">
        <v>537.29999999999995</v>
      </c>
      <c r="H444" s="172">
        <f t="shared" si="101"/>
        <v>627.02909999999997</v>
      </c>
      <c r="I444" s="170">
        <f t="shared" si="112"/>
        <v>714.65295629820048</v>
      </c>
      <c r="J444" s="170">
        <f t="shared" si="113"/>
        <v>834</v>
      </c>
      <c r="K444" s="107" t="s">
        <v>420</v>
      </c>
      <c r="L444" s="198"/>
    </row>
    <row r="445" spans="1:12" ht="68.25" thickBot="1" x14ac:dyDescent="0.3">
      <c r="A445" s="254">
        <v>502990</v>
      </c>
      <c r="B445" s="57" t="s">
        <v>1</v>
      </c>
      <c r="C445" s="14">
        <v>221</v>
      </c>
      <c r="D445" s="87">
        <f>+C445*$D$1</f>
        <v>299.89999999999998</v>
      </c>
      <c r="E445" s="87">
        <f t="shared" si="106"/>
        <v>407.86399999999998</v>
      </c>
      <c r="F445" s="178">
        <v>550.1</v>
      </c>
      <c r="G445" s="233">
        <v>659.8</v>
      </c>
      <c r="H445" s="178">
        <f t="shared" si="101"/>
        <v>769.98659999999995</v>
      </c>
      <c r="I445" s="170">
        <f t="shared" si="112"/>
        <v>877.46358183376174</v>
      </c>
      <c r="J445" s="170">
        <f t="shared" si="113"/>
        <v>1024</v>
      </c>
      <c r="K445" s="107" t="s">
        <v>421</v>
      </c>
      <c r="L445" s="198"/>
    </row>
    <row r="446" spans="1:12" ht="16.5" thickBot="1" x14ac:dyDescent="0.3">
      <c r="A446" s="254">
        <v>504020</v>
      </c>
      <c r="B446" s="57" t="s">
        <v>1</v>
      </c>
      <c r="C446" s="14">
        <v>160</v>
      </c>
      <c r="D446" s="87">
        <v>218</v>
      </c>
      <c r="E446" s="87">
        <f t="shared" si="106"/>
        <v>296.48</v>
      </c>
      <c r="F446" s="178">
        <f t="shared" si="109"/>
        <v>400.24800000000005</v>
      </c>
      <c r="G446" s="233">
        <v>479.9</v>
      </c>
      <c r="H446" s="178">
        <f t="shared" si="101"/>
        <v>560.04330000000004</v>
      </c>
      <c r="I446" s="170">
        <f t="shared" si="112"/>
        <v>638.38903170522701</v>
      </c>
      <c r="J446" s="170">
        <f t="shared" si="113"/>
        <v>745</v>
      </c>
      <c r="K446" s="107" t="s">
        <v>422</v>
      </c>
      <c r="L446" s="198"/>
    </row>
    <row r="447" spans="1:12" ht="16.5" thickBot="1" x14ac:dyDescent="0.3">
      <c r="A447" s="254">
        <v>505000.1</v>
      </c>
      <c r="B447" s="57" t="s">
        <v>1</v>
      </c>
      <c r="C447" s="14">
        <v>358</v>
      </c>
      <c r="D447" s="87">
        <v>485</v>
      </c>
      <c r="E447" s="87">
        <v>659.8</v>
      </c>
      <c r="F447" s="178">
        <f t="shared" si="109"/>
        <v>890.73</v>
      </c>
      <c r="G447" s="233">
        <v>1068.5999999999999</v>
      </c>
      <c r="H447" s="178">
        <f t="shared" si="101"/>
        <v>1247.0562</v>
      </c>
      <c r="I447" s="170">
        <f t="shared" si="112"/>
        <v>1421.5938303341902</v>
      </c>
      <c r="J447" s="170">
        <f t="shared" si="113"/>
        <v>1659</v>
      </c>
      <c r="K447" s="107" t="s">
        <v>423</v>
      </c>
      <c r="L447" s="198"/>
    </row>
    <row r="448" spans="1:12" ht="17.25" customHeight="1" thickBot="1" x14ac:dyDescent="0.3">
      <c r="A448" s="73" t="s">
        <v>424</v>
      </c>
      <c r="B448" s="76"/>
      <c r="C448" s="4"/>
      <c r="D448" s="45"/>
      <c r="E448" s="45"/>
      <c r="F448" s="45"/>
      <c r="G448" s="45"/>
      <c r="H448" s="45"/>
      <c r="I448" s="45"/>
      <c r="J448" s="45"/>
      <c r="K448" s="72"/>
      <c r="L448" s="198"/>
    </row>
    <row r="449" spans="1:12" ht="17.25" thickBot="1" x14ac:dyDescent="0.3">
      <c r="A449" s="73" t="s">
        <v>425</v>
      </c>
      <c r="B449" s="76"/>
      <c r="C449" s="4"/>
      <c r="D449" s="45"/>
      <c r="E449" s="45"/>
      <c r="F449" s="45"/>
      <c r="G449" s="45"/>
      <c r="H449" s="45"/>
      <c r="I449" s="45"/>
      <c r="J449" s="45"/>
      <c r="K449" s="72"/>
      <c r="L449" s="198"/>
    </row>
    <row r="450" spans="1:12" ht="17.25" thickBot="1" x14ac:dyDescent="0.3">
      <c r="A450" s="73" t="s">
        <v>426</v>
      </c>
      <c r="B450" s="76"/>
      <c r="C450" s="4"/>
      <c r="D450" s="45"/>
      <c r="E450" s="45"/>
      <c r="F450" s="45"/>
      <c r="G450" s="45"/>
      <c r="H450" s="45"/>
      <c r="I450" s="45"/>
      <c r="J450" s="45"/>
      <c r="K450" s="72"/>
      <c r="L450" s="198"/>
    </row>
    <row r="451" spans="1:12" ht="27.75" thickBot="1" x14ac:dyDescent="0.3">
      <c r="A451" s="254">
        <v>511111</v>
      </c>
      <c r="B451" s="57" t="s">
        <v>427</v>
      </c>
      <c r="C451" s="14">
        <v>221</v>
      </c>
      <c r="D451" s="55">
        <f t="shared" ref="D451:D461" si="114">+C451*$D$1</f>
        <v>299.89999999999998</v>
      </c>
      <c r="E451" s="55">
        <f t="shared" ref="E451:E471" si="115">+D451*1.36</f>
        <v>407.86399999999998</v>
      </c>
      <c r="F451" s="178">
        <v>550.1</v>
      </c>
      <c r="G451" s="233">
        <v>659.8</v>
      </c>
      <c r="H451" s="178">
        <f t="shared" si="101"/>
        <v>769.98659999999995</v>
      </c>
      <c r="I451" s="170">
        <f t="shared" ref="I451:I473" si="116">+J451/1.167</f>
        <v>877.46358183376174</v>
      </c>
      <c r="J451" s="170">
        <f t="shared" ref="J451:J473" si="117">ROUND(+H451*(1+$J$1),0)</f>
        <v>1024</v>
      </c>
      <c r="K451" s="107" t="s">
        <v>428</v>
      </c>
      <c r="L451" s="198"/>
    </row>
    <row r="452" spans="1:12" ht="41.25" thickBot="1" x14ac:dyDescent="0.3">
      <c r="A452" s="254">
        <v>511119</v>
      </c>
      <c r="B452" s="57" t="s">
        <v>427</v>
      </c>
      <c r="C452" s="14">
        <v>221</v>
      </c>
      <c r="D452" s="87">
        <f t="shared" si="114"/>
        <v>299.89999999999998</v>
      </c>
      <c r="E452" s="87">
        <f t="shared" si="115"/>
        <v>407.86399999999998</v>
      </c>
      <c r="F452" s="178">
        <v>550.1</v>
      </c>
      <c r="G452" s="233">
        <v>659.8</v>
      </c>
      <c r="H452" s="178">
        <f t="shared" si="101"/>
        <v>769.98659999999995</v>
      </c>
      <c r="I452" s="170">
        <f t="shared" si="116"/>
        <v>877.46358183376174</v>
      </c>
      <c r="J452" s="170">
        <f t="shared" si="117"/>
        <v>1024</v>
      </c>
      <c r="K452" s="107" t="s">
        <v>429</v>
      </c>
      <c r="L452" s="198"/>
    </row>
    <row r="453" spans="1:12" ht="27.75" thickBot="1" x14ac:dyDescent="0.3">
      <c r="A453" s="254">
        <v>511121.1</v>
      </c>
      <c r="B453" s="57" t="s">
        <v>427</v>
      </c>
      <c r="C453" s="14">
        <v>221</v>
      </c>
      <c r="D453" s="87">
        <f t="shared" si="114"/>
        <v>299.89999999999998</v>
      </c>
      <c r="E453" s="87">
        <f t="shared" si="115"/>
        <v>407.86399999999998</v>
      </c>
      <c r="F453" s="178">
        <v>550.1</v>
      </c>
      <c r="G453" s="233">
        <v>659.8</v>
      </c>
      <c r="H453" s="178">
        <f t="shared" si="101"/>
        <v>769.98659999999995</v>
      </c>
      <c r="I453" s="170">
        <f t="shared" si="116"/>
        <v>877.46358183376174</v>
      </c>
      <c r="J453" s="170">
        <f t="shared" si="117"/>
        <v>1024</v>
      </c>
      <c r="K453" s="107" t="s">
        <v>430</v>
      </c>
      <c r="L453" s="198"/>
    </row>
    <row r="454" spans="1:12" ht="27.75" thickBot="1" x14ac:dyDescent="0.3">
      <c r="A454" s="254">
        <v>511121.2</v>
      </c>
      <c r="B454" s="57" t="s">
        <v>427</v>
      </c>
      <c r="C454" s="14">
        <v>221</v>
      </c>
      <c r="D454" s="87">
        <f t="shared" si="114"/>
        <v>299.89999999999998</v>
      </c>
      <c r="E454" s="87">
        <f t="shared" si="115"/>
        <v>407.86399999999998</v>
      </c>
      <c r="F454" s="178">
        <v>550.1</v>
      </c>
      <c r="G454" s="233">
        <v>659.8</v>
      </c>
      <c r="H454" s="178">
        <f t="shared" si="101"/>
        <v>769.98659999999995</v>
      </c>
      <c r="I454" s="170">
        <f t="shared" si="116"/>
        <v>877.46358183376174</v>
      </c>
      <c r="J454" s="170">
        <f t="shared" si="117"/>
        <v>1024</v>
      </c>
      <c r="K454" s="107" t="s">
        <v>431</v>
      </c>
      <c r="L454" s="198"/>
    </row>
    <row r="455" spans="1:12" ht="27.75" thickBot="1" x14ac:dyDescent="0.3">
      <c r="A455" s="254">
        <v>511122</v>
      </c>
      <c r="B455" s="57" t="s">
        <v>427</v>
      </c>
      <c r="C455" s="14">
        <v>221</v>
      </c>
      <c r="D455" s="87">
        <f t="shared" si="114"/>
        <v>299.89999999999998</v>
      </c>
      <c r="E455" s="87">
        <f t="shared" si="115"/>
        <v>407.86399999999998</v>
      </c>
      <c r="F455" s="178">
        <v>550.1</v>
      </c>
      <c r="G455" s="233">
        <v>659.8</v>
      </c>
      <c r="H455" s="178">
        <f t="shared" si="101"/>
        <v>769.98659999999995</v>
      </c>
      <c r="I455" s="170">
        <f t="shared" si="116"/>
        <v>877.46358183376174</v>
      </c>
      <c r="J455" s="170">
        <f t="shared" si="117"/>
        <v>1024</v>
      </c>
      <c r="K455" s="107" t="s">
        <v>432</v>
      </c>
      <c r="L455" s="198"/>
    </row>
    <row r="456" spans="1:12" ht="16.5" thickBot="1" x14ac:dyDescent="0.3">
      <c r="A456" s="254">
        <v>511912</v>
      </c>
      <c r="B456" s="57" t="s">
        <v>427</v>
      </c>
      <c r="C456" s="14">
        <v>221</v>
      </c>
      <c r="D456" s="87">
        <f t="shared" si="114"/>
        <v>299.89999999999998</v>
      </c>
      <c r="E456" s="87">
        <f t="shared" si="115"/>
        <v>407.86399999999998</v>
      </c>
      <c r="F456" s="178">
        <v>550.1</v>
      </c>
      <c r="G456" s="233">
        <v>659.8</v>
      </c>
      <c r="H456" s="178">
        <f t="shared" ref="H456:H517" si="118">G456*1.167</f>
        <v>769.98659999999995</v>
      </c>
      <c r="I456" s="170">
        <f t="shared" si="116"/>
        <v>877.46358183376174</v>
      </c>
      <c r="J456" s="170">
        <f t="shared" si="117"/>
        <v>1024</v>
      </c>
      <c r="K456" s="107" t="s">
        <v>433</v>
      </c>
      <c r="L456" s="198"/>
    </row>
    <row r="457" spans="1:12" ht="27.75" thickBot="1" x14ac:dyDescent="0.3">
      <c r="A457" s="254">
        <v>511919.1</v>
      </c>
      <c r="B457" s="57" t="s">
        <v>427</v>
      </c>
      <c r="C457" s="14">
        <v>221</v>
      </c>
      <c r="D457" s="87">
        <f t="shared" si="114"/>
        <v>299.89999999999998</v>
      </c>
      <c r="E457" s="87">
        <f t="shared" si="115"/>
        <v>407.86399999999998</v>
      </c>
      <c r="F457" s="178">
        <v>550.1</v>
      </c>
      <c r="G457" s="233">
        <v>659.8</v>
      </c>
      <c r="H457" s="178">
        <f t="shared" si="118"/>
        <v>769.98659999999995</v>
      </c>
      <c r="I457" s="170">
        <f t="shared" si="116"/>
        <v>877.46358183376174</v>
      </c>
      <c r="J457" s="170">
        <f t="shared" si="117"/>
        <v>1024</v>
      </c>
      <c r="K457" s="107" t="s">
        <v>434</v>
      </c>
      <c r="L457" s="198"/>
    </row>
    <row r="458" spans="1:12" ht="27.75" thickBot="1" x14ac:dyDescent="0.3">
      <c r="A458" s="254">
        <v>511919.2</v>
      </c>
      <c r="B458" s="57" t="s">
        <v>427</v>
      </c>
      <c r="C458" s="14">
        <v>221</v>
      </c>
      <c r="D458" s="87">
        <f t="shared" si="114"/>
        <v>299.89999999999998</v>
      </c>
      <c r="E458" s="87">
        <f t="shared" si="115"/>
        <v>407.86399999999998</v>
      </c>
      <c r="F458" s="178">
        <v>550.1</v>
      </c>
      <c r="G458" s="233">
        <v>659.8</v>
      </c>
      <c r="H458" s="178">
        <f t="shared" si="118"/>
        <v>769.98659999999995</v>
      </c>
      <c r="I458" s="170">
        <f t="shared" si="116"/>
        <v>877.46358183376174</v>
      </c>
      <c r="J458" s="170">
        <f t="shared" si="117"/>
        <v>1024</v>
      </c>
      <c r="K458" s="107" t="s">
        <v>435</v>
      </c>
      <c r="L458" s="198"/>
    </row>
    <row r="459" spans="1:12" ht="27.75" thickBot="1" x14ac:dyDescent="0.3">
      <c r="A459" s="254">
        <v>511919.3</v>
      </c>
      <c r="B459" s="57" t="s">
        <v>427</v>
      </c>
      <c r="C459" s="14">
        <v>221</v>
      </c>
      <c r="D459" s="87">
        <f t="shared" si="114"/>
        <v>299.89999999999998</v>
      </c>
      <c r="E459" s="87">
        <f t="shared" si="115"/>
        <v>407.86399999999998</v>
      </c>
      <c r="F459" s="178">
        <v>550.1</v>
      </c>
      <c r="G459" s="233">
        <v>659.8</v>
      </c>
      <c r="H459" s="178">
        <f t="shared" si="118"/>
        <v>769.98659999999995</v>
      </c>
      <c r="I459" s="170">
        <f t="shared" si="116"/>
        <v>877.46358183376174</v>
      </c>
      <c r="J459" s="170">
        <f t="shared" si="117"/>
        <v>1024</v>
      </c>
      <c r="K459" s="107" t="s">
        <v>436</v>
      </c>
      <c r="L459" s="198"/>
    </row>
    <row r="460" spans="1:12" ht="27.75" thickBot="1" x14ac:dyDescent="0.3">
      <c r="A460" s="254">
        <v>511920</v>
      </c>
      <c r="B460" s="57" t="s">
        <v>427</v>
      </c>
      <c r="C460" s="14">
        <v>221</v>
      </c>
      <c r="D460" s="87">
        <f t="shared" si="114"/>
        <v>299.89999999999998</v>
      </c>
      <c r="E460" s="87">
        <f t="shared" si="115"/>
        <v>407.86399999999998</v>
      </c>
      <c r="F460" s="178">
        <v>550.1</v>
      </c>
      <c r="G460" s="233">
        <v>659.8</v>
      </c>
      <c r="H460" s="178">
        <f t="shared" si="118"/>
        <v>769.98659999999995</v>
      </c>
      <c r="I460" s="170">
        <f t="shared" si="116"/>
        <v>877.46358183376174</v>
      </c>
      <c r="J460" s="170">
        <f t="shared" si="117"/>
        <v>1024</v>
      </c>
      <c r="K460" s="107" t="s">
        <v>437</v>
      </c>
      <c r="L460" s="198"/>
    </row>
    <row r="461" spans="1:12" ht="27.75" thickBot="1" x14ac:dyDescent="0.3">
      <c r="A461" s="254">
        <v>511930</v>
      </c>
      <c r="B461" s="57" t="s">
        <v>427</v>
      </c>
      <c r="C461" s="14">
        <v>221</v>
      </c>
      <c r="D461" s="87">
        <f t="shared" si="114"/>
        <v>299.89999999999998</v>
      </c>
      <c r="E461" s="87">
        <f t="shared" si="115"/>
        <v>407.86399999999998</v>
      </c>
      <c r="F461" s="178">
        <v>550.1</v>
      </c>
      <c r="G461" s="233">
        <v>659.8</v>
      </c>
      <c r="H461" s="178">
        <f t="shared" si="118"/>
        <v>769.98659999999995</v>
      </c>
      <c r="I461" s="170">
        <f t="shared" si="116"/>
        <v>877.46358183376174</v>
      </c>
      <c r="J461" s="170">
        <f t="shared" si="117"/>
        <v>1024</v>
      </c>
      <c r="K461" s="107" t="s">
        <v>438</v>
      </c>
      <c r="L461" s="198"/>
    </row>
    <row r="462" spans="1:12" ht="27.75" thickBot="1" x14ac:dyDescent="0.3">
      <c r="A462" s="254">
        <v>511940.1</v>
      </c>
      <c r="B462" s="57" t="s">
        <v>427</v>
      </c>
      <c r="C462" s="14">
        <v>275</v>
      </c>
      <c r="D462" s="87">
        <v>373</v>
      </c>
      <c r="E462" s="87">
        <f t="shared" si="115"/>
        <v>507.28000000000003</v>
      </c>
      <c r="F462" s="178">
        <v>698.4</v>
      </c>
      <c r="G462" s="233">
        <v>838.07999999999993</v>
      </c>
      <c r="H462" s="178">
        <f t="shared" si="118"/>
        <v>978.03935999999999</v>
      </c>
      <c r="I462" s="170">
        <f t="shared" si="116"/>
        <v>1114.8243359040273</v>
      </c>
      <c r="J462" s="170">
        <f t="shared" si="117"/>
        <v>1301</v>
      </c>
      <c r="K462" s="107" t="s">
        <v>439</v>
      </c>
      <c r="L462" s="198"/>
    </row>
    <row r="463" spans="1:12" ht="27.75" thickBot="1" x14ac:dyDescent="0.3">
      <c r="A463" s="254">
        <v>511940.2</v>
      </c>
      <c r="B463" s="57" t="s">
        <v>427</v>
      </c>
      <c r="C463" s="14">
        <v>358</v>
      </c>
      <c r="D463" s="87">
        <v>485</v>
      </c>
      <c r="E463" s="87">
        <v>659.8</v>
      </c>
      <c r="F463" s="178">
        <f t="shared" ref="F463:F473" si="119">+E463*$F$1</f>
        <v>890.73</v>
      </c>
      <c r="G463" s="233">
        <v>1068.5999999999999</v>
      </c>
      <c r="H463" s="178">
        <f t="shared" si="118"/>
        <v>1247.0562</v>
      </c>
      <c r="I463" s="170">
        <f t="shared" si="116"/>
        <v>1421.5938303341902</v>
      </c>
      <c r="J463" s="170">
        <f t="shared" si="117"/>
        <v>1659</v>
      </c>
      <c r="K463" s="107" t="s">
        <v>440</v>
      </c>
      <c r="L463" s="198"/>
    </row>
    <row r="464" spans="1:12" ht="41.25" thickBot="1" x14ac:dyDescent="0.3">
      <c r="A464" s="254">
        <v>511950</v>
      </c>
      <c r="B464" s="57" t="s">
        <v>427</v>
      </c>
      <c r="C464" s="14">
        <v>221</v>
      </c>
      <c r="D464" s="87">
        <f>+C464*$D$1</f>
        <v>299.89999999999998</v>
      </c>
      <c r="E464" s="87">
        <f t="shared" si="115"/>
        <v>407.86399999999998</v>
      </c>
      <c r="F464" s="178">
        <v>550.1</v>
      </c>
      <c r="G464" s="233">
        <v>659.8</v>
      </c>
      <c r="H464" s="178">
        <f t="shared" si="118"/>
        <v>769.98659999999995</v>
      </c>
      <c r="I464" s="170">
        <f t="shared" si="116"/>
        <v>877.46358183376174</v>
      </c>
      <c r="J464" s="170">
        <f t="shared" si="117"/>
        <v>1024</v>
      </c>
      <c r="K464" s="107" t="s">
        <v>441</v>
      </c>
      <c r="L464" s="198"/>
    </row>
    <row r="465" spans="1:12" ht="41.25" thickBot="1" x14ac:dyDescent="0.3">
      <c r="A465" s="254">
        <v>511960.1</v>
      </c>
      <c r="B465" s="57" t="s">
        <v>427</v>
      </c>
      <c r="C465" s="14">
        <v>221</v>
      </c>
      <c r="D465" s="87">
        <f>+C465*$D$1</f>
        <v>299.89999999999998</v>
      </c>
      <c r="E465" s="87">
        <f t="shared" si="115"/>
        <v>407.86399999999998</v>
      </c>
      <c r="F465" s="178">
        <v>550.1</v>
      </c>
      <c r="G465" s="233">
        <v>659.8</v>
      </c>
      <c r="H465" s="178">
        <f t="shared" si="118"/>
        <v>769.98659999999995</v>
      </c>
      <c r="I465" s="170">
        <f t="shared" si="116"/>
        <v>877.46358183376174</v>
      </c>
      <c r="J465" s="170">
        <f t="shared" si="117"/>
        <v>1024</v>
      </c>
      <c r="K465" s="107" t="s">
        <v>442</v>
      </c>
      <c r="L465" s="198"/>
    </row>
    <row r="466" spans="1:12" ht="41.25" thickBot="1" x14ac:dyDescent="0.3">
      <c r="A466" s="254">
        <v>511960.2</v>
      </c>
      <c r="B466" s="57" t="s">
        <v>427</v>
      </c>
      <c r="C466" s="14">
        <v>221</v>
      </c>
      <c r="D466" s="87">
        <f>+C466*$D$1</f>
        <v>299.89999999999998</v>
      </c>
      <c r="E466" s="87">
        <f t="shared" si="115"/>
        <v>407.86399999999998</v>
      </c>
      <c r="F466" s="178">
        <v>550.1</v>
      </c>
      <c r="G466" s="233">
        <v>659.8</v>
      </c>
      <c r="H466" s="178">
        <f t="shared" si="118"/>
        <v>769.98659999999995</v>
      </c>
      <c r="I466" s="170">
        <f t="shared" si="116"/>
        <v>877.46358183376174</v>
      </c>
      <c r="J466" s="170">
        <f t="shared" si="117"/>
        <v>1024</v>
      </c>
      <c r="K466" s="107" t="s">
        <v>443</v>
      </c>
      <c r="L466" s="198"/>
    </row>
    <row r="467" spans="1:12" ht="41.25" thickBot="1" x14ac:dyDescent="0.3">
      <c r="A467" s="254">
        <v>511970</v>
      </c>
      <c r="B467" s="57" t="s">
        <v>427</v>
      </c>
      <c r="C467" s="14">
        <v>221</v>
      </c>
      <c r="D467" s="87">
        <f>+C467*$D$1</f>
        <v>299.89999999999998</v>
      </c>
      <c r="E467" s="87">
        <f t="shared" si="115"/>
        <v>407.86399999999998</v>
      </c>
      <c r="F467" s="178">
        <v>550.1</v>
      </c>
      <c r="G467" s="233">
        <v>659.8</v>
      </c>
      <c r="H467" s="178">
        <f t="shared" si="118"/>
        <v>769.98659999999995</v>
      </c>
      <c r="I467" s="170">
        <f t="shared" si="116"/>
        <v>877.46358183376174</v>
      </c>
      <c r="J467" s="170">
        <f t="shared" si="117"/>
        <v>1024</v>
      </c>
      <c r="K467" s="107" t="s">
        <v>444</v>
      </c>
      <c r="L467" s="198"/>
    </row>
    <row r="468" spans="1:12" ht="27.75" thickBot="1" x14ac:dyDescent="0.3">
      <c r="A468" s="254">
        <v>511990.1</v>
      </c>
      <c r="B468" s="57" t="s">
        <v>427</v>
      </c>
      <c r="C468" s="14">
        <v>221</v>
      </c>
      <c r="D468" s="87">
        <f>+C468*$D$1</f>
        <v>299.89999999999998</v>
      </c>
      <c r="E468" s="87">
        <f t="shared" si="115"/>
        <v>407.86399999999998</v>
      </c>
      <c r="F468" s="178">
        <v>550.1</v>
      </c>
      <c r="G468" s="233">
        <v>659.8</v>
      </c>
      <c r="H468" s="178">
        <f t="shared" si="118"/>
        <v>769.98659999999995</v>
      </c>
      <c r="I468" s="170">
        <f t="shared" si="116"/>
        <v>877.46358183376174</v>
      </c>
      <c r="J468" s="170">
        <f t="shared" si="117"/>
        <v>1024</v>
      </c>
      <c r="K468" s="107" t="s">
        <v>445</v>
      </c>
      <c r="L468" s="198"/>
    </row>
    <row r="469" spans="1:12" ht="27.75" thickBot="1" x14ac:dyDescent="0.3">
      <c r="A469" s="254">
        <v>511990.2</v>
      </c>
      <c r="B469" s="57" t="s">
        <v>427</v>
      </c>
      <c r="C469" s="14">
        <v>180</v>
      </c>
      <c r="D469" s="83">
        <v>244</v>
      </c>
      <c r="E469" s="83">
        <f t="shared" si="115"/>
        <v>331.84000000000003</v>
      </c>
      <c r="F469" s="172">
        <f t="shared" si="119"/>
        <v>447.98400000000009</v>
      </c>
      <c r="G469" s="227">
        <v>537.29999999999995</v>
      </c>
      <c r="H469" s="172">
        <f t="shared" si="118"/>
        <v>627.02909999999997</v>
      </c>
      <c r="I469" s="170">
        <f t="shared" si="116"/>
        <v>714.65295629820048</v>
      </c>
      <c r="J469" s="170">
        <f t="shared" si="117"/>
        <v>834</v>
      </c>
      <c r="K469" s="107" t="s">
        <v>446</v>
      </c>
      <c r="L469" s="198"/>
    </row>
    <row r="470" spans="1:12" ht="27.75" thickBot="1" x14ac:dyDescent="0.3">
      <c r="A470" s="254">
        <v>511990.3</v>
      </c>
      <c r="B470" s="57" t="s">
        <v>447</v>
      </c>
      <c r="C470" s="14">
        <v>358</v>
      </c>
      <c r="D470" s="87">
        <v>485</v>
      </c>
      <c r="E470" s="87">
        <v>659.8</v>
      </c>
      <c r="F470" s="178">
        <f t="shared" si="119"/>
        <v>890.73</v>
      </c>
      <c r="G470" s="233">
        <v>1068.5999999999999</v>
      </c>
      <c r="H470" s="178">
        <f t="shared" si="118"/>
        <v>1247.0562</v>
      </c>
      <c r="I470" s="170">
        <f t="shared" si="116"/>
        <v>1421.5938303341902</v>
      </c>
      <c r="J470" s="170">
        <f t="shared" si="117"/>
        <v>1659</v>
      </c>
      <c r="K470" s="107" t="s">
        <v>448</v>
      </c>
      <c r="L470" s="198"/>
    </row>
    <row r="471" spans="1:12" ht="27.75" thickBot="1" x14ac:dyDescent="0.3">
      <c r="A471" s="254">
        <v>511990.4</v>
      </c>
      <c r="B471" s="57" t="s">
        <v>447</v>
      </c>
      <c r="C471" s="14">
        <v>180</v>
      </c>
      <c r="D471" s="83">
        <v>244</v>
      </c>
      <c r="E471" s="83">
        <f t="shared" si="115"/>
        <v>331.84000000000003</v>
      </c>
      <c r="F471" s="172">
        <f t="shared" si="119"/>
        <v>447.98400000000009</v>
      </c>
      <c r="G471" s="227">
        <v>537.29999999999995</v>
      </c>
      <c r="H471" s="172">
        <f t="shared" si="118"/>
        <v>627.02909999999997</v>
      </c>
      <c r="I471" s="170">
        <f t="shared" si="116"/>
        <v>714.65295629820048</v>
      </c>
      <c r="J471" s="170">
        <f t="shared" si="117"/>
        <v>834</v>
      </c>
      <c r="K471" s="107" t="s">
        <v>449</v>
      </c>
      <c r="L471" s="198"/>
    </row>
    <row r="472" spans="1:12" ht="41.25" thickBot="1" x14ac:dyDescent="0.3">
      <c r="A472" s="254">
        <v>511990.5</v>
      </c>
      <c r="B472" s="57" t="s">
        <v>427</v>
      </c>
      <c r="C472" s="14">
        <v>358</v>
      </c>
      <c r="D472" s="87">
        <v>485</v>
      </c>
      <c r="E472" s="87">
        <v>659.8</v>
      </c>
      <c r="F472" s="178">
        <f t="shared" si="119"/>
        <v>890.73</v>
      </c>
      <c r="G472" s="233">
        <v>1068.5999999999999</v>
      </c>
      <c r="H472" s="178">
        <f t="shared" si="118"/>
        <v>1247.0562</v>
      </c>
      <c r="I472" s="170">
        <f t="shared" si="116"/>
        <v>1421.5938303341902</v>
      </c>
      <c r="J472" s="170">
        <f t="shared" si="117"/>
        <v>1659</v>
      </c>
      <c r="K472" s="107" t="s">
        <v>450</v>
      </c>
      <c r="L472" s="198"/>
    </row>
    <row r="473" spans="1:12" ht="27.75" thickBot="1" x14ac:dyDescent="0.3">
      <c r="A473" s="253">
        <v>511990.6</v>
      </c>
      <c r="B473" s="66" t="s">
        <v>447</v>
      </c>
      <c r="C473" s="17">
        <v>358</v>
      </c>
      <c r="D473" s="159">
        <v>485</v>
      </c>
      <c r="E473" s="159">
        <v>659.8</v>
      </c>
      <c r="F473" s="179">
        <f t="shared" si="119"/>
        <v>890.73</v>
      </c>
      <c r="G473" s="234">
        <v>1068.5999999999999</v>
      </c>
      <c r="H473" s="179">
        <f t="shared" si="118"/>
        <v>1247.0562</v>
      </c>
      <c r="I473" s="170">
        <f t="shared" si="116"/>
        <v>1421.5938303341902</v>
      </c>
      <c r="J473" s="170">
        <f t="shared" si="117"/>
        <v>1659</v>
      </c>
      <c r="K473" s="108" t="s">
        <v>451</v>
      </c>
      <c r="L473" s="198"/>
    </row>
    <row r="474" spans="1:12" ht="16.5" x14ac:dyDescent="0.25">
      <c r="A474" s="211" t="s">
        <v>1016</v>
      </c>
      <c r="B474" s="43"/>
      <c r="C474" s="43"/>
      <c r="D474" s="43"/>
      <c r="E474" s="43"/>
      <c r="F474" s="43"/>
      <c r="G474" s="43"/>
      <c r="H474" s="43"/>
      <c r="I474" s="43"/>
      <c r="J474" s="43"/>
      <c r="K474" s="197"/>
      <c r="L474" s="198"/>
    </row>
    <row r="475" spans="1:12" ht="17.25" thickBot="1" x14ac:dyDescent="0.3">
      <c r="A475" s="212" t="s">
        <v>1017</v>
      </c>
      <c r="B475" s="164"/>
      <c r="C475" s="165"/>
      <c r="D475" s="164"/>
      <c r="E475" s="164"/>
      <c r="F475" s="164"/>
      <c r="G475" s="164"/>
      <c r="H475" s="164"/>
      <c r="I475" s="164"/>
      <c r="J475" s="164"/>
      <c r="K475" s="166"/>
      <c r="L475" s="198"/>
    </row>
    <row r="476" spans="1:12" ht="16.5" thickBot="1" x14ac:dyDescent="0.3">
      <c r="A476" s="254">
        <v>512111</v>
      </c>
      <c r="B476" s="57" t="s">
        <v>1</v>
      </c>
      <c r="C476" s="26">
        <v>221</v>
      </c>
      <c r="D476" s="87">
        <f t="shared" ref="D476:D498" si="120">+C476*$D$1</f>
        <v>299.89999999999998</v>
      </c>
      <c r="E476" s="87">
        <f t="shared" ref="E476:E541" si="121">+D476*1.36</f>
        <v>407.86399999999998</v>
      </c>
      <c r="F476" s="178">
        <v>550.1</v>
      </c>
      <c r="G476" s="233">
        <v>659.8</v>
      </c>
      <c r="H476" s="178">
        <f t="shared" si="118"/>
        <v>769.98659999999995</v>
      </c>
      <c r="I476" s="170">
        <f t="shared" ref="I476:I498" si="122">+J476/1.167</f>
        <v>877.46358183376174</v>
      </c>
      <c r="J476" s="170">
        <f t="shared" ref="J476:J498" si="123">ROUND(+H476*(1+$J$1),0)</f>
        <v>1024</v>
      </c>
      <c r="K476" s="107" t="s">
        <v>452</v>
      </c>
      <c r="L476" s="198"/>
    </row>
    <row r="477" spans="1:12" ht="16.5" thickBot="1" x14ac:dyDescent="0.3">
      <c r="A477" s="254">
        <v>512112</v>
      </c>
      <c r="B477" s="57" t="s">
        <v>1</v>
      </c>
      <c r="C477" s="14">
        <v>221</v>
      </c>
      <c r="D477" s="87">
        <f t="shared" si="120"/>
        <v>299.89999999999998</v>
      </c>
      <c r="E477" s="87">
        <f t="shared" si="121"/>
        <v>407.86399999999998</v>
      </c>
      <c r="F477" s="178">
        <v>550.1</v>
      </c>
      <c r="G477" s="233">
        <v>659.8</v>
      </c>
      <c r="H477" s="178">
        <f t="shared" si="118"/>
        <v>769.98659999999995</v>
      </c>
      <c r="I477" s="170">
        <f t="shared" si="122"/>
        <v>877.46358183376174</v>
      </c>
      <c r="J477" s="170">
        <f t="shared" si="123"/>
        <v>1024</v>
      </c>
      <c r="K477" s="107" t="s">
        <v>453</v>
      </c>
      <c r="L477" s="198"/>
    </row>
    <row r="478" spans="1:12" ht="27.75" thickBot="1" x14ac:dyDescent="0.3">
      <c r="A478" s="254">
        <v>512121</v>
      </c>
      <c r="B478" s="57" t="s">
        <v>1</v>
      </c>
      <c r="C478" s="14">
        <v>221</v>
      </c>
      <c r="D478" s="87">
        <f t="shared" si="120"/>
        <v>299.89999999999998</v>
      </c>
      <c r="E478" s="87">
        <f t="shared" si="121"/>
        <v>407.86399999999998</v>
      </c>
      <c r="F478" s="178">
        <v>550.1</v>
      </c>
      <c r="G478" s="233">
        <v>659.8</v>
      </c>
      <c r="H478" s="178">
        <f t="shared" si="118"/>
        <v>769.98659999999995</v>
      </c>
      <c r="I478" s="170">
        <f t="shared" si="122"/>
        <v>877.46358183376174</v>
      </c>
      <c r="J478" s="170">
        <f t="shared" si="123"/>
        <v>1024</v>
      </c>
      <c r="K478" s="107" t="s">
        <v>454</v>
      </c>
      <c r="L478" s="198"/>
    </row>
    <row r="479" spans="1:12" ht="27.75" thickBot="1" x14ac:dyDescent="0.3">
      <c r="A479" s="254">
        <v>512129</v>
      </c>
      <c r="B479" s="57" t="s">
        <v>1</v>
      </c>
      <c r="C479" s="14">
        <v>221</v>
      </c>
      <c r="D479" s="87">
        <f t="shared" si="120"/>
        <v>299.89999999999998</v>
      </c>
      <c r="E479" s="87">
        <f t="shared" si="121"/>
        <v>407.86399999999998</v>
      </c>
      <c r="F479" s="178">
        <v>550.1</v>
      </c>
      <c r="G479" s="233">
        <v>659.8</v>
      </c>
      <c r="H479" s="178">
        <f t="shared" si="118"/>
        <v>769.98659999999995</v>
      </c>
      <c r="I479" s="170">
        <f t="shared" si="122"/>
        <v>877.46358183376174</v>
      </c>
      <c r="J479" s="170">
        <f t="shared" si="123"/>
        <v>1024</v>
      </c>
      <c r="K479" s="107" t="s">
        <v>455</v>
      </c>
      <c r="L479" s="198"/>
    </row>
    <row r="480" spans="1:12" ht="27.75" thickBot="1" x14ac:dyDescent="0.3">
      <c r="A480" s="254">
        <v>512211</v>
      </c>
      <c r="B480" s="57" t="s">
        <v>1</v>
      </c>
      <c r="C480" s="14">
        <v>221</v>
      </c>
      <c r="D480" s="87">
        <f t="shared" si="120"/>
        <v>299.89999999999998</v>
      </c>
      <c r="E480" s="87">
        <f t="shared" si="121"/>
        <v>407.86399999999998</v>
      </c>
      <c r="F480" s="178">
        <v>550.1</v>
      </c>
      <c r="G480" s="233">
        <v>659.8</v>
      </c>
      <c r="H480" s="178">
        <f t="shared" si="118"/>
        <v>769.98659999999995</v>
      </c>
      <c r="I480" s="170">
        <f t="shared" si="122"/>
        <v>877.46358183376174</v>
      </c>
      <c r="J480" s="170">
        <f t="shared" si="123"/>
        <v>1024</v>
      </c>
      <c r="K480" s="107" t="s">
        <v>456</v>
      </c>
      <c r="L480" s="198"/>
    </row>
    <row r="481" spans="1:12" ht="27.75" thickBot="1" x14ac:dyDescent="0.3">
      <c r="A481" s="254">
        <v>512212.1</v>
      </c>
      <c r="B481" s="57" t="s">
        <v>1</v>
      </c>
      <c r="C481" s="14">
        <v>221</v>
      </c>
      <c r="D481" s="87">
        <f t="shared" si="120"/>
        <v>299.89999999999998</v>
      </c>
      <c r="E481" s="87">
        <f t="shared" si="121"/>
        <v>407.86399999999998</v>
      </c>
      <c r="F481" s="178">
        <v>550.1</v>
      </c>
      <c r="G481" s="233">
        <v>659.8</v>
      </c>
      <c r="H481" s="178">
        <f t="shared" si="118"/>
        <v>769.98659999999995</v>
      </c>
      <c r="I481" s="170">
        <f t="shared" si="122"/>
        <v>877.46358183376174</v>
      </c>
      <c r="J481" s="170">
        <f t="shared" si="123"/>
        <v>1024</v>
      </c>
      <c r="K481" s="107" t="s">
        <v>457</v>
      </c>
      <c r="L481" s="198"/>
    </row>
    <row r="482" spans="1:12" ht="16.5" thickBot="1" x14ac:dyDescent="0.3">
      <c r="A482" s="254">
        <v>512212.2</v>
      </c>
      <c r="B482" s="57" t="s">
        <v>1</v>
      </c>
      <c r="C482" s="14">
        <v>221</v>
      </c>
      <c r="D482" s="87">
        <f t="shared" si="120"/>
        <v>299.89999999999998</v>
      </c>
      <c r="E482" s="87">
        <f t="shared" si="121"/>
        <v>407.86399999999998</v>
      </c>
      <c r="F482" s="178">
        <v>550.1</v>
      </c>
      <c r="G482" s="233">
        <v>659.8</v>
      </c>
      <c r="H482" s="178">
        <f t="shared" si="118"/>
        <v>769.98659999999995</v>
      </c>
      <c r="I482" s="170">
        <f t="shared" si="122"/>
        <v>877.46358183376174</v>
      </c>
      <c r="J482" s="170">
        <f t="shared" si="123"/>
        <v>1024</v>
      </c>
      <c r="K482" s="107" t="s">
        <v>458</v>
      </c>
      <c r="L482" s="198"/>
    </row>
    <row r="483" spans="1:12" ht="16.5" thickBot="1" x14ac:dyDescent="0.3">
      <c r="A483" s="254">
        <v>512221</v>
      </c>
      <c r="B483" s="57" t="s">
        <v>1</v>
      </c>
      <c r="C483" s="14">
        <v>221</v>
      </c>
      <c r="D483" s="87">
        <f t="shared" si="120"/>
        <v>299.89999999999998</v>
      </c>
      <c r="E483" s="87">
        <f t="shared" si="121"/>
        <v>407.86399999999998</v>
      </c>
      <c r="F483" s="178">
        <v>550.1</v>
      </c>
      <c r="G483" s="233">
        <v>659.8</v>
      </c>
      <c r="H483" s="178">
        <f t="shared" si="118"/>
        <v>769.98659999999995</v>
      </c>
      <c r="I483" s="170">
        <f t="shared" si="122"/>
        <v>877.46358183376174</v>
      </c>
      <c r="J483" s="170">
        <f t="shared" si="123"/>
        <v>1024</v>
      </c>
      <c r="K483" s="107" t="s">
        <v>459</v>
      </c>
      <c r="L483" s="198"/>
    </row>
    <row r="484" spans="1:12" ht="16.5" thickBot="1" x14ac:dyDescent="0.3">
      <c r="A484" s="254">
        <v>512229</v>
      </c>
      <c r="B484" s="57" t="s">
        <v>1</v>
      </c>
      <c r="C484" s="14">
        <v>221</v>
      </c>
      <c r="D484" s="87">
        <f t="shared" si="120"/>
        <v>299.89999999999998</v>
      </c>
      <c r="E484" s="87">
        <f t="shared" si="121"/>
        <v>407.86399999999998</v>
      </c>
      <c r="F484" s="178">
        <v>550.1</v>
      </c>
      <c r="G484" s="233">
        <v>659.8</v>
      </c>
      <c r="H484" s="178">
        <f t="shared" si="118"/>
        <v>769.98659999999995</v>
      </c>
      <c r="I484" s="170">
        <f t="shared" si="122"/>
        <v>877.46358183376174</v>
      </c>
      <c r="J484" s="170">
        <f t="shared" si="123"/>
        <v>1024</v>
      </c>
      <c r="K484" s="107" t="s">
        <v>460</v>
      </c>
      <c r="L484" s="198"/>
    </row>
    <row r="485" spans="1:12" ht="27.75" thickBot="1" x14ac:dyDescent="0.3">
      <c r="A485" s="254">
        <v>512230</v>
      </c>
      <c r="B485" s="57" t="s">
        <v>1</v>
      </c>
      <c r="C485" s="14">
        <v>221</v>
      </c>
      <c r="D485" s="87">
        <f t="shared" si="120"/>
        <v>299.89999999999998</v>
      </c>
      <c r="E485" s="87">
        <f t="shared" si="121"/>
        <v>407.86399999999998</v>
      </c>
      <c r="F485" s="178">
        <v>550.1</v>
      </c>
      <c r="G485" s="233">
        <v>659.8</v>
      </c>
      <c r="H485" s="178">
        <f t="shared" si="118"/>
        <v>769.98659999999995</v>
      </c>
      <c r="I485" s="170">
        <f t="shared" si="122"/>
        <v>877.46358183376174</v>
      </c>
      <c r="J485" s="170">
        <f t="shared" si="123"/>
        <v>1024</v>
      </c>
      <c r="K485" s="107" t="s">
        <v>461</v>
      </c>
      <c r="L485" s="198"/>
    </row>
    <row r="486" spans="1:12" ht="27.75" thickBot="1" x14ac:dyDescent="0.3">
      <c r="A486" s="254">
        <v>512240</v>
      </c>
      <c r="B486" s="57" t="s">
        <v>1</v>
      </c>
      <c r="C486" s="14">
        <v>221</v>
      </c>
      <c r="D486" s="87">
        <f t="shared" si="120"/>
        <v>299.89999999999998</v>
      </c>
      <c r="E486" s="87">
        <f t="shared" si="121"/>
        <v>407.86399999999998</v>
      </c>
      <c r="F486" s="178">
        <v>550.1</v>
      </c>
      <c r="G486" s="233">
        <v>659.8</v>
      </c>
      <c r="H486" s="178">
        <f t="shared" si="118"/>
        <v>769.98659999999995</v>
      </c>
      <c r="I486" s="170">
        <f t="shared" si="122"/>
        <v>877.46358183376174</v>
      </c>
      <c r="J486" s="170">
        <f t="shared" si="123"/>
        <v>1024</v>
      </c>
      <c r="K486" s="107" t="s">
        <v>462</v>
      </c>
      <c r="L486" s="198"/>
    </row>
    <row r="487" spans="1:12" ht="27.75" thickBot="1" x14ac:dyDescent="0.3">
      <c r="A487" s="254">
        <v>512250</v>
      </c>
      <c r="B487" s="57" t="s">
        <v>1</v>
      </c>
      <c r="C487" s="14">
        <v>221</v>
      </c>
      <c r="D487" s="87">
        <f t="shared" si="120"/>
        <v>299.89999999999998</v>
      </c>
      <c r="E487" s="87">
        <f t="shared" si="121"/>
        <v>407.86399999999998</v>
      </c>
      <c r="F487" s="178">
        <v>550.1</v>
      </c>
      <c r="G487" s="233">
        <v>659.8</v>
      </c>
      <c r="H487" s="178">
        <f t="shared" si="118"/>
        <v>769.98659999999995</v>
      </c>
      <c r="I487" s="170">
        <f t="shared" si="122"/>
        <v>877.46358183376174</v>
      </c>
      <c r="J487" s="170">
        <f t="shared" si="123"/>
        <v>1024</v>
      </c>
      <c r="K487" s="107" t="s">
        <v>463</v>
      </c>
      <c r="L487" s="198"/>
    </row>
    <row r="488" spans="1:12" ht="41.25" thickBot="1" x14ac:dyDescent="0.3">
      <c r="A488" s="254">
        <v>512260</v>
      </c>
      <c r="B488" s="57" t="s">
        <v>1</v>
      </c>
      <c r="C488" s="14">
        <v>221</v>
      </c>
      <c r="D488" s="87">
        <f t="shared" si="120"/>
        <v>299.89999999999998</v>
      </c>
      <c r="E488" s="87">
        <f t="shared" si="121"/>
        <v>407.86399999999998</v>
      </c>
      <c r="F488" s="178">
        <v>550.1</v>
      </c>
      <c r="G488" s="233">
        <v>659.8</v>
      </c>
      <c r="H488" s="178">
        <f t="shared" si="118"/>
        <v>769.98659999999995</v>
      </c>
      <c r="I488" s="170">
        <f t="shared" si="122"/>
        <v>877.46358183376174</v>
      </c>
      <c r="J488" s="170">
        <f t="shared" si="123"/>
        <v>1024</v>
      </c>
      <c r="K488" s="107" t="s">
        <v>464</v>
      </c>
      <c r="L488" s="198"/>
    </row>
    <row r="489" spans="1:12" ht="16.5" thickBot="1" x14ac:dyDescent="0.3">
      <c r="A489" s="254">
        <v>512271</v>
      </c>
      <c r="B489" s="57" t="s">
        <v>1</v>
      </c>
      <c r="C489" s="14">
        <v>221</v>
      </c>
      <c r="D489" s="87">
        <f t="shared" si="120"/>
        <v>299.89999999999998</v>
      </c>
      <c r="E489" s="87">
        <f t="shared" si="121"/>
        <v>407.86399999999998</v>
      </c>
      <c r="F489" s="178">
        <v>550.1</v>
      </c>
      <c r="G489" s="233">
        <v>659.8</v>
      </c>
      <c r="H489" s="178">
        <f t="shared" si="118"/>
        <v>769.98659999999995</v>
      </c>
      <c r="I489" s="170">
        <f t="shared" si="122"/>
        <v>877.46358183376174</v>
      </c>
      <c r="J489" s="170">
        <f t="shared" si="123"/>
        <v>1024</v>
      </c>
      <c r="K489" s="107" t="s">
        <v>465</v>
      </c>
      <c r="L489" s="198"/>
    </row>
    <row r="490" spans="1:12" ht="27.75" thickBot="1" x14ac:dyDescent="0.3">
      <c r="A490" s="254">
        <v>512272</v>
      </c>
      <c r="B490" s="57" t="s">
        <v>1</v>
      </c>
      <c r="C490" s="14">
        <v>221</v>
      </c>
      <c r="D490" s="87">
        <f t="shared" si="120"/>
        <v>299.89999999999998</v>
      </c>
      <c r="E490" s="87">
        <f t="shared" si="121"/>
        <v>407.86399999999998</v>
      </c>
      <c r="F490" s="178">
        <v>550.1</v>
      </c>
      <c r="G490" s="233">
        <v>659.8</v>
      </c>
      <c r="H490" s="178">
        <f t="shared" si="118"/>
        <v>769.98659999999995</v>
      </c>
      <c r="I490" s="170">
        <f t="shared" si="122"/>
        <v>877.46358183376174</v>
      </c>
      <c r="J490" s="170">
        <f t="shared" si="123"/>
        <v>1024</v>
      </c>
      <c r="K490" s="107" t="s">
        <v>466</v>
      </c>
      <c r="L490" s="198"/>
    </row>
    <row r="491" spans="1:12" ht="54.75" thickBot="1" x14ac:dyDescent="0.3">
      <c r="A491" s="254">
        <v>512273</v>
      </c>
      <c r="B491" s="57" t="s">
        <v>1</v>
      </c>
      <c r="C491" s="14">
        <v>221</v>
      </c>
      <c r="D491" s="87">
        <f t="shared" si="120"/>
        <v>299.89999999999998</v>
      </c>
      <c r="E491" s="87">
        <f t="shared" si="121"/>
        <v>407.86399999999998</v>
      </c>
      <c r="F491" s="178">
        <v>550.1</v>
      </c>
      <c r="G491" s="233">
        <v>659.8</v>
      </c>
      <c r="H491" s="178">
        <f t="shared" si="118"/>
        <v>769.98659999999995</v>
      </c>
      <c r="I491" s="170">
        <f t="shared" si="122"/>
        <v>877.46358183376174</v>
      </c>
      <c r="J491" s="170">
        <f t="shared" si="123"/>
        <v>1024</v>
      </c>
      <c r="K491" s="107" t="s">
        <v>467</v>
      </c>
      <c r="L491" s="198"/>
    </row>
    <row r="492" spans="1:12" ht="27.75" thickBot="1" x14ac:dyDescent="0.3">
      <c r="A492" s="254">
        <v>512279</v>
      </c>
      <c r="B492" s="57" t="s">
        <v>1</v>
      </c>
      <c r="C492" s="14">
        <v>221</v>
      </c>
      <c r="D492" s="87">
        <f t="shared" si="120"/>
        <v>299.89999999999998</v>
      </c>
      <c r="E492" s="87">
        <f t="shared" si="121"/>
        <v>407.86399999999998</v>
      </c>
      <c r="F492" s="178">
        <v>550.1</v>
      </c>
      <c r="G492" s="233">
        <v>659.8</v>
      </c>
      <c r="H492" s="178">
        <f t="shared" si="118"/>
        <v>769.98659999999995</v>
      </c>
      <c r="I492" s="170">
        <f t="shared" si="122"/>
        <v>877.46358183376174</v>
      </c>
      <c r="J492" s="170">
        <f t="shared" si="123"/>
        <v>1024</v>
      </c>
      <c r="K492" s="107" t="s">
        <v>468</v>
      </c>
      <c r="L492" s="198"/>
    </row>
    <row r="493" spans="1:12" ht="27.75" thickBot="1" x14ac:dyDescent="0.3">
      <c r="A493" s="254">
        <v>512292</v>
      </c>
      <c r="B493" s="57" t="s">
        <v>1</v>
      </c>
      <c r="C493" s="14">
        <v>221</v>
      </c>
      <c r="D493" s="87">
        <f t="shared" si="120"/>
        <v>299.89999999999998</v>
      </c>
      <c r="E493" s="87">
        <f t="shared" si="121"/>
        <v>407.86399999999998</v>
      </c>
      <c r="F493" s="178">
        <v>550.1</v>
      </c>
      <c r="G493" s="233">
        <v>659.8</v>
      </c>
      <c r="H493" s="178">
        <f t="shared" si="118"/>
        <v>769.98659999999995</v>
      </c>
      <c r="I493" s="170">
        <f t="shared" si="122"/>
        <v>877.46358183376174</v>
      </c>
      <c r="J493" s="170">
        <f t="shared" si="123"/>
        <v>1024</v>
      </c>
      <c r="K493" s="107" t="s">
        <v>469</v>
      </c>
      <c r="L493" s="198"/>
    </row>
    <row r="494" spans="1:12" ht="27.75" thickBot="1" x14ac:dyDescent="0.3">
      <c r="A494" s="254">
        <v>512299.1</v>
      </c>
      <c r="B494" s="57" t="s">
        <v>1</v>
      </c>
      <c r="C494" s="14">
        <v>221</v>
      </c>
      <c r="D494" s="87">
        <f t="shared" si="120"/>
        <v>299.89999999999998</v>
      </c>
      <c r="E494" s="87">
        <f t="shared" si="121"/>
        <v>407.86399999999998</v>
      </c>
      <c r="F494" s="178">
        <v>550.1</v>
      </c>
      <c r="G494" s="233">
        <v>659.8</v>
      </c>
      <c r="H494" s="178">
        <f t="shared" si="118"/>
        <v>769.98659999999995</v>
      </c>
      <c r="I494" s="170">
        <f t="shared" si="122"/>
        <v>877.46358183376174</v>
      </c>
      <c r="J494" s="170">
        <f t="shared" si="123"/>
        <v>1024</v>
      </c>
      <c r="K494" s="107" t="s">
        <v>470</v>
      </c>
      <c r="L494" s="198"/>
    </row>
    <row r="495" spans="1:12" ht="27.75" thickBot="1" x14ac:dyDescent="0.3">
      <c r="A495" s="254">
        <v>512299.2</v>
      </c>
      <c r="B495" s="57" t="s">
        <v>1</v>
      </c>
      <c r="C495" s="14">
        <v>221</v>
      </c>
      <c r="D495" s="87">
        <f t="shared" si="120"/>
        <v>299.89999999999998</v>
      </c>
      <c r="E495" s="87">
        <f t="shared" si="121"/>
        <v>407.86399999999998</v>
      </c>
      <c r="F495" s="178">
        <v>550.1</v>
      </c>
      <c r="G495" s="233">
        <v>659.8</v>
      </c>
      <c r="H495" s="178">
        <f t="shared" si="118"/>
        <v>769.98659999999995</v>
      </c>
      <c r="I495" s="170">
        <f t="shared" si="122"/>
        <v>877.46358183376174</v>
      </c>
      <c r="J495" s="170">
        <f t="shared" si="123"/>
        <v>1024</v>
      </c>
      <c r="K495" s="107" t="s">
        <v>471</v>
      </c>
      <c r="L495" s="198"/>
    </row>
    <row r="496" spans="1:12" ht="27.75" thickBot="1" x14ac:dyDescent="0.3">
      <c r="A496" s="254">
        <v>512299.3</v>
      </c>
      <c r="B496" s="57" t="s">
        <v>1</v>
      </c>
      <c r="C496" s="14">
        <v>221</v>
      </c>
      <c r="D496" s="87">
        <f t="shared" si="120"/>
        <v>299.89999999999998</v>
      </c>
      <c r="E496" s="87">
        <f t="shared" si="121"/>
        <v>407.86399999999998</v>
      </c>
      <c r="F496" s="178">
        <v>550.1</v>
      </c>
      <c r="G496" s="233">
        <v>659.8</v>
      </c>
      <c r="H496" s="178">
        <f t="shared" si="118"/>
        <v>769.98659999999995</v>
      </c>
      <c r="I496" s="170">
        <f t="shared" si="122"/>
        <v>877.46358183376174</v>
      </c>
      <c r="J496" s="170">
        <f t="shared" si="123"/>
        <v>1024</v>
      </c>
      <c r="K496" s="107" t="s">
        <v>472</v>
      </c>
      <c r="L496" s="198"/>
    </row>
    <row r="497" spans="1:12" ht="27.75" thickBot="1" x14ac:dyDescent="0.3">
      <c r="A497" s="254">
        <v>512299.4</v>
      </c>
      <c r="B497" s="57" t="s">
        <v>1</v>
      </c>
      <c r="C497" s="14">
        <v>221</v>
      </c>
      <c r="D497" s="87">
        <f t="shared" si="120"/>
        <v>299.89999999999998</v>
      </c>
      <c r="E497" s="87">
        <f t="shared" si="121"/>
        <v>407.86399999999998</v>
      </c>
      <c r="F497" s="178">
        <v>550.1</v>
      </c>
      <c r="G497" s="233">
        <v>659.8</v>
      </c>
      <c r="H497" s="178">
        <f t="shared" si="118"/>
        <v>769.98659999999995</v>
      </c>
      <c r="I497" s="170">
        <f t="shared" si="122"/>
        <v>877.46358183376174</v>
      </c>
      <c r="J497" s="170">
        <f t="shared" si="123"/>
        <v>1024</v>
      </c>
      <c r="K497" s="107" t="s">
        <v>473</v>
      </c>
      <c r="L497" s="198"/>
    </row>
    <row r="498" spans="1:12" ht="27.75" thickBot="1" x14ac:dyDescent="0.3">
      <c r="A498" s="254">
        <v>512299.5</v>
      </c>
      <c r="B498" s="57" t="s">
        <v>1</v>
      </c>
      <c r="C498" s="14">
        <v>221</v>
      </c>
      <c r="D498" s="87">
        <f t="shared" si="120"/>
        <v>299.89999999999998</v>
      </c>
      <c r="E498" s="87">
        <f t="shared" si="121"/>
        <v>407.86399999999998</v>
      </c>
      <c r="F498" s="178">
        <v>550.1</v>
      </c>
      <c r="G498" s="233">
        <v>659.8</v>
      </c>
      <c r="H498" s="178">
        <f t="shared" si="118"/>
        <v>769.98659999999995</v>
      </c>
      <c r="I498" s="170">
        <f t="shared" si="122"/>
        <v>877.46358183376174</v>
      </c>
      <c r="J498" s="170">
        <f t="shared" si="123"/>
        <v>1024</v>
      </c>
      <c r="K498" s="107" t="s">
        <v>474</v>
      </c>
      <c r="L498" s="198"/>
    </row>
    <row r="499" spans="1:12" ht="33" customHeight="1" thickBot="1" x14ac:dyDescent="0.3">
      <c r="A499" s="73" t="s">
        <v>475</v>
      </c>
      <c r="B499" s="76"/>
      <c r="C499" s="4"/>
      <c r="D499" s="45"/>
      <c r="E499" s="45"/>
      <c r="F499" s="45"/>
      <c r="G499" s="45"/>
      <c r="H499" s="45"/>
      <c r="I499" s="45"/>
      <c r="J499" s="45"/>
      <c r="K499" s="72"/>
      <c r="L499" s="198"/>
    </row>
    <row r="500" spans="1:12" ht="27.75" thickBot="1" x14ac:dyDescent="0.3">
      <c r="A500" s="254">
        <v>512311</v>
      </c>
      <c r="B500" s="57" t="s">
        <v>1</v>
      </c>
      <c r="C500" s="14">
        <v>358</v>
      </c>
      <c r="D500" s="55">
        <v>485</v>
      </c>
      <c r="E500" s="55">
        <v>659.8</v>
      </c>
      <c r="F500" s="178">
        <f t="shared" ref="F500:F537" si="124">+E500*$F$1</f>
        <v>890.73</v>
      </c>
      <c r="G500" s="233">
        <v>1068.5999999999999</v>
      </c>
      <c r="H500" s="178">
        <f t="shared" si="118"/>
        <v>1247.0562</v>
      </c>
      <c r="I500" s="170">
        <f t="shared" ref="I500:I504" si="125">+J500/1.167</f>
        <v>1421.5938303341902</v>
      </c>
      <c r="J500" s="170">
        <f t="shared" ref="J500:J504" si="126">ROUND(+H500*(1+$J$1),0)</f>
        <v>1659</v>
      </c>
      <c r="K500" s="107" t="s">
        <v>476</v>
      </c>
      <c r="L500" s="198"/>
    </row>
    <row r="501" spans="1:12" ht="27.75" thickBot="1" x14ac:dyDescent="0.3">
      <c r="A501" s="254">
        <v>512312</v>
      </c>
      <c r="B501" s="57" t="s">
        <v>59</v>
      </c>
      <c r="C501" s="14">
        <v>358</v>
      </c>
      <c r="D501" s="87">
        <v>485</v>
      </c>
      <c r="E501" s="87">
        <v>659.8</v>
      </c>
      <c r="F501" s="178">
        <f t="shared" si="124"/>
        <v>890.73</v>
      </c>
      <c r="G501" s="233">
        <v>1068.5999999999999</v>
      </c>
      <c r="H501" s="178">
        <f t="shared" si="118"/>
        <v>1247.0562</v>
      </c>
      <c r="I501" s="170">
        <f t="shared" si="125"/>
        <v>1421.5938303341902</v>
      </c>
      <c r="J501" s="170">
        <f t="shared" si="126"/>
        <v>1659</v>
      </c>
      <c r="K501" s="107" t="s">
        <v>477</v>
      </c>
      <c r="L501" s="198"/>
    </row>
    <row r="502" spans="1:12" ht="27.75" thickBot="1" x14ac:dyDescent="0.3">
      <c r="A502" s="254">
        <v>512319</v>
      </c>
      <c r="B502" s="57" t="s">
        <v>1</v>
      </c>
      <c r="C502" s="14">
        <v>358</v>
      </c>
      <c r="D502" s="87">
        <v>485</v>
      </c>
      <c r="E502" s="87">
        <v>659.8</v>
      </c>
      <c r="F502" s="178">
        <f t="shared" si="124"/>
        <v>890.73</v>
      </c>
      <c r="G502" s="233">
        <v>1068.5999999999999</v>
      </c>
      <c r="H502" s="178">
        <f t="shared" si="118"/>
        <v>1247.0562</v>
      </c>
      <c r="I502" s="170">
        <f t="shared" si="125"/>
        <v>1421.5938303341902</v>
      </c>
      <c r="J502" s="170">
        <f t="shared" si="126"/>
        <v>1659</v>
      </c>
      <c r="K502" s="107" t="s">
        <v>478</v>
      </c>
      <c r="L502" s="198"/>
    </row>
    <row r="503" spans="1:12" ht="27.75" thickBot="1" x14ac:dyDescent="0.3">
      <c r="A503" s="254">
        <v>512320</v>
      </c>
      <c r="B503" s="57" t="s">
        <v>59</v>
      </c>
      <c r="C503" s="14">
        <v>221</v>
      </c>
      <c r="D503" s="87">
        <f>+C503*$D$1</f>
        <v>299.89999999999998</v>
      </c>
      <c r="E503" s="87">
        <f t="shared" si="121"/>
        <v>407.86399999999998</v>
      </c>
      <c r="F503" s="178">
        <v>550.1</v>
      </c>
      <c r="G503" s="233">
        <v>659.8</v>
      </c>
      <c r="H503" s="178">
        <f t="shared" si="118"/>
        <v>769.98659999999995</v>
      </c>
      <c r="I503" s="170">
        <f t="shared" si="125"/>
        <v>877.46358183376174</v>
      </c>
      <c r="J503" s="170">
        <f t="shared" si="126"/>
        <v>1024</v>
      </c>
      <c r="K503" s="107" t="s">
        <v>479</v>
      </c>
      <c r="L503" s="198"/>
    </row>
    <row r="504" spans="1:12" ht="16.5" thickBot="1" x14ac:dyDescent="0.3">
      <c r="A504" s="253">
        <v>512400</v>
      </c>
      <c r="B504" s="66" t="s">
        <v>481</v>
      </c>
      <c r="C504" s="17">
        <v>436</v>
      </c>
      <c r="D504" s="159">
        <v>590</v>
      </c>
      <c r="E504" s="159">
        <f t="shared" si="121"/>
        <v>802.40000000000009</v>
      </c>
      <c r="F504" s="179">
        <f t="shared" si="124"/>
        <v>1083.2400000000002</v>
      </c>
      <c r="G504" s="234">
        <f>+F504*1.2</f>
        <v>1299.8880000000001</v>
      </c>
      <c r="H504" s="179">
        <f t="shared" si="118"/>
        <v>1516.9692960000002</v>
      </c>
      <c r="I504" s="170">
        <f t="shared" si="125"/>
        <v>1729.2202227934874</v>
      </c>
      <c r="J504" s="170">
        <f t="shared" si="126"/>
        <v>2018</v>
      </c>
      <c r="K504" s="108" t="s">
        <v>482</v>
      </c>
      <c r="L504" s="198"/>
    </row>
    <row r="505" spans="1:12" ht="15.75" x14ac:dyDescent="0.25">
      <c r="A505" s="216" t="s">
        <v>1018</v>
      </c>
      <c r="B505" s="217"/>
      <c r="C505" s="217"/>
      <c r="D505" s="217"/>
      <c r="E505" s="217"/>
      <c r="F505" s="217"/>
      <c r="G505" s="217"/>
      <c r="H505" s="217"/>
      <c r="I505" s="217"/>
      <c r="J505" s="217"/>
      <c r="K505" s="218"/>
      <c r="L505" s="198"/>
    </row>
    <row r="506" spans="1:12" ht="16.5" thickBot="1" x14ac:dyDescent="0.3">
      <c r="A506" s="213" t="s">
        <v>1019</v>
      </c>
      <c r="B506" s="214"/>
      <c r="C506" s="214"/>
      <c r="D506" s="214"/>
      <c r="E506" s="214"/>
      <c r="F506" s="214"/>
      <c r="G506" s="214"/>
      <c r="H506" s="214"/>
      <c r="I506" s="214"/>
      <c r="J506" s="214"/>
      <c r="K506" s="215"/>
      <c r="L506" s="198"/>
    </row>
    <row r="507" spans="1:12" ht="16.5" thickBot="1" x14ac:dyDescent="0.3">
      <c r="A507" s="254">
        <v>513111</v>
      </c>
      <c r="B507" s="57" t="s">
        <v>1</v>
      </c>
      <c r="C507" s="26">
        <v>221</v>
      </c>
      <c r="D507" s="87">
        <f>+C507*$D$1</f>
        <v>299.89999999999998</v>
      </c>
      <c r="E507" s="87">
        <f t="shared" si="121"/>
        <v>407.86399999999998</v>
      </c>
      <c r="F507" s="178">
        <v>550.1</v>
      </c>
      <c r="G507" s="233">
        <v>659.8</v>
      </c>
      <c r="H507" s="178">
        <f t="shared" si="118"/>
        <v>769.98659999999995</v>
      </c>
      <c r="I507" s="170">
        <f t="shared" ref="I507:I517" si="127">+J507/1.167</f>
        <v>877.46358183376174</v>
      </c>
      <c r="J507" s="170">
        <f t="shared" ref="J507:J517" si="128">ROUND(+H507*(1+$J$1),0)</f>
        <v>1024</v>
      </c>
      <c r="K507" s="107" t="s">
        <v>483</v>
      </c>
      <c r="L507" s="198"/>
    </row>
    <row r="508" spans="1:12" ht="16.5" thickBot="1" x14ac:dyDescent="0.3">
      <c r="A508" s="254">
        <v>513112</v>
      </c>
      <c r="B508" s="57" t="s">
        <v>1</v>
      </c>
      <c r="C508" s="14">
        <v>221</v>
      </c>
      <c r="D508" s="87">
        <f>+C508*$D$1</f>
        <v>299.89999999999998</v>
      </c>
      <c r="E508" s="87">
        <f t="shared" si="121"/>
        <v>407.86399999999998</v>
      </c>
      <c r="F508" s="178">
        <v>550.1</v>
      </c>
      <c r="G508" s="233">
        <v>659.8</v>
      </c>
      <c r="H508" s="178">
        <f t="shared" si="118"/>
        <v>769.98659999999995</v>
      </c>
      <c r="I508" s="170">
        <f t="shared" si="127"/>
        <v>877.46358183376174</v>
      </c>
      <c r="J508" s="170">
        <f t="shared" si="128"/>
        <v>1024</v>
      </c>
      <c r="K508" s="107" t="s">
        <v>484</v>
      </c>
      <c r="L508" s="198"/>
    </row>
    <row r="509" spans="1:12" ht="27.75" thickBot="1" x14ac:dyDescent="0.3">
      <c r="A509" s="254">
        <v>513114</v>
      </c>
      <c r="B509" s="57" t="s">
        <v>1</v>
      </c>
      <c r="C509" s="14">
        <v>221</v>
      </c>
      <c r="D509" s="87">
        <f>+C509*$D$1</f>
        <v>299.89999999999998</v>
      </c>
      <c r="E509" s="87">
        <f t="shared" si="121"/>
        <v>407.86399999999998</v>
      </c>
      <c r="F509" s="178">
        <v>550.1</v>
      </c>
      <c r="G509" s="233">
        <v>659.8</v>
      </c>
      <c r="H509" s="178">
        <f t="shared" si="118"/>
        <v>769.98659999999995</v>
      </c>
      <c r="I509" s="170">
        <f t="shared" si="127"/>
        <v>877.46358183376174</v>
      </c>
      <c r="J509" s="170">
        <f t="shared" si="128"/>
        <v>1024</v>
      </c>
      <c r="K509" s="107" t="s">
        <v>485</v>
      </c>
      <c r="L509" s="198"/>
    </row>
    <row r="510" spans="1:12" ht="27.75" thickBot="1" x14ac:dyDescent="0.3">
      <c r="A510" s="254">
        <v>513115</v>
      </c>
      <c r="B510" s="57" t="s">
        <v>1</v>
      </c>
      <c r="C510" s="14">
        <v>221</v>
      </c>
      <c r="D510" s="87">
        <f>+C510*$D$1</f>
        <v>299.89999999999998</v>
      </c>
      <c r="E510" s="87">
        <f t="shared" si="121"/>
        <v>407.86399999999998</v>
      </c>
      <c r="F510" s="178">
        <v>550.1</v>
      </c>
      <c r="G510" s="233">
        <v>659.8</v>
      </c>
      <c r="H510" s="178">
        <f t="shared" si="118"/>
        <v>769.98659999999995</v>
      </c>
      <c r="I510" s="170">
        <f t="shared" si="127"/>
        <v>877.46358183376174</v>
      </c>
      <c r="J510" s="170">
        <f t="shared" si="128"/>
        <v>1024</v>
      </c>
      <c r="K510" s="107" t="s">
        <v>486</v>
      </c>
      <c r="L510" s="198"/>
    </row>
    <row r="511" spans="1:12" ht="27.75" thickBot="1" x14ac:dyDescent="0.3">
      <c r="A511" s="254">
        <v>513121</v>
      </c>
      <c r="B511" s="57" t="s">
        <v>124</v>
      </c>
      <c r="C511" s="14">
        <v>300</v>
      </c>
      <c r="D511" s="87">
        <v>407</v>
      </c>
      <c r="E511" s="87">
        <v>553.54999999999995</v>
      </c>
      <c r="F511" s="178">
        <f t="shared" si="124"/>
        <v>747.29250000000002</v>
      </c>
      <c r="G511" s="233">
        <f>+F511*1.2</f>
        <v>896.75099999999998</v>
      </c>
      <c r="H511" s="178">
        <f t="shared" si="118"/>
        <v>1046.508417</v>
      </c>
      <c r="I511" s="170">
        <f t="shared" si="127"/>
        <v>1192.8020565552699</v>
      </c>
      <c r="J511" s="170">
        <f t="shared" si="128"/>
        <v>1392</v>
      </c>
      <c r="K511" s="107" t="s">
        <v>487</v>
      </c>
      <c r="L511" s="198"/>
    </row>
    <row r="512" spans="1:12" ht="27.75" thickBot="1" x14ac:dyDescent="0.3">
      <c r="A512" s="254">
        <v>513122</v>
      </c>
      <c r="B512" s="57" t="s">
        <v>1</v>
      </c>
      <c r="C512" s="14">
        <v>221</v>
      </c>
      <c r="D512" s="87">
        <f>+C512*$D$1</f>
        <v>299.89999999999998</v>
      </c>
      <c r="E512" s="87">
        <f t="shared" si="121"/>
        <v>407.86399999999998</v>
      </c>
      <c r="F512" s="178">
        <v>550.1</v>
      </c>
      <c r="G512" s="233">
        <v>659.8</v>
      </c>
      <c r="H512" s="178">
        <f t="shared" si="118"/>
        <v>769.98659999999995</v>
      </c>
      <c r="I512" s="170">
        <f t="shared" si="127"/>
        <v>877.46358183376174</v>
      </c>
      <c r="J512" s="170">
        <f t="shared" si="128"/>
        <v>1024</v>
      </c>
      <c r="K512" s="107" t="s">
        <v>488</v>
      </c>
      <c r="L512" s="198"/>
    </row>
    <row r="513" spans="1:12" ht="16.5" thickBot="1" x14ac:dyDescent="0.3">
      <c r="A513" s="254">
        <v>513123</v>
      </c>
      <c r="B513" s="57" t="s">
        <v>1</v>
      </c>
      <c r="C513" s="14">
        <v>221</v>
      </c>
      <c r="D513" s="87">
        <f>+C513*$D$1</f>
        <v>299.89999999999998</v>
      </c>
      <c r="E513" s="87">
        <f t="shared" si="121"/>
        <v>407.86399999999998</v>
      </c>
      <c r="F513" s="178">
        <v>550.1</v>
      </c>
      <c r="G513" s="233">
        <v>659.8</v>
      </c>
      <c r="H513" s="178">
        <f t="shared" si="118"/>
        <v>769.98659999999995</v>
      </c>
      <c r="I513" s="170">
        <f t="shared" si="127"/>
        <v>877.46358183376174</v>
      </c>
      <c r="J513" s="170">
        <f t="shared" si="128"/>
        <v>1024</v>
      </c>
      <c r="K513" s="107" t="s">
        <v>489</v>
      </c>
      <c r="L513" s="198"/>
    </row>
    <row r="514" spans="1:12" ht="27.75" thickBot="1" x14ac:dyDescent="0.3">
      <c r="A514" s="254">
        <v>513129</v>
      </c>
      <c r="B514" s="57" t="s">
        <v>1</v>
      </c>
      <c r="C514" s="14">
        <v>221</v>
      </c>
      <c r="D514" s="87">
        <f>+C514*$D$1</f>
        <v>299.89999999999998</v>
      </c>
      <c r="E514" s="87">
        <f t="shared" si="121"/>
        <v>407.86399999999998</v>
      </c>
      <c r="F514" s="178">
        <v>550.1</v>
      </c>
      <c r="G514" s="233">
        <v>659.8</v>
      </c>
      <c r="H514" s="178">
        <f t="shared" si="118"/>
        <v>769.98659999999995</v>
      </c>
      <c r="I514" s="170">
        <f t="shared" si="127"/>
        <v>877.46358183376174</v>
      </c>
      <c r="J514" s="170">
        <f t="shared" si="128"/>
        <v>1024</v>
      </c>
      <c r="K514" s="107" t="s">
        <v>490</v>
      </c>
      <c r="L514" s="198"/>
    </row>
    <row r="515" spans="1:12" ht="27.75" thickBot="1" x14ac:dyDescent="0.3">
      <c r="A515" s="254">
        <v>513130</v>
      </c>
      <c r="B515" s="57" t="s">
        <v>1</v>
      </c>
      <c r="C515" s="14">
        <v>221</v>
      </c>
      <c r="D515" s="87">
        <f>+C515*$D$1</f>
        <v>299.89999999999998</v>
      </c>
      <c r="E515" s="87">
        <f t="shared" si="121"/>
        <v>407.86399999999998</v>
      </c>
      <c r="F515" s="178">
        <v>550.1</v>
      </c>
      <c r="G515" s="233">
        <v>659.8</v>
      </c>
      <c r="H515" s="178">
        <f t="shared" si="118"/>
        <v>769.98659999999995</v>
      </c>
      <c r="I515" s="170">
        <f t="shared" si="127"/>
        <v>877.46358183376174</v>
      </c>
      <c r="J515" s="170">
        <f t="shared" si="128"/>
        <v>1024</v>
      </c>
      <c r="K515" s="107" t="s">
        <v>491</v>
      </c>
      <c r="L515" s="198"/>
    </row>
    <row r="516" spans="1:12" ht="16.5" thickBot="1" x14ac:dyDescent="0.3">
      <c r="A516" s="254">
        <v>513141</v>
      </c>
      <c r="B516" s="57" t="s">
        <v>59</v>
      </c>
      <c r="C516" s="14">
        <v>300</v>
      </c>
      <c r="D516" s="87">
        <v>407</v>
      </c>
      <c r="E516" s="87">
        <v>553.54999999999995</v>
      </c>
      <c r="F516" s="178">
        <f t="shared" si="124"/>
        <v>747.29250000000002</v>
      </c>
      <c r="G516" s="233">
        <v>896.75099999999998</v>
      </c>
      <c r="H516" s="178">
        <f t="shared" si="118"/>
        <v>1046.508417</v>
      </c>
      <c r="I516" s="170">
        <f t="shared" si="127"/>
        <v>1192.8020565552699</v>
      </c>
      <c r="J516" s="170">
        <f t="shared" si="128"/>
        <v>1392</v>
      </c>
      <c r="K516" s="107" t="s">
        <v>492</v>
      </c>
      <c r="L516" s="198"/>
    </row>
    <row r="517" spans="1:12" ht="27.75" thickBot="1" x14ac:dyDescent="0.3">
      <c r="A517" s="254">
        <v>513149</v>
      </c>
      <c r="B517" s="57" t="s">
        <v>1</v>
      </c>
      <c r="C517" s="14">
        <v>221</v>
      </c>
      <c r="D517" s="87">
        <f>+C517*$D$1</f>
        <v>299.89999999999998</v>
      </c>
      <c r="E517" s="87">
        <f t="shared" si="121"/>
        <v>407.86399999999998</v>
      </c>
      <c r="F517" s="178">
        <v>550.1</v>
      </c>
      <c r="G517" s="233">
        <v>659.8</v>
      </c>
      <c r="H517" s="178">
        <f t="shared" si="118"/>
        <v>769.98659999999995</v>
      </c>
      <c r="I517" s="170">
        <f t="shared" si="127"/>
        <v>877.46358183376174</v>
      </c>
      <c r="J517" s="170">
        <f t="shared" si="128"/>
        <v>1024</v>
      </c>
      <c r="K517" s="107" t="s">
        <v>493</v>
      </c>
      <c r="L517" s="198"/>
    </row>
    <row r="518" spans="1:12" ht="33" customHeight="1" thickBot="1" x14ac:dyDescent="0.3">
      <c r="A518" s="73" t="s">
        <v>494</v>
      </c>
      <c r="B518" s="76"/>
      <c r="C518" s="4"/>
      <c r="D518" s="45"/>
      <c r="E518" s="45"/>
      <c r="F518" s="45"/>
      <c r="G518" s="45"/>
      <c r="H518" s="45"/>
      <c r="I518" s="45"/>
      <c r="J518" s="45"/>
      <c r="K518" s="72"/>
      <c r="L518" s="198"/>
    </row>
    <row r="519" spans="1:12" ht="16.5" thickBot="1" x14ac:dyDescent="0.3">
      <c r="A519" s="254">
        <v>513211.1</v>
      </c>
      <c r="B519" s="57" t="s">
        <v>1</v>
      </c>
      <c r="C519" s="14">
        <v>160</v>
      </c>
      <c r="D519" s="55">
        <v>218</v>
      </c>
      <c r="E519" s="55">
        <f t="shared" si="121"/>
        <v>296.48</v>
      </c>
      <c r="F519" s="178">
        <f t="shared" si="124"/>
        <v>400.24800000000005</v>
      </c>
      <c r="G519" s="233">
        <v>479.9</v>
      </c>
      <c r="H519" s="178">
        <f t="shared" ref="H519:H580" si="129">G519*1.167</f>
        <v>560.04330000000004</v>
      </c>
      <c r="I519" s="170">
        <f t="shared" ref="I519:I523" si="130">+J519/1.167</f>
        <v>638.38903170522701</v>
      </c>
      <c r="J519" s="170">
        <f t="shared" ref="J519:J523" si="131">ROUND(+H519*(1+$J$1),0)</f>
        <v>745</v>
      </c>
      <c r="K519" s="107" t="s">
        <v>495</v>
      </c>
      <c r="L519" s="198"/>
    </row>
    <row r="520" spans="1:12" ht="16.5" thickBot="1" x14ac:dyDescent="0.3">
      <c r="A520" s="254">
        <v>513211.2</v>
      </c>
      <c r="B520" s="57" t="s">
        <v>1</v>
      </c>
      <c r="C520" s="14">
        <v>160</v>
      </c>
      <c r="D520" s="87">
        <v>218</v>
      </c>
      <c r="E520" s="87">
        <f t="shared" si="121"/>
        <v>296.48</v>
      </c>
      <c r="F520" s="178">
        <f t="shared" si="124"/>
        <v>400.24800000000005</v>
      </c>
      <c r="G520" s="233">
        <v>479.9</v>
      </c>
      <c r="H520" s="178">
        <f t="shared" si="129"/>
        <v>560.04330000000004</v>
      </c>
      <c r="I520" s="170">
        <f t="shared" si="130"/>
        <v>638.38903170522701</v>
      </c>
      <c r="J520" s="170">
        <f t="shared" si="131"/>
        <v>745</v>
      </c>
      <c r="K520" s="107" t="s">
        <v>496</v>
      </c>
      <c r="L520" s="198"/>
    </row>
    <row r="521" spans="1:12" ht="16.5" thickBot="1" x14ac:dyDescent="0.3">
      <c r="A521" s="254">
        <v>513212</v>
      </c>
      <c r="B521" s="57" t="s">
        <v>1</v>
      </c>
      <c r="C521" s="14">
        <v>160</v>
      </c>
      <c r="D521" s="87">
        <v>218</v>
      </c>
      <c r="E521" s="87">
        <f t="shared" si="121"/>
        <v>296.48</v>
      </c>
      <c r="F521" s="178">
        <f t="shared" si="124"/>
        <v>400.24800000000005</v>
      </c>
      <c r="G521" s="233">
        <v>479.9</v>
      </c>
      <c r="H521" s="178">
        <f t="shared" si="129"/>
        <v>560.04330000000004</v>
      </c>
      <c r="I521" s="170">
        <f t="shared" si="130"/>
        <v>638.38903170522701</v>
      </c>
      <c r="J521" s="170">
        <f t="shared" si="131"/>
        <v>745</v>
      </c>
      <c r="K521" s="107" t="s">
        <v>497</v>
      </c>
      <c r="L521" s="198"/>
    </row>
    <row r="522" spans="1:12" ht="27.75" thickBot="1" x14ac:dyDescent="0.3">
      <c r="A522" s="254">
        <v>513221</v>
      </c>
      <c r="B522" s="57" t="s">
        <v>1</v>
      </c>
      <c r="C522" s="14">
        <v>160</v>
      </c>
      <c r="D522" s="87">
        <v>218</v>
      </c>
      <c r="E522" s="87">
        <f t="shared" si="121"/>
        <v>296.48</v>
      </c>
      <c r="F522" s="178">
        <f t="shared" si="124"/>
        <v>400.24800000000005</v>
      </c>
      <c r="G522" s="233">
        <v>479.9</v>
      </c>
      <c r="H522" s="178">
        <f t="shared" si="129"/>
        <v>560.04330000000004</v>
      </c>
      <c r="I522" s="170">
        <f t="shared" si="130"/>
        <v>638.38903170522701</v>
      </c>
      <c r="J522" s="170">
        <f t="shared" si="131"/>
        <v>745</v>
      </c>
      <c r="K522" s="107" t="s">
        <v>498</v>
      </c>
      <c r="L522" s="198"/>
    </row>
    <row r="523" spans="1:12" ht="27.75" thickBot="1" x14ac:dyDescent="0.3">
      <c r="A523" s="253">
        <v>513223</v>
      </c>
      <c r="B523" s="66" t="s">
        <v>59</v>
      </c>
      <c r="C523" s="17">
        <v>160</v>
      </c>
      <c r="D523" s="159">
        <v>218</v>
      </c>
      <c r="E523" s="159">
        <f t="shared" si="121"/>
        <v>296.48</v>
      </c>
      <c r="F523" s="179">
        <f t="shared" si="124"/>
        <v>400.24800000000005</v>
      </c>
      <c r="G523" s="234">
        <v>479.9</v>
      </c>
      <c r="H523" s="179">
        <f t="shared" si="129"/>
        <v>560.04330000000004</v>
      </c>
      <c r="I523" s="170">
        <f t="shared" si="130"/>
        <v>638.38903170522701</v>
      </c>
      <c r="J523" s="170">
        <f t="shared" si="131"/>
        <v>745</v>
      </c>
      <c r="K523" s="108" t="s">
        <v>499</v>
      </c>
      <c r="L523" s="198"/>
    </row>
    <row r="524" spans="1:12" ht="16.5" x14ac:dyDescent="0.25">
      <c r="A524" s="211" t="s">
        <v>1020</v>
      </c>
      <c r="B524" s="43"/>
      <c r="C524" s="43"/>
      <c r="D524" s="43"/>
      <c r="E524" s="43"/>
      <c r="F524" s="43"/>
      <c r="G524" s="43"/>
      <c r="H524" s="43"/>
      <c r="I524" s="43"/>
      <c r="J524" s="43"/>
      <c r="K524" s="197"/>
      <c r="L524" s="198"/>
    </row>
    <row r="525" spans="1:12" ht="17.25" thickBot="1" x14ac:dyDescent="0.3">
      <c r="A525" s="212" t="s">
        <v>1021</v>
      </c>
      <c r="B525" s="164"/>
      <c r="C525" s="165"/>
      <c r="D525" s="164"/>
      <c r="E525" s="164"/>
      <c r="F525" s="164"/>
      <c r="G525" s="164"/>
      <c r="H525" s="164">
        <f t="shared" si="129"/>
        <v>0</v>
      </c>
      <c r="I525" s="164"/>
      <c r="J525" s="164"/>
      <c r="K525" s="166"/>
      <c r="L525" s="198"/>
    </row>
    <row r="526" spans="1:12" ht="27.75" thickBot="1" x14ac:dyDescent="0.3">
      <c r="A526" s="254">
        <v>513310.1</v>
      </c>
      <c r="B526" s="57" t="s">
        <v>1</v>
      </c>
      <c r="C526" s="6">
        <v>394</v>
      </c>
      <c r="D526" s="90">
        <v>530</v>
      </c>
      <c r="E526" s="90">
        <v>721.5</v>
      </c>
      <c r="F526" s="182">
        <f t="shared" si="124"/>
        <v>974.02500000000009</v>
      </c>
      <c r="G526" s="238">
        <v>1168.8300000000002</v>
      </c>
      <c r="H526" s="182">
        <f t="shared" si="129"/>
        <v>1364.0246100000002</v>
      </c>
      <c r="I526" s="170">
        <f t="shared" ref="I526:I537" si="132">+J526/1.167</f>
        <v>1554.4130248500428</v>
      </c>
      <c r="J526" s="170">
        <f t="shared" ref="J526:J537" si="133">ROUND(+H526*(1+$J$1),0)</f>
        <v>1814</v>
      </c>
      <c r="K526" s="107" t="s">
        <v>500</v>
      </c>
      <c r="L526" s="198"/>
    </row>
    <row r="527" spans="1:12" ht="27.75" thickBot="1" x14ac:dyDescent="0.3">
      <c r="A527" s="254">
        <v>513381</v>
      </c>
      <c r="B527" s="57" t="s">
        <v>124</v>
      </c>
      <c r="C527" s="6">
        <v>394</v>
      </c>
      <c r="D527" s="90">
        <v>530</v>
      </c>
      <c r="E527" s="90">
        <v>721.5</v>
      </c>
      <c r="F527" s="182">
        <f t="shared" si="124"/>
        <v>974.02500000000009</v>
      </c>
      <c r="G527" s="238">
        <v>1168.8300000000002</v>
      </c>
      <c r="H527" s="182">
        <f t="shared" si="129"/>
        <v>1364.0246100000002</v>
      </c>
      <c r="I527" s="170">
        <f t="shared" si="132"/>
        <v>1554.4130248500428</v>
      </c>
      <c r="J527" s="170">
        <f t="shared" si="133"/>
        <v>1814</v>
      </c>
      <c r="K527" s="93" t="s">
        <v>501</v>
      </c>
      <c r="L527" s="198"/>
    </row>
    <row r="528" spans="1:12" ht="41.25" thickBot="1" x14ac:dyDescent="0.3">
      <c r="A528" s="254">
        <v>515160</v>
      </c>
      <c r="B528" s="57" t="s">
        <v>124</v>
      </c>
      <c r="C528" s="6">
        <v>394</v>
      </c>
      <c r="D528" s="90">
        <v>530</v>
      </c>
      <c r="E528" s="90">
        <v>721.5</v>
      </c>
      <c r="F528" s="182">
        <f t="shared" si="124"/>
        <v>974.02500000000009</v>
      </c>
      <c r="G528" s="238">
        <v>1168.8300000000002</v>
      </c>
      <c r="H528" s="182">
        <f t="shared" si="129"/>
        <v>1364.0246100000002</v>
      </c>
      <c r="I528" s="170">
        <f t="shared" si="132"/>
        <v>1554.4130248500428</v>
      </c>
      <c r="J528" s="170">
        <f t="shared" si="133"/>
        <v>1814</v>
      </c>
      <c r="K528" s="93" t="s">
        <v>502</v>
      </c>
      <c r="L528" s="198"/>
    </row>
    <row r="529" spans="1:12" ht="27.75" thickBot="1" x14ac:dyDescent="0.3">
      <c r="A529" s="254">
        <v>514110.1</v>
      </c>
      <c r="B529" s="57" t="s">
        <v>124</v>
      </c>
      <c r="C529" s="6">
        <v>394</v>
      </c>
      <c r="D529" s="90">
        <v>530</v>
      </c>
      <c r="E529" s="90">
        <v>721.5</v>
      </c>
      <c r="F529" s="182">
        <f t="shared" si="124"/>
        <v>974.02500000000009</v>
      </c>
      <c r="G529" s="238">
        <v>1168.8300000000002</v>
      </c>
      <c r="H529" s="182">
        <f t="shared" si="129"/>
        <v>1364.0246100000002</v>
      </c>
      <c r="I529" s="170">
        <f t="shared" si="132"/>
        <v>1554.4130248500428</v>
      </c>
      <c r="J529" s="170">
        <f t="shared" si="133"/>
        <v>1814</v>
      </c>
      <c r="K529" s="93" t="s">
        <v>503</v>
      </c>
      <c r="L529" s="198"/>
    </row>
    <row r="530" spans="1:12" ht="27.75" thickBot="1" x14ac:dyDescent="0.3">
      <c r="A530" s="254">
        <v>514110.2</v>
      </c>
      <c r="B530" s="57" t="s">
        <v>130</v>
      </c>
      <c r="C530" s="6">
        <v>394</v>
      </c>
      <c r="D530" s="90">
        <v>530</v>
      </c>
      <c r="E530" s="90">
        <v>721.5</v>
      </c>
      <c r="F530" s="182">
        <f t="shared" si="124"/>
        <v>974.02500000000009</v>
      </c>
      <c r="G530" s="238">
        <v>1168.8300000000002</v>
      </c>
      <c r="H530" s="182">
        <f t="shared" si="129"/>
        <v>1364.0246100000002</v>
      </c>
      <c r="I530" s="170">
        <f t="shared" si="132"/>
        <v>1554.4130248500428</v>
      </c>
      <c r="J530" s="170">
        <f t="shared" si="133"/>
        <v>1814</v>
      </c>
      <c r="K530" s="93" t="s">
        <v>504</v>
      </c>
      <c r="L530" s="198"/>
    </row>
    <row r="531" spans="1:12" ht="27.75" thickBot="1" x14ac:dyDescent="0.3">
      <c r="A531" s="254">
        <v>514191</v>
      </c>
      <c r="B531" s="57" t="s">
        <v>124</v>
      </c>
      <c r="C531" s="6">
        <v>221</v>
      </c>
      <c r="D531" s="90">
        <f>+C531*$D$1</f>
        <v>299.89999999999998</v>
      </c>
      <c r="E531" s="90">
        <f t="shared" si="121"/>
        <v>407.86399999999998</v>
      </c>
      <c r="F531" s="182">
        <v>550.1</v>
      </c>
      <c r="G531" s="238">
        <v>659.8</v>
      </c>
      <c r="H531" s="182">
        <f t="shared" si="129"/>
        <v>769.98659999999995</v>
      </c>
      <c r="I531" s="170">
        <f t="shared" si="132"/>
        <v>877.46358183376174</v>
      </c>
      <c r="J531" s="170">
        <f t="shared" si="133"/>
        <v>1024</v>
      </c>
      <c r="K531" s="93" t="s">
        <v>505</v>
      </c>
      <c r="L531" s="198"/>
    </row>
    <row r="532" spans="1:12" ht="41.25" thickBot="1" x14ac:dyDescent="0.3">
      <c r="A532" s="254">
        <v>514199.1</v>
      </c>
      <c r="B532" s="57" t="s">
        <v>124</v>
      </c>
      <c r="C532" s="6">
        <v>394</v>
      </c>
      <c r="D532" s="90">
        <v>530</v>
      </c>
      <c r="E532" s="90">
        <v>721.5</v>
      </c>
      <c r="F532" s="182">
        <f t="shared" si="124"/>
        <v>974.02500000000009</v>
      </c>
      <c r="G532" s="238">
        <v>1168.8300000000002</v>
      </c>
      <c r="H532" s="182">
        <f t="shared" si="129"/>
        <v>1364.0246100000002</v>
      </c>
      <c r="I532" s="170">
        <f t="shared" si="132"/>
        <v>1554.4130248500428</v>
      </c>
      <c r="J532" s="170">
        <f t="shared" si="133"/>
        <v>1814</v>
      </c>
      <c r="K532" s="93" t="s">
        <v>506</v>
      </c>
      <c r="L532" s="198"/>
    </row>
    <row r="533" spans="1:12" ht="27.75" thickBot="1" x14ac:dyDescent="0.3">
      <c r="A533" s="254">
        <v>514199.2</v>
      </c>
      <c r="B533" s="57" t="s">
        <v>1</v>
      </c>
      <c r="C533" s="6">
        <v>221</v>
      </c>
      <c r="D533" s="90">
        <f>+C533*$D$1</f>
        <v>299.89999999999998</v>
      </c>
      <c r="E533" s="90">
        <f t="shared" si="121"/>
        <v>407.86399999999998</v>
      </c>
      <c r="F533" s="182">
        <v>550.1</v>
      </c>
      <c r="G533" s="238">
        <v>659.8</v>
      </c>
      <c r="H533" s="182">
        <f t="shared" si="129"/>
        <v>769.98659999999995</v>
      </c>
      <c r="I533" s="170">
        <f t="shared" si="132"/>
        <v>877.46358183376174</v>
      </c>
      <c r="J533" s="170">
        <f t="shared" si="133"/>
        <v>1024</v>
      </c>
      <c r="K533" s="93" t="s">
        <v>507</v>
      </c>
      <c r="L533" s="198"/>
    </row>
    <row r="534" spans="1:12" ht="16.5" thickBot="1" x14ac:dyDescent="0.3">
      <c r="A534" s="254">
        <v>514931</v>
      </c>
      <c r="B534" s="57" t="s">
        <v>59</v>
      </c>
      <c r="C534" s="6">
        <v>221</v>
      </c>
      <c r="D534" s="90">
        <f>+C534*$D$1</f>
        <v>299.89999999999998</v>
      </c>
      <c r="E534" s="90">
        <f t="shared" si="121"/>
        <v>407.86399999999998</v>
      </c>
      <c r="F534" s="182">
        <v>550.1</v>
      </c>
      <c r="G534" s="238">
        <v>659.8</v>
      </c>
      <c r="H534" s="182">
        <f t="shared" si="129"/>
        <v>769.98659999999995</v>
      </c>
      <c r="I534" s="170">
        <f t="shared" si="132"/>
        <v>877.46358183376174</v>
      </c>
      <c r="J534" s="170">
        <f t="shared" si="133"/>
        <v>1024</v>
      </c>
      <c r="K534" s="93" t="s">
        <v>508</v>
      </c>
      <c r="L534" s="198"/>
    </row>
    <row r="535" spans="1:12" ht="27.75" thickBot="1" x14ac:dyDescent="0.3">
      <c r="A535" s="254">
        <v>514932</v>
      </c>
      <c r="B535" s="57" t="s">
        <v>59</v>
      </c>
      <c r="C535" s="6">
        <v>160</v>
      </c>
      <c r="D535" s="90">
        <v>218</v>
      </c>
      <c r="E535" s="90">
        <f t="shared" si="121"/>
        <v>296.48</v>
      </c>
      <c r="F535" s="182">
        <f t="shared" si="124"/>
        <v>400.24800000000005</v>
      </c>
      <c r="G535" s="238">
        <v>479.9</v>
      </c>
      <c r="H535" s="182">
        <f t="shared" si="129"/>
        <v>560.04330000000004</v>
      </c>
      <c r="I535" s="170">
        <f t="shared" si="132"/>
        <v>638.38903170522701</v>
      </c>
      <c r="J535" s="170">
        <f t="shared" si="133"/>
        <v>745</v>
      </c>
      <c r="K535" s="93" t="s">
        <v>509</v>
      </c>
      <c r="L535" s="198"/>
    </row>
    <row r="536" spans="1:12" ht="16.5" thickBot="1" x14ac:dyDescent="0.3">
      <c r="A536" s="254">
        <v>514933</v>
      </c>
      <c r="B536" s="57" t="s">
        <v>59</v>
      </c>
      <c r="C536" s="6">
        <v>160</v>
      </c>
      <c r="D536" s="90">
        <v>218</v>
      </c>
      <c r="E536" s="90">
        <f t="shared" si="121"/>
        <v>296.48</v>
      </c>
      <c r="F536" s="182">
        <f t="shared" si="124"/>
        <v>400.24800000000005</v>
      </c>
      <c r="G536" s="238">
        <v>479.9</v>
      </c>
      <c r="H536" s="182">
        <f t="shared" si="129"/>
        <v>560.04330000000004</v>
      </c>
      <c r="I536" s="170">
        <f t="shared" si="132"/>
        <v>638.38903170522701</v>
      </c>
      <c r="J536" s="170">
        <f t="shared" si="133"/>
        <v>745</v>
      </c>
      <c r="K536" s="93" t="s">
        <v>510</v>
      </c>
      <c r="L536" s="198"/>
    </row>
    <row r="537" spans="1:12" ht="27.75" thickBot="1" x14ac:dyDescent="0.3">
      <c r="A537" s="254">
        <v>514990</v>
      </c>
      <c r="B537" s="57" t="s">
        <v>1</v>
      </c>
      <c r="C537" s="6">
        <v>394</v>
      </c>
      <c r="D537" s="90">
        <v>530</v>
      </c>
      <c r="E537" s="90">
        <v>721.5</v>
      </c>
      <c r="F537" s="182">
        <f t="shared" si="124"/>
        <v>974.02500000000009</v>
      </c>
      <c r="G537" s="238">
        <v>1168.8300000000002</v>
      </c>
      <c r="H537" s="182">
        <f t="shared" si="129"/>
        <v>1364.0246100000002</v>
      </c>
      <c r="I537" s="170">
        <f t="shared" si="132"/>
        <v>1554.4130248500428</v>
      </c>
      <c r="J537" s="170">
        <f t="shared" si="133"/>
        <v>1814</v>
      </c>
      <c r="K537" s="93" t="s">
        <v>511</v>
      </c>
      <c r="L537" s="198"/>
    </row>
    <row r="538" spans="1:12" ht="17.25" thickBot="1" x14ac:dyDescent="0.3">
      <c r="A538" s="110" t="s">
        <v>512</v>
      </c>
      <c r="B538" s="76"/>
      <c r="C538" s="4"/>
      <c r="D538" s="45"/>
      <c r="E538" s="45"/>
      <c r="F538" s="45"/>
      <c r="G538" s="45"/>
      <c r="H538" s="45"/>
      <c r="I538" s="45"/>
      <c r="J538" s="45"/>
      <c r="K538" s="72"/>
      <c r="L538" s="198"/>
    </row>
    <row r="539" spans="1:12" ht="27.75" thickBot="1" x14ac:dyDescent="0.3">
      <c r="A539" s="254">
        <v>513916</v>
      </c>
      <c r="B539" s="57" t="s">
        <v>1</v>
      </c>
      <c r="C539" s="14">
        <v>221</v>
      </c>
      <c r="D539" s="55">
        <f>+C539*$D$1</f>
        <v>299.89999999999998</v>
      </c>
      <c r="E539" s="55">
        <f t="shared" si="121"/>
        <v>407.86399999999998</v>
      </c>
      <c r="F539" s="178">
        <v>550.1</v>
      </c>
      <c r="G539" s="233">
        <v>659.8</v>
      </c>
      <c r="H539" s="178">
        <f t="shared" si="129"/>
        <v>769.98659999999995</v>
      </c>
      <c r="I539" s="170">
        <f t="shared" ref="I539:I541" si="134">+J539/1.167</f>
        <v>877.46358183376174</v>
      </c>
      <c r="J539" s="170">
        <f t="shared" ref="J539:J541" si="135">ROUND(+H539*(1+$J$1),0)</f>
        <v>1024</v>
      </c>
      <c r="K539" s="107" t="s">
        <v>513</v>
      </c>
      <c r="L539" s="198"/>
    </row>
    <row r="540" spans="1:12" ht="27.75" thickBot="1" x14ac:dyDescent="0.3">
      <c r="A540" s="254">
        <v>513917</v>
      </c>
      <c r="B540" s="57" t="s">
        <v>1</v>
      </c>
      <c r="C540" s="14">
        <v>221</v>
      </c>
      <c r="D540" s="87">
        <f>+C540*$D$1</f>
        <v>299.89999999999998</v>
      </c>
      <c r="E540" s="87">
        <f t="shared" si="121"/>
        <v>407.86399999999998</v>
      </c>
      <c r="F540" s="178">
        <v>550.1</v>
      </c>
      <c r="G540" s="233">
        <v>659.8</v>
      </c>
      <c r="H540" s="178">
        <f t="shared" si="129"/>
        <v>769.98659999999995</v>
      </c>
      <c r="I540" s="170">
        <f t="shared" si="134"/>
        <v>877.46358183376174</v>
      </c>
      <c r="J540" s="170">
        <f t="shared" si="135"/>
        <v>1024</v>
      </c>
      <c r="K540" s="107" t="s">
        <v>514</v>
      </c>
      <c r="L540" s="198"/>
    </row>
    <row r="541" spans="1:12" ht="16.5" thickBot="1" x14ac:dyDescent="0.3">
      <c r="A541" s="254">
        <v>513918</v>
      </c>
      <c r="B541" s="57" t="s">
        <v>1</v>
      </c>
      <c r="C541" s="14">
        <v>221</v>
      </c>
      <c r="D541" s="87">
        <f>+C541*$D$1</f>
        <v>299.89999999999998</v>
      </c>
      <c r="E541" s="87">
        <f t="shared" si="121"/>
        <v>407.86399999999998</v>
      </c>
      <c r="F541" s="178">
        <v>550.1</v>
      </c>
      <c r="G541" s="233">
        <v>659.8</v>
      </c>
      <c r="H541" s="178">
        <f t="shared" si="129"/>
        <v>769.98659999999995</v>
      </c>
      <c r="I541" s="170">
        <f t="shared" si="134"/>
        <v>877.46358183376174</v>
      </c>
      <c r="J541" s="170">
        <f t="shared" si="135"/>
        <v>1024</v>
      </c>
      <c r="K541" s="107" t="s">
        <v>515</v>
      </c>
      <c r="L541" s="198"/>
    </row>
    <row r="542" spans="1:12" ht="17.25" thickBot="1" x14ac:dyDescent="0.3">
      <c r="A542" s="111" t="s">
        <v>516</v>
      </c>
      <c r="B542" s="76"/>
      <c r="C542" s="4"/>
      <c r="D542" s="45"/>
      <c r="E542" s="45"/>
      <c r="F542" s="45"/>
      <c r="G542" s="45"/>
      <c r="H542" s="45"/>
      <c r="I542" s="45"/>
      <c r="J542" s="45"/>
      <c r="K542" s="72"/>
      <c r="L542" s="198"/>
    </row>
    <row r="543" spans="1:12" ht="27.75" thickBot="1" x14ac:dyDescent="0.3">
      <c r="A543" s="254">
        <v>513320</v>
      </c>
      <c r="B543" s="57" t="s">
        <v>124</v>
      </c>
      <c r="C543" s="14">
        <v>221</v>
      </c>
      <c r="D543" s="55">
        <f>+C543*$D$1</f>
        <v>299.89999999999998</v>
      </c>
      <c r="E543" s="55">
        <f t="shared" ref="E543:E604" si="136">+D543*1.36</f>
        <v>407.86399999999998</v>
      </c>
      <c r="F543" s="178">
        <v>550.1</v>
      </c>
      <c r="G543" s="233">
        <v>659.8</v>
      </c>
      <c r="H543" s="178">
        <f t="shared" si="129"/>
        <v>769.98659999999995</v>
      </c>
      <c r="I543" s="170">
        <f t="shared" ref="I543:I563" si="137">+J543/1.167</f>
        <v>877.46358183376174</v>
      </c>
      <c r="J543" s="170">
        <f t="shared" ref="J543:J563" si="138">ROUND(+H543*(1+$J$1),0)</f>
        <v>1024</v>
      </c>
      <c r="K543" s="107" t="s">
        <v>517</v>
      </c>
      <c r="L543" s="198"/>
    </row>
    <row r="544" spans="1:12" ht="27.75" thickBot="1" x14ac:dyDescent="0.3">
      <c r="A544" s="254">
        <v>513410</v>
      </c>
      <c r="B544" s="57" t="s">
        <v>1</v>
      </c>
      <c r="C544" s="14">
        <v>221</v>
      </c>
      <c r="D544" s="87">
        <f>+C544*$D$1</f>
        <v>299.89999999999998</v>
      </c>
      <c r="E544" s="87">
        <f t="shared" si="136"/>
        <v>407.86399999999998</v>
      </c>
      <c r="F544" s="178">
        <v>550.1</v>
      </c>
      <c r="G544" s="233">
        <v>659.8</v>
      </c>
      <c r="H544" s="178">
        <f t="shared" si="129"/>
        <v>769.98659999999995</v>
      </c>
      <c r="I544" s="170">
        <f t="shared" si="137"/>
        <v>877.46358183376174</v>
      </c>
      <c r="J544" s="170">
        <f t="shared" si="138"/>
        <v>1024</v>
      </c>
      <c r="K544" s="107" t="s">
        <v>518</v>
      </c>
      <c r="L544" s="198"/>
    </row>
    <row r="545" spans="1:12" ht="27.75" thickBot="1" x14ac:dyDescent="0.3">
      <c r="A545" s="254">
        <v>513420</v>
      </c>
      <c r="B545" s="57" t="s">
        <v>427</v>
      </c>
      <c r="C545" s="14">
        <v>494</v>
      </c>
      <c r="D545" s="87">
        <v>670</v>
      </c>
      <c r="E545" s="87">
        <v>911.5</v>
      </c>
      <c r="F545" s="178">
        <f t="shared" ref="F545:F601" si="139">+E545*$F$1</f>
        <v>1230.5250000000001</v>
      </c>
      <c r="G545" s="233">
        <v>1477.3</v>
      </c>
      <c r="H545" s="178">
        <f t="shared" si="129"/>
        <v>1724.0091</v>
      </c>
      <c r="I545" s="170">
        <f t="shared" si="137"/>
        <v>1964.8671808054842</v>
      </c>
      <c r="J545" s="170">
        <f t="shared" si="138"/>
        <v>2293</v>
      </c>
      <c r="K545" s="107" t="s">
        <v>519</v>
      </c>
      <c r="L545" s="198"/>
    </row>
    <row r="546" spans="1:12" ht="27.75" thickBot="1" x14ac:dyDescent="0.3">
      <c r="A546" s="254">
        <v>513532</v>
      </c>
      <c r="B546" s="57" t="s">
        <v>1</v>
      </c>
      <c r="C546" s="14">
        <v>221</v>
      </c>
      <c r="D546" s="87">
        <f>+C546*$D$1</f>
        <v>299.89999999999998</v>
      </c>
      <c r="E546" s="87">
        <f t="shared" si="136"/>
        <v>407.86399999999998</v>
      </c>
      <c r="F546" s="178">
        <v>550.1</v>
      </c>
      <c r="G546" s="233">
        <v>659.8</v>
      </c>
      <c r="H546" s="178">
        <f t="shared" si="129"/>
        <v>769.98659999999995</v>
      </c>
      <c r="I546" s="170">
        <f t="shared" si="137"/>
        <v>877.46358183376174</v>
      </c>
      <c r="J546" s="170">
        <f t="shared" si="138"/>
        <v>1024</v>
      </c>
      <c r="K546" s="107" t="s">
        <v>520</v>
      </c>
      <c r="L546" s="198"/>
    </row>
    <row r="547" spans="1:12" ht="16.5" thickBot="1" x14ac:dyDescent="0.3">
      <c r="A547" s="254">
        <v>513551.1</v>
      </c>
      <c r="B547" s="57" t="s">
        <v>1</v>
      </c>
      <c r="C547" s="14">
        <v>221</v>
      </c>
      <c r="D547" s="87">
        <f>+C547*$D$1</f>
        <v>299.89999999999998</v>
      </c>
      <c r="E547" s="87">
        <f t="shared" si="136"/>
        <v>407.86399999999998</v>
      </c>
      <c r="F547" s="178">
        <v>550.1</v>
      </c>
      <c r="G547" s="233">
        <v>659.8</v>
      </c>
      <c r="H547" s="178">
        <f t="shared" si="129"/>
        <v>769.98659999999995</v>
      </c>
      <c r="I547" s="170">
        <f t="shared" si="137"/>
        <v>877.46358183376174</v>
      </c>
      <c r="J547" s="170">
        <f t="shared" si="138"/>
        <v>1024</v>
      </c>
      <c r="K547" s="107" t="s">
        <v>521</v>
      </c>
      <c r="L547" s="198"/>
    </row>
    <row r="548" spans="1:12" ht="27.75" thickBot="1" x14ac:dyDescent="0.3">
      <c r="A548" s="254">
        <v>513551.2</v>
      </c>
      <c r="B548" s="57" t="s">
        <v>59</v>
      </c>
      <c r="C548" s="14">
        <v>290</v>
      </c>
      <c r="D548" s="87">
        <v>394</v>
      </c>
      <c r="E548" s="87">
        <v>536</v>
      </c>
      <c r="F548" s="178">
        <f t="shared" si="139"/>
        <v>723.6</v>
      </c>
      <c r="G548" s="233">
        <v>868.9</v>
      </c>
      <c r="H548" s="178">
        <f t="shared" si="129"/>
        <v>1014.0063</v>
      </c>
      <c r="I548" s="170">
        <f t="shared" si="137"/>
        <v>1155.955441302485</v>
      </c>
      <c r="J548" s="170">
        <f t="shared" si="138"/>
        <v>1349</v>
      </c>
      <c r="K548" s="107" t="s">
        <v>522</v>
      </c>
      <c r="L548" s="198"/>
    </row>
    <row r="549" spans="1:12" ht="41.25" thickBot="1" x14ac:dyDescent="0.3">
      <c r="A549" s="254">
        <v>513552</v>
      </c>
      <c r="B549" s="57" t="s">
        <v>1</v>
      </c>
      <c r="C549" s="14">
        <v>221</v>
      </c>
      <c r="D549" s="87">
        <f t="shared" ref="D549:D560" si="140">+C549*$D$1</f>
        <v>299.89999999999998</v>
      </c>
      <c r="E549" s="87">
        <f t="shared" si="136"/>
        <v>407.86399999999998</v>
      </c>
      <c r="F549" s="178">
        <v>550.1</v>
      </c>
      <c r="G549" s="233">
        <v>659.8</v>
      </c>
      <c r="H549" s="178">
        <f t="shared" si="129"/>
        <v>769.98659999999995</v>
      </c>
      <c r="I549" s="170">
        <f t="shared" si="137"/>
        <v>877.46358183376174</v>
      </c>
      <c r="J549" s="170">
        <f t="shared" si="138"/>
        <v>1024</v>
      </c>
      <c r="K549" s="107" t="s">
        <v>523</v>
      </c>
      <c r="L549" s="198"/>
    </row>
    <row r="550" spans="1:12" ht="27.75" thickBot="1" x14ac:dyDescent="0.3">
      <c r="A550" s="254">
        <v>513910</v>
      </c>
      <c r="B550" s="57" t="s">
        <v>1</v>
      </c>
      <c r="C550" s="14">
        <v>221</v>
      </c>
      <c r="D550" s="87">
        <f t="shared" si="140"/>
        <v>299.89999999999998</v>
      </c>
      <c r="E550" s="87">
        <f t="shared" si="136"/>
        <v>407.86399999999998</v>
      </c>
      <c r="F550" s="178">
        <v>550.1</v>
      </c>
      <c r="G550" s="233">
        <v>659.8</v>
      </c>
      <c r="H550" s="178">
        <f t="shared" si="129"/>
        <v>769.98659999999995</v>
      </c>
      <c r="I550" s="170">
        <f t="shared" si="137"/>
        <v>877.46358183376174</v>
      </c>
      <c r="J550" s="170">
        <f t="shared" si="138"/>
        <v>1024</v>
      </c>
      <c r="K550" s="107" t="s">
        <v>524</v>
      </c>
      <c r="L550" s="198"/>
    </row>
    <row r="551" spans="1:12" ht="27.75" thickBot="1" x14ac:dyDescent="0.3">
      <c r="A551" s="254">
        <v>513920</v>
      </c>
      <c r="B551" s="57" t="s">
        <v>1</v>
      </c>
      <c r="C551" s="14">
        <v>221</v>
      </c>
      <c r="D551" s="87">
        <f t="shared" si="140"/>
        <v>299.89999999999998</v>
      </c>
      <c r="E551" s="87">
        <f t="shared" si="136"/>
        <v>407.86399999999998</v>
      </c>
      <c r="F551" s="178">
        <v>550.1</v>
      </c>
      <c r="G551" s="233">
        <v>659.8</v>
      </c>
      <c r="H551" s="178">
        <f t="shared" si="129"/>
        <v>769.98659999999995</v>
      </c>
      <c r="I551" s="170">
        <f t="shared" si="137"/>
        <v>877.46358183376174</v>
      </c>
      <c r="J551" s="170">
        <f t="shared" si="138"/>
        <v>1024</v>
      </c>
      <c r="K551" s="107" t="s">
        <v>525</v>
      </c>
      <c r="L551" s="198"/>
    </row>
    <row r="552" spans="1:12" ht="27.75" thickBot="1" x14ac:dyDescent="0.3">
      <c r="A552" s="254">
        <v>513930</v>
      </c>
      <c r="B552" s="57" t="s">
        <v>124</v>
      </c>
      <c r="C552" s="14">
        <v>221</v>
      </c>
      <c r="D552" s="87">
        <f t="shared" si="140"/>
        <v>299.89999999999998</v>
      </c>
      <c r="E552" s="87">
        <f t="shared" si="136"/>
        <v>407.86399999999998</v>
      </c>
      <c r="F552" s="178">
        <v>550.1</v>
      </c>
      <c r="G552" s="233">
        <v>659.8</v>
      </c>
      <c r="H552" s="178">
        <f t="shared" si="129"/>
        <v>769.98659999999995</v>
      </c>
      <c r="I552" s="170">
        <f t="shared" si="137"/>
        <v>877.46358183376174</v>
      </c>
      <c r="J552" s="170">
        <f t="shared" si="138"/>
        <v>1024</v>
      </c>
      <c r="K552" s="107" t="s">
        <v>526</v>
      </c>
      <c r="L552" s="198"/>
    </row>
    <row r="553" spans="1:12" ht="27.75" thickBot="1" x14ac:dyDescent="0.3">
      <c r="A553" s="254">
        <v>513940</v>
      </c>
      <c r="B553" s="57" t="s">
        <v>1</v>
      </c>
      <c r="C553" s="14">
        <v>221</v>
      </c>
      <c r="D553" s="87">
        <f t="shared" si="140"/>
        <v>299.89999999999998</v>
      </c>
      <c r="E553" s="87">
        <f t="shared" si="136"/>
        <v>407.86399999999998</v>
      </c>
      <c r="F553" s="178">
        <v>550.1</v>
      </c>
      <c r="G553" s="233">
        <v>659.8</v>
      </c>
      <c r="H553" s="178">
        <f t="shared" si="129"/>
        <v>769.98659999999995</v>
      </c>
      <c r="I553" s="170">
        <f t="shared" si="137"/>
        <v>877.46358183376174</v>
      </c>
      <c r="J553" s="170">
        <f t="shared" si="138"/>
        <v>1024</v>
      </c>
      <c r="K553" s="107" t="s">
        <v>527</v>
      </c>
      <c r="L553" s="198"/>
    </row>
    <row r="554" spans="1:12" ht="54.75" thickBot="1" x14ac:dyDescent="0.3">
      <c r="A554" s="254">
        <v>513950</v>
      </c>
      <c r="B554" s="57" t="s">
        <v>1</v>
      </c>
      <c r="C554" s="14">
        <v>221</v>
      </c>
      <c r="D554" s="87">
        <f t="shared" si="140"/>
        <v>299.89999999999998</v>
      </c>
      <c r="E554" s="87">
        <f t="shared" si="136"/>
        <v>407.86399999999998</v>
      </c>
      <c r="F554" s="178">
        <v>550.1</v>
      </c>
      <c r="G554" s="233">
        <v>659.8</v>
      </c>
      <c r="H554" s="178">
        <f t="shared" si="129"/>
        <v>769.98659999999995</v>
      </c>
      <c r="I554" s="170">
        <f t="shared" si="137"/>
        <v>877.46358183376174</v>
      </c>
      <c r="J554" s="170">
        <f t="shared" si="138"/>
        <v>1024</v>
      </c>
      <c r="K554" s="107" t="s">
        <v>528</v>
      </c>
      <c r="L554" s="198"/>
    </row>
    <row r="555" spans="1:12" ht="27.75" thickBot="1" x14ac:dyDescent="0.3">
      <c r="A555" s="254">
        <v>513992</v>
      </c>
      <c r="B555" s="57" t="s">
        <v>1</v>
      </c>
      <c r="C555" s="14">
        <v>221</v>
      </c>
      <c r="D555" s="87">
        <f t="shared" si="140"/>
        <v>299.89999999999998</v>
      </c>
      <c r="E555" s="87">
        <f t="shared" si="136"/>
        <v>407.86399999999998</v>
      </c>
      <c r="F555" s="178">
        <v>550.1</v>
      </c>
      <c r="G555" s="233">
        <v>659.8</v>
      </c>
      <c r="H555" s="178">
        <f t="shared" si="129"/>
        <v>769.98659999999995</v>
      </c>
      <c r="I555" s="170">
        <f t="shared" si="137"/>
        <v>877.46358183376174</v>
      </c>
      <c r="J555" s="170">
        <f t="shared" si="138"/>
        <v>1024</v>
      </c>
      <c r="K555" s="107" t="s">
        <v>529</v>
      </c>
      <c r="L555" s="198"/>
    </row>
    <row r="556" spans="1:12" ht="27.75" thickBot="1" x14ac:dyDescent="0.3">
      <c r="A556" s="254">
        <v>513999.1</v>
      </c>
      <c r="B556" s="57" t="s">
        <v>1</v>
      </c>
      <c r="C556" s="14">
        <v>221</v>
      </c>
      <c r="D556" s="87">
        <f t="shared" si="140"/>
        <v>299.89999999999998</v>
      </c>
      <c r="E556" s="87">
        <f t="shared" si="136"/>
        <v>407.86399999999998</v>
      </c>
      <c r="F556" s="178">
        <v>550.1</v>
      </c>
      <c r="G556" s="233">
        <v>659.8</v>
      </c>
      <c r="H556" s="178">
        <f t="shared" si="129"/>
        <v>769.98659999999995</v>
      </c>
      <c r="I556" s="170">
        <f t="shared" si="137"/>
        <v>877.46358183376174</v>
      </c>
      <c r="J556" s="170">
        <f t="shared" si="138"/>
        <v>1024</v>
      </c>
      <c r="K556" s="107" t="s">
        <v>530</v>
      </c>
      <c r="L556" s="198"/>
    </row>
    <row r="557" spans="1:12" ht="27.75" thickBot="1" x14ac:dyDescent="0.3">
      <c r="A557" s="254">
        <v>513999.2</v>
      </c>
      <c r="B557" s="57" t="s">
        <v>1</v>
      </c>
      <c r="C557" s="14">
        <v>221</v>
      </c>
      <c r="D557" s="87">
        <f t="shared" si="140"/>
        <v>299.89999999999998</v>
      </c>
      <c r="E557" s="87">
        <f t="shared" si="136"/>
        <v>407.86399999999998</v>
      </c>
      <c r="F557" s="178">
        <v>550.1</v>
      </c>
      <c r="G557" s="233">
        <v>659.8</v>
      </c>
      <c r="H557" s="178">
        <f t="shared" si="129"/>
        <v>769.98659999999995</v>
      </c>
      <c r="I557" s="170">
        <f t="shared" si="137"/>
        <v>877.46358183376174</v>
      </c>
      <c r="J557" s="170">
        <f t="shared" si="138"/>
        <v>1024</v>
      </c>
      <c r="K557" s="107" t="s">
        <v>531</v>
      </c>
      <c r="L557" s="198"/>
    </row>
    <row r="558" spans="1:12" ht="41.25" thickBot="1" x14ac:dyDescent="0.3">
      <c r="A558" s="254">
        <v>513999.3</v>
      </c>
      <c r="B558" s="57" t="s">
        <v>59</v>
      </c>
      <c r="C558" s="14">
        <v>221</v>
      </c>
      <c r="D558" s="87">
        <f t="shared" si="140"/>
        <v>299.89999999999998</v>
      </c>
      <c r="E558" s="87">
        <f t="shared" si="136"/>
        <v>407.86399999999998</v>
      </c>
      <c r="F558" s="178">
        <v>550.1</v>
      </c>
      <c r="G558" s="233">
        <v>659.8</v>
      </c>
      <c r="H558" s="178">
        <f t="shared" si="129"/>
        <v>769.98659999999995</v>
      </c>
      <c r="I558" s="170">
        <f t="shared" si="137"/>
        <v>877.46358183376174</v>
      </c>
      <c r="J558" s="170">
        <f t="shared" si="138"/>
        <v>1024</v>
      </c>
      <c r="K558" s="107" t="s">
        <v>532</v>
      </c>
      <c r="L558" s="198"/>
    </row>
    <row r="559" spans="1:12" ht="16.5" thickBot="1" x14ac:dyDescent="0.3">
      <c r="A559" s="254">
        <v>513999.4</v>
      </c>
      <c r="B559" s="57" t="s">
        <v>59</v>
      </c>
      <c r="C559" s="14">
        <v>221</v>
      </c>
      <c r="D559" s="87">
        <f t="shared" si="140"/>
        <v>299.89999999999998</v>
      </c>
      <c r="E559" s="87">
        <f t="shared" si="136"/>
        <v>407.86399999999998</v>
      </c>
      <c r="F559" s="178">
        <v>550.1</v>
      </c>
      <c r="G559" s="233">
        <v>659.8</v>
      </c>
      <c r="H559" s="178">
        <f t="shared" si="129"/>
        <v>769.98659999999995</v>
      </c>
      <c r="I559" s="170">
        <f t="shared" si="137"/>
        <v>877.46358183376174</v>
      </c>
      <c r="J559" s="170">
        <f t="shared" si="138"/>
        <v>1024</v>
      </c>
      <c r="K559" s="107" t="s">
        <v>533</v>
      </c>
      <c r="L559" s="198"/>
    </row>
    <row r="560" spans="1:12" ht="16.5" thickBot="1" x14ac:dyDescent="0.3">
      <c r="A560" s="254">
        <v>513999.5</v>
      </c>
      <c r="B560" s="57" t="s">
        <v>1</v>
      </c>
      <c r="C560" s="14">
        <v>221</v>
      </c>
      <c r="D560" s="87">
        <f t="shared" si="140"/>
        <v>299.89999999999998</v>
      </c>
      <c r="E560" s="87">
        <f t="shared" si="136"/>
        <v>407.86399999999998</v>
      </c>
      <c r="F560" s="178">
        <v>550.1</v>
      </c>
      <c r="G560" s="233">
        <v>659.8</v>
      </c>
      <c r="H560" s="178">
        <f t="shared" si="129"/>
        <v>769.98659999999995</v>
      </c>
      <c r="I560" s="170">
        <f t="shared" si="137"/>
        <v>877.46358183376174</v>
      </c>
      <c r="J560" s="170">
        <f t="shared" si="138"/>
        <v>1024</v>
      </c>
      <c r="K560" s="107" t="s">
        <v>534</v>
      </c>
      <c r="L560" s="198"/>
    </row>
    <row r="561" spans="1:12" ht="16.5" thickBot="1" x14ac:dyDescent="0.3">
      <c r="A561" s="254">
        <v>513999.6</v>
      </c>
      <c r="B561" s="57" t="s">
        <v>59</v>
      </c>
      <c r="C561" s="14">
        <v>358</v>
      </c>
      <c r="D561" s="87">
        <v>485</v>
      </c>
      <c r="E561" s="87">
        <v>659.8</v>
      </c>
      <c r="F561" s="178">
        <f t="shared" si="139"/>
        <v>890.73</v>
      </c>
      <c r="G561" s="233">
        <v>1068.5999999999999</v>
      </c>
      <c r="H561" s="178">
        <f t="shared" si="129"/>
        <v>1247.0562</v>
      </c>
      <c r="I561" s="170">
        <f t="shared" si="137"/>
        <v>1421.5938303341902</v>
      </c>
      <c r="J561" s="170">
        <f t="shared" si="138"/>
        <v>1659</v>
      </c>
      <c r="K561" s="107" t="s">
        <v>535</v>
      </c>
      <c r="L561" s="198"/>
    </row>
    <row r="562" spans="1:12" ht="27.75" thickBot="1" x14ac:dyDescent="0.3">
      <c r="A562" s="254">
        <v>515150</v>
      </c>
      <c r="B562" s="57" t="s">
        <v>1</v>
      </c>
      <c r="C562" s="14">
        <v>221</v>
      </c>
      <c r="D562" s="87">
        <f>+C562*$D$1</f>
        <v>299.89999999999998</v>
      </c>
      <c r="E562" s="87">
        <f t="shared" si="136"/>
        <v>407.86399999999998</v>
      </c>
      <c r="F562" s="178">
        <v>550.1</v>
      </c>
      <c r="G562" s="233">
        <v>659.8</v>
      </c>
      <c r="H562" s="178">
        <f t="shared" si="129"/>
        <v>769.98659999999995</v>
      </c>
      <c r="I562" s="170">
        <f t="shared" si="137"/>
        <v>877.46358183376174</v>
      </c>
      <c r="J562" s="170">
        <f t="shared" si="138"/>
        <v>1024</v>
      </c>
      <c r="K562" s="107" t="s">
        <v>536</v>
      </c>
      <c r="L562" s="198"/>
    </row>
    <row r="563" spans="1:12" ht="27.75" thickBot="1" x14ac:dyDescent="0.3">
      <c r="A563" s="254">
        <v>515420</v>
      </c>
      <c r="B563" s="57" t="s">
        <v>1</v>
      </c>
      <c r="C563" s="14">
        <v>221</v>
      </c>
      <c r="D563" s="87">
        <f>+C563*$D$1</f>
        <v>299.89999999999998</v>
      </c>
      <c r="E563" s="87">
        <f t="shared" si="136"/>
        <v>407.86399999999998</v>
      </c>
      <c r="F563" s="178">
        <v>550.1</v>
      </c>
      <c r="G563" s="233">
        <v>659.8</v>
      </c>
      <c r="H563" s="178">
        <f t="shared" si="129"/>
        <v>769.98659999999995</v>
      </c>
      <c r="I563" s="170">
        <f t="shared" si="137"/>
        <v>877.46358183376174</v>
      </c>
      <c r="J563" s="170">
        <f t="shared" si="138"/>
        <v>1024</v>
      </c>
      <c r="K563" s="107" t="s">
        <v>537</v>
      </c>
      <c r="L563" s="198"/>
    </row>
    <row r="564" spans="1:12" ht="17.25" thickBot="1" x14ac:dyDescent="0.3">
      <c r="A564" s="73" t="s">
        <v>538</v>
      </c>
      <c r="B564" s="76"/>
      <c r="C564" s="4"/>
      <c r="D564" s="45"/>
      <c r="E564" s="45"/>
      <c r="F564" s="45"/>
      <c r="G564" s="45"/>
      <c r="H564" s="45"/>
      <c r="I564" s="45"/>
      <c r="J564" s="45"/>
      <c r="K564" s="72"/>
      <c r="L564" s="198"/>
    </row>
    <row r="565" spans="1:12" ht="27.75" thickBot="1" x14ac:dyDescent="0.3">
      <c r="A565" s="254">
        <v>513531</v>
      </c>
      <c r="B565" s="57" t="s">
        <v>59</v>
      </c>
      <c r="C565" s="14">
        <v>221</v>
      </c>
      <c r="D565" s="55">
        <f t="shared" ref="D565:D574" si="141">+C565*$D$1</f>
        <v>299.89999999999998</v>
      </c>
      <c r="E565" s="55">
        <f t="shared" si="136"/>
        <v>407.86399999999998</v>
      </c>
      <c r="F565" s="178">
        <v>550.1</v>
      </c>
      <c r="G565" s="233">
        <v>659.8</v>
      </c>
      <c r="H565" s="178">
        <f t="shared" si="129"/>
        <v>769.98659999999995</v>
      </c>
      <c r="I565" s="170">
        <f t="shared" ref="I565:I574" si="142">+J565/1.167</f>
        <v>877.46358183376174</v>
      </c>
      <c r="J565" s="170">
        <f t="shared" ref="J565:J574" si="143">ROUND(+H565*(1+$J$1),0)</f>
        <v>1024</v>
      </c>
      <c r="K565" s="107" t="s">
        <v>539</v>
      </c>
      <c r="L565" s="198"/>
    </row>
    <row r="566" spans="1:12" ht="27.75" thickBot="1" x14ac:dyDescent="0.3">
      <c r="A566" s="254">
        <v>514310</v>
      </c>
      <c r="B566" s="57" t="s">
        <v>59</v>
      </c>
      <c r="C566" s="14">
        <v>221</v>
      </c>
      <c r="D566" s="87">
        <f t="shared" si="141"/>
        <v>299.89999999999998</v>
      </c>
      <c r="E566" s="87">
        <f t="shared" si="136"/>
        <v>407.86399999999998</v>
      </c>
      <c r="F566" s="178">
        <v>550.1</v>
      </c>
      <c r="G566" s="233">
        <v>659.8</v>
      </c>
      <c r="H566" s="178">
        <f t="shared" si="129"/>
        <v>769.98659999999995</v>
      </c>
      <c r="I566" s="170">
        <f t="shared" si="142"/>
        <v>877.46358183376174</v>
      </c>
      <c r="J566" s="170">
        <f t="shared" si="143"/>
        <v>1024</v>
      </c>
      <c r="K566" s="107" t="s">
        <v>540</v>
      </c>
      <c r="L566" s="198"/>
    </row>
    <row r="567" spans="1:12" ht="27.75" thickBot="1" x14ac:dyDescent="0.3">
      <c r="A567" s="254">
        <v>514320</v>
      </c>
      <c r="B567" s="57" t="s">
        <v>59</v>
      </c>
      <c r="C567" s="14">
        <v>221</v>
      </c>
      <c r="D567" s="87">
        <f t="shared" si="141"/>
        <v>299.89999999999998</v>
      </c>
      <c r="E567" s="87">
        <f t="shared" si="136"/>
        <v>407.86399999999998</v>
      </c>
      <c r="F567" s="178">
        <v>550.1</v>
      </c>
      <c r="G567" s="233">
        <v>659.8</v>
      </c>
      <c r="H567" s="178">
        <f t="shared" si="129"/>
        <v>769.98659999999995</v>
      </c>
      <c r="I567" s="170">
        <f t="shared" si="142"/>
        <v>877.46358183376174</v>
      </c>
      <c r="J567" s="170">
        <f t="shared" si="143"/>
        <v>1024</v>
      </c>
      <c r="K567" s="107" t="s">
        <v>541</v>
      </c>
      <c r="L567" s="198"/>
    </row>
    <row r="568" spans="1:12" ht="16.5" thickBot="1" x14ac:dyDescent="0.3">
      <c r="A568" s="254">
        <v>514330</v>
      </c>
      <c r="B568" s="57" t="s">
        <v>59</v>
      </c>
      <c r="C568" s="14">
        <v>221</v>
      </c>
      <c r="D568" s="87">
        <f t="shared" si="141"/>
        <v>299.89999999999998</v>
      </c>
      <c r="E568" s="87">
        <f t="shared" si="136"/>
        <v>407.86399999999998</v>
      </c>
      <c r="F568" s="178">
        <v>550.1</v>
      </c>
      <c r="G568" s="233">
        <v>659.8</v>
      </c>
      <c r="H568" s="178">
        <f t="shared" si="129"/>
        <v>769.98659999999995</v>
      </c>
      <c r="I568" s="170">
        <f t="shared" si="142"/>
        <v>877.46358183376174</v>
      </c>
      <c r="J568" s="170">
        <f t="shared" si="143"/>
        <v>1024</v>
      </c>
      <c r="K568" s="107" t="s">
        <v>542</v>
      </c>
      <c r="L568" s="198"/>
    </row>
    <row r="569" spans="1:12" ht="27.75" thickBot="1" x14ac:dyDescent="0.3">
      <c r="A569" s="254">
        <v>514340</v>
      </c>
      <c r="B569" s="57" t="s">
        <v>59</v>
      </c>
      <c r="C569" s="14">
        <v>221</v>
      </c>
      <c r="D569" s="87">
        <f t="shared" si="141"/>
        <v>299.89999999999998</v>
      </c>
      <c r="E569" s="87">
        <f t="shared" si="136"/>
        <v>407.86399999999998</v>
      </c>
      <c r="F569" s="178">
        <v>550.1</v>
      </c>
      <c r="G569" s="233">
        <v>659.8</v>
      </c>
      <c r="H569" s="178">
        <f t="shared" si="129"/>
        <v>769.98659999999995</v>
      </c>
      <c r="I569" s="170">
        <f t="shared" si="142"/>
        <v>877.46358183376174</v>
      </c>
      <c r="J569" s="170">
        <f t="shared" si="143"/>
        <v>1024</v>
      </c>
      <c r="K569" s="107" t="s">
        <v>543</v>
      </c>
      <c r="L569" s="198"/>
    </row>
    <row r="570" spans="1:12" ht="27.75" thickBot="1" x14ac:dyDescent="0.3">
      <c r="A570" s="254">
        <v>514350</v>
      </c>
      <c r="B570" s="57" t="s">
        <v>59</v>
      </c>
      <c r="C570" s="14">
        <v>221</v>
      </c>
      <c r="D570" s="87">
        <f t="shared" si="141"/>
        <v>299.89999999999998</v>
      </c>
      <c r="E570" s="87">
        <f t="shared" si="136"/>
        <v>407.86399999999998</v>
      </c>
      <c r="F570" s="178">
        <v>550.1</v>
      </c>
      <c r="G570" s="233">
        <v>659.8</v>
      </c>
      <c r="H570" s="178">
        <f t="shared" si="129"/>
        <v>769.98659999999995</v>
      </c>
      <c r="I570" s="170">
        <f t="shared" si="142"/>
        <v>877.46358183376174</v>
      </c>
      <c r="J570" s="170">
        <f t="shared" si="143"/>
        <v>1024</v>
      </c>
      <c r="K570" s="107" t="s">
        <v>544</v>
      </c>
      <c r="L570" s="198"/>
    </row>
    <row r="571" spans="1:12" ht="41.25" thickBot="1" x14ac:dyDescent="0.3">
      <c r="A571" s="254">
        <v>514391</v>
      </c>
      <c r="B571" s="57" t="s">
        <v>59</v>
      </c>
      <c r="C571" s="14">
        <v>221</v>
      </c>
      <c r="D571" s="87">
        <f t="shared" si="141"/>
        <v>299.89999999999998</v>
      </c>
      <c r="E571" s="87">
        <f t="shared" si="136"/>
        <v>407.86399999999998</v>
      </c>
      <c r="F571" s="178">
        <v>550.1</v>
      </c>
      <c r="G571" s="233">
        <v>659.8</v>
      </c>
      <c r="H571" s="178">
        <f t="shared" si="129"/>
        <v>769.98659999999995</v>
      </c>
      <c r="I571" s="170">
        <f t="shared" si="142"/>
        <v>877.46358183376174</v>
      </c>
      <c r="J571" s="170">
        <f t="shared" si="143"/>
        <v>1024</v>
      </c>
      <c r="K571" s="107" t="s">
        <v>545</v>
      </c>
      <c r="L571" s="198"/>
    </row>
    <row r="572" spans="1:12" ht="27.75" thickBot="1" x14ac:dyDescent="0.3">
      <c r="A572" s="254">
        <v>514392</v>
      </c>
      <c r="B572" s="57" t="s">
        <v>59</v>
      </c>
      <c r="C572" s="14">
        <v>221</v>
      </c>
      <c r="D572" s="87">
        <f t="shared" si="141"/>
        <v>299.89999999999998</v>
      </c>
      <c r="E572" s="87">
        <f t="shared" si="136"/>
        <v>407.86399999999998</v>
      </c>
      <c r="F572" s="178">
        <v>550.1</v>
      </c>
      <c r="G572" s="233">
        <v>659.8</v>
      </c>
      <c r="H572" s="178">
        <f t="shared" si="129"/>
        <v>769.98659999999995</v>
      </c>
      <c r="I572" s="170">
        <f t="shared" si="142"/>
        <v>877.46358183376174</v>
      </c>
      <c r="J572" s="170">
        <f t="shared" si="143"/>
        <v>1024</v>
      </c>
      <c r="K572" s="107" t="s">
        <v>546</v>
      </c>
      <c r="L572" s="198"/>
    </row>
    <row r="573" spans="1:12" ht="27.75" thickBot="1" x14ac:dyDescent="0.3">
      <c r="A573" s="254">
        <v>514399.1</v>
      </c>
      <c r="B573" s="57" t="s">
        <v>59</v>
      </c>
      <c r="C573" s="14">
        <v>221</v>
      </c>
      <c r="D573" s="87">
        <f t="shared" si="141"/>
        <v>299.89999999999998</v>
      </c>
      <c r="E573" s="87">
        <f t="shared" si="136"/>
        <v>407.86399999999998</v>
      </c>
      <c r="F573" s="178">
        <v>550.1</v>
      </c>
      <c r="G573" s="233">
        <v>659.8</v>
      </c>
      <c r="H573" s="178">
        <f t="shared" si="129"/>
        <v>769.98659999999995</v>
      </c>
      <c r="I573" s="170">
        <f t="shared" si="142"/>
        <v>877.46358183376174</v>
      </c>
      <c r="J573" s="170">
        <f t="shared" si="143"/>
        <v>1024</v>
      </c>
      <c r="K573" s="107" t="s">
        <v>547</v>
      </c>
      <c r="L573" s="198"/>
    </row>
    <row r="574" spans="1:12" ht="27.75" thickBot="1" x14ac:dyDescent="0.3">
      <c r="A574" s="254">
        <v>514399.2</v>
      </c>
      <c r="B574" s="57" t="s">
        <v>59</v>
      </c>
      <c r="C574" s="14">
        <v>221</v>
      </c>
      <c r="D574" s="87">
        <f t="shared" si="141"/>
        <v>299.89999999999998</v>
      </c>
      <c r="E574" s="87">
        <f t="shared" si="136"/>
        <v>407.86399999999998</v>
      </c>
      <c r="F574" s="178">
        <v>550.1</v>
      </c>
      <c r="G574" s="233">
        <v>659.8</v>
      </c>
      <c r="H574" s="178">
        <f t="shared" si="129"/>
        <v>769.98659999999995</v>
      </c>
      <c r="I574" s="170">
        <f t="shared" si="142"/>
        <v>877.46358183376174</v>
      </c>
      <c r="J574" s="170">
        <f t="shared" si="143"/>
        <v>1024</v>
      </c>
      <c r="K574" s="107" t="s">
        <v>548</v>
      </c>
      <c r="L574" s="198"/>
    </row>
    <row r="575" spans="1:12" ht="17.25" customHeight="1" thickBot="1" x14ac:dyDescent="0.3">
      <c r="A575" s="111" t="s">
        <v>549</v>
      </c>
      <c r="B575" s="76"/>
      <c r="C575" s="4"/>
      <c r="D575" s="45"/>
      <c r="E575" s="45"/>
      <c r="F575" s="45"/>
      <c r="G575" s="45"/>
      <c r="H575" s="45"/>
      <c r="I575" s="45"/>
      <c r="J575" s="45"/>
      <c r="K575" s="72"/>
      <c r="L575" s="198"/>
    </row>
    <row r="576" spans="1:12" ht="41.25" thickBot="1" x14ac:dyDescent="0.3">
      <c r="A576" s="254">
        <v>515110</v>
      </c>
      <c r="B576" s="57" t="s">
        <v>59</v>
      </c>
      <c r="C576" s="14">
        <v>221</v>
      </c>
      <c r="D576" s="55">
        <f>+C576*$D$1</f>
        <v>299.89999999999998</v>
      </c>
      <c r="E576" s="55">
        <f t="shared" si="136"/>
        <v>407.86399999999998</v>
      </c>
      <c r="F576" s="178">
        <v>550.1</v>
      </c>
      <c r="G576" s="233">
        <v>659.8</v>
      </c>
      <c r="H576" s="178">
        <f t="shared" si="129"/>
        <v>769.98659999999995</v>
      </c>
      <c r="I576" s="170">
        <f t="shared" ref="I576:I577" si="144">+J576/1.167</f>
        <v>877.46358183376174</v>
      </c>
      <c r="J576" s="170">
        <f t="shared" ref="J576:J577" si="145">ROUND(+H576*(1+$J$1),0)</f>
        <v>1024</v>
      </c>
      <c r="K576" s="107" t="s">
        <v>550</v>
      </c>
      <c r="L576" s="198"/>
    </row>
    <row r="577" spans="1:16" ht="27.75" thickBot="1" x14ac:dyDescent="0.3">
      <c r="A577" s="254">
        <v>515921</v>
      </c>
      <c r="B577" s="57" t="s">
        <v>59</v>
      </c>
      <c r="C577" s="14">
        <v>221</v>
      </c>
      <c r="D577" s="87">
        <f>+C577*$D$1</f>
        <v>299.89999999999998</v>
      </c>
      <c r="E577" s="87">
        <f t="shared" si="136"/>
        <v>407.86399999999998</v>
      </c>
      <c r="F577" s="178">
        <v>550.1</v>
      </c>
      <c r="G577" s="233">
        <v>659.8</v>
      </c>
      <c r="H577" s="178">
        <f t="shared" si="129"/>
        <v>769.98659999999995</v>
      </c>
      <c r="I577" s="170">
        <f t="shared" si="144"/>
        <v>877.46358183376174</v>
      </c>
      <c r="J577" s="170">
        <f t="shared" si="145"/>
        <v>1024</v>
      </c>
      <c r="K577" s="107" t="s">
        <v>551</v>
      </c>
      <c r="L577" s="198"/>
    </row>
    <row r="578" spans="1:16" ht="17.25" thickBot="1" x14ac:dyDescent="0.3">
      <c r="A578" s="73" t="s">
        <v>552</v>
      </c>
      <c r="B578" s="76"/>
      <c r="C578" s="4"/>
      <c r="D578" s="45"/>
      <c r="E578" s="45"/>
      <c r="F578" s="45"/>
      <c r="G578" s="45"/>
      <c r="H578" s="45"/>
      <c r="I578" s="45"/>
      <c r="J578" s="45"/>
      <c r="K578" s="72"/>
      <c r="L578" s="198"/>
    </row>
    <row r="579" spans="1:16" ht="27.75" thickBot="1" x14ac:dyDescent="0.3">
      <c r="A579" s="254">
        <v>501110.2</v>
      </c>
      <c r="B579" s="57" t="s">
        <v>393</v>
      </c>
      <c r="C579" s="14">
        <v>358</v>
      </c>
      <c r="D579" s="55">
        <v>485</v>
      </c>
      <c r="E579" s="55">
        <v>659.8</v>
      </c>
      <c r="F579" s="178">
        <f t="shared" si="139"/>
        <v>890.73</v>
      </c>
      <c r="G579" s="233">
        <v>1068.5999999999999</v>
      </c>
      <c r="H579" s="178">
        <f t="shared" si="129"/>
        <v>1247.0562</v>
      </c>
      <c r="I579" s="170">
        <f t="shared" ref="I579:I580" si="146">+J579/1.167</f>
        <v>1421.5938303341902</v>
      </c>
      <c r="J579" s="170">
        <f t="shared" ref="J579:J580" si="147">ROUND(+H579*(1+$J$1),0)</f>
        <v>1659</v>
      </c>
      <c r="K579" s="107" t="s">
        <v>553</v>
      </c>
      <c r="L579" s="198"/>
    </row>
    <row r="580" spans="1:16" ht="27.75" thickBot="1" x14ac:dyDescent="0.3">
      <c r="A580" s="254">
        <v>501210.2</v>
      </c>
      <c r="B580" s="57" t="s">
        <v>124</v>
      </c>
      <c r="C580" s="14">
        <v>3633</v>
      </c>
      <c r="D580" s="87">
        <v>4930</v>
      </c>
      <c r="E580" s="87">
        <f t="shared" si="136"/>
        <v>6704.8</v>
      </c>
      <c r="F580" s="178">
        <f t="shared" si="139"/>
        <v>9051.4800000000014</v>
      </c>
      <c r="G580" s="233">
        <v>10862.1</v>
      </c>
      <c r="H580" s="178">
        <f t="shared" si="129"/>
        <v>12676.0707</v>
      </c>
      <c r="I580" s="170">
        <f t="shared" si="146"/>
        <v>14446.443873179091</v>
      </c>
      <c r="J580" s="170">
        <f t="shared" si="147"/>
        <v>16859</v>
      </c>
      <c r="K580" s="107" t="s">
        <v>554</v>
      </c>
      <c r="L580" s="198"/>
    </row>
    <row r="581" spans="1:16" ht="17.25" thickBot="1" x14ac:dyDescent="0.3">
      <c r="A581" s="112" t="s">
        <v>555</v>
      </c>
      <c r="B581" s="131"/>
      <c r="C581" s="25"/>
      <c r="D581" s="47"/>
      <c r="E581" s="47"/>
      <c r="F581" s="47"/>
      <c r="G581" s="47"/>
      <c r="H581" s="47"/>
      <c r="I581" s="47"/>
      <c r="J581" s="47"/>
      <c r="K581" s="113"/>
      <c r="L581" s="198"/>
    </row>
    <row r="582" spans="1:16" ht="17.25" thickBot="1" x14ac:dyDescent="0.3">
      <c r="A582" s="73" t="s">
        <v>556</v>
      </c>
      <c r="B582" s="76"/>
      <c r="C582" s="4"/>
      <c r="D582" s="45"/>
      <c r="E582" s="45"/>
      <c r="F582" s="45"/>
      <c r="G582" s="45"/>
      <c r="H582" s="45"/>
      <c r="I582" s="45"/>
      <c r="J582" s="45"/>
      <c r="K582" s="72"/>
      <c r="L582" s="198"/>
    </row>
    <row r="583" spans="1:16" ht="27.75" thickBot="1" x14ac:dyDescent="0.3">
      <c r="A583" s="254">
        <v>501110.1</v>
      </c>
      <c r="B583" s="57" t="s">
        <v>124</v>
      </c>
      <c r="C583" s="14">
        <v>2453</v>
      </c>
      <c r="D583" s="55">
        <v>3330</v>
      </c>
      <c r="E583" s="55">
        <f t="shared" si="136"/>
        <v>4528.8</v>
      </c>
      <c r="F583" s="178">
        <f t="shared" si="139"/>
        <v>6113.880000000001</v>
      </c>
      <c r="G583" s="233">
        <v>7336.8</v>
      </c>
      <c r="H583" s="178">
        <f t="shared" ref="H583:H646" si="148">G583*1.167</f>
        <v>8562.0456000000013</v>
      </c>
      <c r="I583" s="170">
        <f t="shared" ref="I583:I587" si="149">+J583/1.167</f>
        <v>9758.3547557840611</v>
      </c>
      <c r="J583" s="170">
        <f t="shared" ref="J583:J587" si="150">ROUND(+H583*(1+$J$1),0)</f>
        <v>11388</v>
      </c>
      <c r="K583" s="107" t="s">
        <v>557</v>
      </c>
      <c r="L583" s="198"/>
    </row>
    <row r="584" spans="1:16" ht="27.75" thickBot="1" x14ac:dyDescent="0.3">
      <c r="A584" s="254">
        <v>501210.1</v>
      </c>
      <c r="B584" s="57" t="s">
        <v>124</v>
      </c>
      <c r="C584" s="14">
        <v>708</v>
      </c>
      <c r="D584" s="87">
        <v>960</v>
      </c>
      <c r="E584" s="87">
        <v>1305.9000000000001</v>
      </c>
      <c r="F584" s="178">
        <f t="shared" si="139"/>
        <v>1762.9650000000001</v>
      </c>
      <c r="G584" s="233">
        <v>2115.6999999999998</v>
      </c>
      <c r="H584" s="178">
        <f t="shared" si="148"/>
        <v>2469.0218999999997</v>
      </c>
      <c r="I584" s="170">
        <f t="shared" si="149"/>
        <v>2814.0531276778061</v>
      </c>
      <c r="J584" s="170">
        <f t="shared" si="150"/>
        <v>3284</v>
      </c>
      <c r="K584" s="107" t="s">
        <v>558</v>
      </c>
      <c r="L584" s="198"/>
    </row>
    <row r="585" spans="1:16" ht="27.75" thickBot="1" x14ac:dyDescent="0.3">
      <c r="A585" s="254">
        <v>501210.3</v>
      </c>
      <c r="B585" s="57" t="s">
        <v>481</v>
      </c>
      <c r="C585" s="14">
        <v>358</v>
      </c>
      <c r="D585" s="87">
        <v>485</v>
      </c>
      <c r="E585" s="87">
        <v>659.8</v>
      </c>
      <c r="F585" s="178">
        <f t="shared" si="139"/>
        <v>890.73</v>
      </c>
      <c r="G585" s="233">
        <v>1068.5999999999999</v>
      </c>
      <c r="H585" s="178">
        <f t="shared" si="148"/>
        <v>1247.0562</v>
      </c>
      <c r="I585" s="170">
        <f t="shared" si="149"/>
        <v>1421.5938303341902</v>
      </c>
      <c r="J585" s="170">
        <f t="shared" si="150"/>
        <v>1659</v>
      </c>
      <c r="K585" s="107" t="s">
        <v>559</v>
      </c>
      <c r="L585" s="198"/>
    </row>
    <row r="586" spans="1:16" ht="27.75" thickBot="1" x14ac:dyDescent="0.3">
      <c r="A586" s="254">
        <v>501210.4</v>
      </c>
      <c r="B586" s="57" t="s">
        <v>481</v>
      </c>
      <c r="C586" s="14">
        <v>358</v>
      </c>
      <c r="D586" s="87">
        <v>485</v>
      </c>
      <c r="E586" s="87">
        <v>659.8</v>
      </c>
      <c r="F586" s="178">
        <f t="shared" si="139"/>
        <v>890.73</v>
      </c>
      <c r="G586" s="233">
        <v>1068.5999999999999</v>
      </c>
      <c r="H586" s="178">
        <f t="shared" si="148"/>
        <v>1247.0562</v>
      </c>
      <c r="I586" s="170">
        <f t="shared" si="149"/>
        <v>1421.5938303341902</v>
      </c>
      <c r="J586" s="170">
        <f t="shared" si="150"/>
        <v>1659</v>
      </c>
      <c r="K586" s="107" t="s">
        <v>560</v>
      </c>
      <c r="L586" s="198"/>
    </row>
    <row r="587" spans="1:16" ht="27.75" thickBot="1" x14ac:dyDescent="0.3">
      <c r="A587" s="254">
        <v>504010</v>
      </c>
      <c r="B587" s="57" t="s">
        <v>393</v>
      </c>
      <c r="C587" s="14">
        <v>358</v>
      </c>
      <c r="D587" s="87">
        <v>485</v>
      </c>
      <c r="E587" s="87">
        <v>659.8</v>
      </c>
      <c r="F587" s="178">
        <f t="shared" si="139"/>
        <v>890.73</v>
      </c>
      <c r="G587" s="233">
        <v>1068.5999999999999</v>
      </c>
      <c r="H587" s="178">
        <f t="shared" si="148"/>
        <v>1247.0562</v>
      </c>
      <c r="I587" s="170">
        <f t="shared" si="149"/>
        <v>1421.5938303341902</v>
      </c>
      <c r="J587" s="170">
        <f t="shared" si="150"/>
        <v>1659</v>
      </c>
      <c r="K587" s="107" t="s">
        <v>561</v>
      </c>
      <c r="L587" s="198"/>
    </row>
    <row r="588" spans="1:16" ht="17.25" thickBot="1" x14ac:dyDescent="0.3">
      <c r="A588" s="73" t="s">
        <v>562</v>
      </c>
      <c r="B588" s="76"/>
      <c r="C588" s="4"/>
      <c r="D588" s="45"/>
      <c r="E588" s="45"/>
      <c r="F588" s="45"/>
      <c r="G588" s="45"/>
      <c r="H588" s="45"/>
      <c r="I588" s="45"/>
      <c r="J588" s="45"/>
      <c r="K588" s="72"/>
      <c r="L588" s="198"/>
    </row>
    <row r="589" spans="1:16" ht="16.5" thickBot="1" x14ac:dyDescent="0.3">
      <c r="A589" s="254">
        <v>521110</v>
      </c>
      <c r="B589" s="57" t="s">
        <v>1006</v>
      </c>
      <c r="C589" s="55">
        <v>68025</v>
      </c>
      <c r="D589" s="55">
        <v>92300</v>
      </c>
      <c r="E589" s="55">
        <v>125600</v>
      </c>
      <c r="F589" s="178">
        <v>170000</v>
      </c>
      <c r="G589" s="233">
        <v>206000</v>
      </c>
      <c r="H589" s="178">
        <f t="shared" si="148"/>
        <v>240402</v>
      </c>
      <c r="I589" s="170">
        <f t="shared" ref="I589:I615" si="151">+J589/1.167</f>
        <v>273980.2913453299</v>
      </c>
      <c r="J589" s="170">
        <f t="shared" ref="J589:J615" si="152">ROUND(+H589*(1+$J$1),0)</f>
        <v>319735</v>
      </c>
      <c r="K589" s="107" t="s">
        <v>563</v>
      </c>
      <c r="L589" s="198"/>
    </row>
    <row r="590" spans="1:16" ht="27.75" thickBot="1" x14ac:dyDescent="0.3">
      <c r="A590" s="254" t="s">
        <v>1041</v>
      </c>
      <c r="B590" s="57" t="s">
        <v>1</v>
      </c>
      <c r="C590" s="55">
        <v>2453</v>
      </c>
      <c r="D590" s="87">
        <v>3330</v>
      </c>
      <c r="E590" s="87">
        <v>4530</v>
      </c>
      <c r="F590" s="178">
        <f t="shared" si="139"/>
        <v>6115.5</v>
      </c>
      <c r="G590" s="233">
        <v>7338.5</v>
      </c>
      <c r="H590" s="178">
        <f t="shared" si="148"/>
        <v>8564.0295000000006</v>
      </c>
      <c r="I590" s="170">
        <f t="shared" si="151"/>
        <v>9760.0685518423306</v>
      </c>
      <c r="J590" s="170">
        <f t="shared" si="152"/>
        <v>11390</v>
      </c>
      <c r="K590" s="107" t="s">
        <v>1054</v>
      </c>
      <c r="L590" s="198"/>
    </row>
    <row r="591" spans="1:16" ht="27.75" thickBot="1" x14ac:dyDescent="0.3">
      <c r="A591" s="254" t="s">
        <v>1042</v>
      </c>
      <c r="B591" s="57" t="s">
        <v>59</v>
      </c>
      <c r="C591" s="55">
        <v>2822</v>
      </c>
      <c r="D591" s="87">
        <v>3830</v>
      </c>
      <c r="E591" s="87">
        <v>5210</v>
      </c>
      <c r="F591" s="178">
        <v>0</v>
      </c>
      <c r="G591" s="233">
        <v>0</v>
      </c>
      <c r="H591" s="178">
        <f t="shared" si="148"/>
        <v>0</v>
      </c>
      <c r="I591" s="170">
        <f t="shared" si="151"/>
        <v>0</v>
      </c>
      <c r="J591" s="170">
        <f t="shared" si="152"/>
        <v>0</v>
      </c>
      <c r="K591" s="107" t="s">
        <v>1053</v>
      </c>
      <c r="L591" s="198"/>
      <c r="P591" s="225"/>
    </row>
    <row r="592" spans="1:16" ht="16.5" thickBot="1" x14ac:dyDescent="0.3">
      <c r="A592" s="254" t="s">
        <v>1049</v>
      </c>
      <c r="B592" s="57" t="s">
        <v>1</v>
      </c>
      <c r="C592" s="55" t="s">
        <v>1048</v>
      </c>
      <c r="D592" s="87" t="s">
        <v>564</v>
      </c>
      <c r="E592" s="87"/>
      <c r="F592" s="87">
        <f>856.9*1.35</f>
        <v>1156.8150000000001</v>
      </c>
      <c r="G592" s="236">
        <f>+F592*1.2</f>
        <v>1388.1780000000001</v>
      </c>
      <c r="H592" s="41">
        <f t="shared" si="148"/>
        <v>1620.0037260000001</v>
      </c>
      <c r="I592" s="170">
        <f t="shared" si="151"/>
        <v>1846.6152527849185</v>
      </c>
      <c r="J592" s="170">
        <f t="shared" si="152"/>
        <v>2155</v>
      </c>
      <c r="K592" s="107" t="s">
        <v>564</v>
      </c>
      <c r="L592" s="198"/>
    </row>
    <row r="593" spans="1:13" ht="54.75" thickBot="1" x14ac:dyDescent="0.3">
      <c r="A593" s="254">
        <v>521190.2</v>
      </c>
      <c r="B593" s="57" t="s">
        <v>1</v>
      </c>
      <c r="C593" s="14">
        <v>140</v>
      </c>
      <c r="D593" s="87">
        <v>192</v>
      </c>
      <c r="E593" s="87">
        <v>261.35000000000002</v>
      </c>
      <c r="F593" s="178">
        <f t="shared" si="139"/>
        <v>352.82250000000005</v>
      </c>
      <c r="G593" s="233">
        <v>423.3</v>
      </c>
      <c r="H593" s="178">
        <f t="shared" si="148"/>
        <v>493.99110000000002</v>
      </c>
      <c r="I593" s="170">
        <f t="shared" si="151"/>
        <v>562.98200514138819</v>
      </c>
      <c r="J593" s="170">
        <f t="shared" si="152"/>
        <v>657</v>
      </c>
      <c r="K593" s="107" t="s">
        <v>565</v>
      </c>
      <c r="L593" s="198"/>
    </row>
    <row r="594" spans="1:13" ht="27.75" thickBot="1" x14ac:dyDescent="0.3">
      <c r="A594" s="254">
        <v>522111</v>
      </c>
      <c r="B594" s="57" t="s">
        <v>1</v>
      </c>
      <c r="C594" s="14">
        <v>140</v>
      </c>
      <c r="D594" s="87">
        <v>192</v>
      </c>
      <c r="E594" s="87">
        <v>261.35000000000002</v>
      </c>
      <c r="F594" s="178">
        <f t="shared" si="139"/>
        <v>352.82250000000005</v>
      </c>
      <c r="G594" s="233">
        <v>423.3</v>
      </c>
      <c r="H594" s="178">
        <f t="shared" si="148"/>
        <v>493.99110000000002</v>
      </c>
      <c r="I594" s="170">
        <f t="shared" si="151"/>
        <v>562.98200514138819</v>
      </c>
      <c r="J594" s="170">
        <f t="shared" si="152"/>
        <v>657</v>
      </c>
      <c r="K594" s="107" t="s">
        <v>566</v>
      </c>
      <c r="L594" s="198"/>
    </row>
    <row r="595" spans="1:13" ht="16.5" thickBot="1" x14ac:dyDescent="0.3">
      <c r="A595" s="254">
        <v>522112.1</v>
      </c>
      <c r="B595" s="57" t="s">
        <v>1</v>
      </c>
      <c r="C595" s="14">
        <v>140</v>
      </c>
      <c r="D595" s="87">
        <v>192</v>
      </c>
      <c r="E595" s="87">
        <v>261.35000000000002</v>
      </c>
      <c r="F595" s="178">
        <f t="shared" si="139"/>
        <v>352.82250000000005</v>
      </c>
      <c r="G595" s="233">
        <v>423.3</v>
      </c>
      <c r="H595" s="178">
        <f t="shared" si="148"/>
        <v>493.99110000000002</v>
      </c>
      <c r="I595" s="170">
        <f t="shared" si="151"/>
        <v>562.98200514138819</v>
      </c>
      <c r="J595" s="170">
        <f t="shared" si="152"/>
        <v>657</v>
      </c>
      <c r="K595" s="107" t="s">
        <v>567</v>
      </c>
      <c r="L595" s="198"/>
    </row>
    <row r="596" spans="1:13" ht="16.5" thickBot="1" x14ac:dyDescent="0.3">
      <c r="A596" s="254">
        <v>522112.2</v>
      </c>
      <c r="B596" s="57" t="s">
        <v>1</v>
      </c>
      <c r="C596" s="14">
        <v>140</v>
      </c>
      <c r="D596" s="87">
        <v>192</v>
      </c>
      <c r="E596" s="87">
        <v>261.35000000000002</v>
      </c>
      <c r="F596" s="178">
        <f t="shared" si="139"/>
        <v>352.82250000000005</v>
      </c>
      <c r="G596" s="233">
        <v>423.3</v>
      </c>
      <c r="H596" s="178">
        <f t="shared" si="148"/>
        <v>493.99110000000002</v>
      </c>
      <c r="I596" s="170">
        <f t="shared" si="151"/>
        <v>562.98200514138819</v>
      </c>
      <c r="J596" s="170">
        <f t="shared" si="152"/>
        <v>657</v>
      </c>
      <c r="K596" s="107" t="s">
        <v>568</v>
      </c>
      <c r="L596" s="198"/>
    </row>
    <row r="597" spans="1:13" ht="16.5" thickBot="1" x14ac:dyDescent="0.3">
      <c r="A597" s="254">
        <v>522120.1</v>
      </c>
      <c r="B597" s="57" t="s">
        <v>1</v>
      </c>
      <c r="C597" s="14">
        <v>140</v>
      </c>
      <c r="D597" s="87">
        <v>192</v>
      </c>
      <c r="E597" s="87">
        <v>261.35000000000002</v>
      </c>
      <c r="F597" s="178">
        <f t="shared" si="139"/>
        <v>352.82250000000005</v>
      </c>
      <c r="G597" s="233">
        <v>423.3</v>
      </c>
      <c r="H597" s="178">
        <f t="shared" si="148"/>
        <v>493.99110000000002</v>
      </c>
      <c r="I597" s="170">
        <f t="shared" si="151"/>
        <v>562.98200514138819</v>
      </c>
      <c r="J597" s="170">
        <f t="shared" si="152"/>
        <v>657</v>
      </c>
      <c r="K597" s="107" t="s">
        <v>569</v>
      </c>
      <c r="L597" s="198"/>
    </row>
    <row r="598" spans="1:13" ht="27.75" thickBot="1" x14ac:dyDescent="0.3">
      <c r="A598" s="254">
        <v>522120.2</v>
      </c>
      <c r="B598" s="57" t="s">
        <v>1</v>
      </c>
      <c r="C598" s="14">
        <v>140</v>
      </c>
      <c r="D598" s="87">
        <v>192</v>
      </c>
      <c r="E598" s="87">
        <v>261.35000000000002</v>
      </c>
      <c r="F598" s="178">
        <f t="shared" si="139"/>
        <v>352.82250000000005</v>
      </c>
      <c r="G598" s="233">
        <v>423.3</v>
      </c>
      <c r="H598" s="178">
        <f t="shared" si="148"/>
        <v>493.99110000000002</v>
      </c>
      <c r="I598" s="170">
        <f t="shared" si="151"/>
        <v>562.98200514138819</v>
      </c>
      <c r="J598" s="170">
        <f t="shared" si="152"/>
        <v>657</v>
      </c>
      <c r="K598" s="107" t="s">
        <v>570</v>
      </c>
      <c r="L598" s="198"/>
    </row>
    <row r="599" spans="1:13" ht="16.5" thickBot="1" x14ac:dyDescent="0.3">
      <c r="A599" s="254">
        <v>522120.3</v>
      </c>
      <c r="B599" s="57" t="s">
        <v>1</v>
      </c>
      <c r="C599" s="14">
        <v>160</v>
      </c>
      <c r="D599" s="87">
        <v>218</v>
      </c>
      <c r="E599" s="87">
        <f t="shared" si="136"/>
        <v>296.48</v>
      </c>
      <c r="F599" s="178">
        <f t="shared" si="139"/>
        <v>400.24800000000005</v>
      </c>
      <c r="G599" s="233">
        <v>479.9</v>
      </c>
      <c r="H599" s="178">
        <f t="shared" si="148"/>
        <v>560.04330000000004</v>
      </c>
      <c r="I599" s="170">
        <f t="shared" si="151"/>
        <v>638.38903170522701</v>
      </c>
      <c r="J599" s="170">
        <f t="shared" si="152"/>
        <v>745</v>
      </c>
      <c r="K599" s="107" t="s">
        <v>571</v>
      </c>
      <c r="L599" s="198"/>
    </row>
    <row r="600" spans="1:13" ht="16.5" thickBot="1" x14ac:dyDescent="0.3">
      <c r="A600" s="254">
        <v>522120.4</v>
      </c>
      <c r="B600" s="57" t="s">
        <v>373</v>
      </c>
      <c r="C600" s="14">
        <v>180</v>
      </c>
      <c r="D600" s="83">
        <v>244</v>
      </c>
      <c r="E600" s="83">
        <f t="shared" si="136"/>
        <v>331.84000000000003</v>
      </c>
      <c r="F600" s="172">
        <f t="shared" si="139"/>
        <v>447.98400000000009</v>
      </c>
      <c r="G600" s="227">
        <v>537.29999999999995</v>
      </c>
      <c r="H600" s="172">
        <f t="shared" si="148"/>
        <v>627.02909999999997</v>
      </c>
      <c r="I600" s="170">
        <f t="shared" si="151"/>
        <v>714.65295629820048</v>
      </c>
      <c r="J600" s="170">
        <f t="shared" si="152"/>
        <v>834</v>
      </c>
      <c r="K600" s="107" t="s">
        <v>572</v>
      </c>
      <c r="L600" s="198"/>
    </row>
    <row r="601" spans="1:13" ht="16.5" thickBot="1" x14ac:dyDescent="0.3">
      <c r="A601" s="254">
        <v>522191</v>
      </c>
      <c r="B601" s="57" t="s">
        <v>373</v>
      </c>
      <c r="C601" s="14">
        <v>140</v>
      </c>
      <c r="D601" s="87">
        <v>192</v>
      </c>
      <c r="E601" s="87">
        <v>261.35000000000002</v>
      </c>
      <c r="F601" s="178">
        <f t="shared" si="139"/>
        <v>352.82250000000005</v>
      </c>
      <c r="G601" s="233">
        <v>423.3</v>
      </c>
      <c r="H601" s="178">
        <f t="shared" si="148"/>
        <v>493.99110000000002</v>
      </c>
      <c r="I601" s="170">
        <f t="shared" si="151"/>
        <v>562.98200514138819</v>
      </c>
      <c r="J601" s="170">
        <f t="shared" si="152"/>
        <v>657</v>
      </c>
      <c r="K601" s="107" t="s">
        <v>573</v>
      </c>
      <c r="L601" s="198"/>
    </row>
    <row r="602" spans="1:13" ht="41.25" thickBot="1" x14ac:dyDescent="0.3">
      <c r="A602" s="254">
        <v>522210.1</v>
      </c>
      <c r="B602" s="57" t="s">
        <v>373</v>
      </c>
      <c r="C602" s="14">
        <v>221</v>
      </c>
      <c r="D602" s="87">
        <f>+C602*$D$1</f>
        <v>299.89999999999998</v>
      </c>
      <c r="E602" s="87">
        <f t="shared" si="136"/>
        <v>407.86399999999998</v>
      </c>
      <c r="F602" s="178">
        <v>550.1</v>
      </c>
      <c r="G602" s="233">
        <v>659.8</v>
      </c>
      <c r="H602" s="178">
        <f t="shared" si="148"/>
        <v>769.98659999999995</v>
      </c>
      <c r="I602" s="170">
        <f t="shared" si="151"/>
        <v>877.46358183376174</v>
      </c>
      <c r="J602" s="170">
        <f t="shared" si="152"/>
        <v>1024</v>
      </c>
      <c r="K602" s="107" t="s">
        <v>574</v>
      </c>
      <c r="L602" s="198"/>
      <c r="M602" s="20"/>
    </row>
    <row r="603" spans="1:13" ht="27.75" thickBot="1" x14ac:dyDescent="0.3">
      <c r="A603" s="254">
        <v>522210.2</v>
      </c>
      <c r="B603" s="57" t="s">
        <v>373</v>
      </c>
      <c r="C603" s="14">
        <v>221</v>
      </c>
      <c r="D603" s="87">
        <f>+C603*$D$1</f>
        <v>299.89999999999998</v>
      </c>
      <c r="E603" s="87">
        <f t="shared" si="136"/>
        <v>407.86399999999998</v>
      </c>
      <c r="F603" s="178">
        <v>550.1</v>
      </c>
      <c r="G603" s="233">
        <v>659.8</v>
      </c>
      <c r="H603" s="178">
        <f t="shared" si="148"/>
        <v>769.98659999999995</v>
      </c>
      <c r="I603" s="170">
        <f t="shared" si="151"/>
        <v>877.46358183376174</v>
      </c>
      <c r="J603" s="170">
        <f t="shared" si="152"/>
        <v>1024</v>
      </c>
      <c r="K603" s="107" t="s">
        <v>575</v>
      </c>
      <c r="L603" s="198"/>
    </row>
    <row r="604" spans="1:13" ht="27.75" thickBot="1" x14ac:dyDescent="0.3">
      <c r="A604" s="254">
        <v>522220</v>
      </c>
      <c r="B604" s="57" t="s">
        <v>373</v>
      </c>
      <c r="C604" s="14">
        <v>221</v>
      </c>
      <c r="D604" s="87">
        <f>+C604*$D$1</f>
        <v>299.89999999999998</v>
      </c>
      <c r="E604" s="87">
        <f t="shared" si="136"/>
        <v>407.86399999999998</v>
      </c>
      <c r="F604" s="178">
        <v>550.1</v>
      </c>
      <c r="G604" s="233">
        <v>659.8</v>
      </c>
      <c r="H604" s="178">
        <f t="shared" si="148"/>
        <v>769.98659999999995</v>
      </c>
      <c r="I604" s="170">
        <f t="shared" si="151"/>
        <v>877.46358183376174</v>
      </c>
      <c r="J604" s="170">
        <f t="shared" si="152"/>
        <v>1024</v>
      </c>
      <c r="K604" s="107" t="s">
        <v>576</v>
      </c>
      <c r="L604" s="198"/>
    </row>
    <row r="605" spans="1:13" ht="27.75" thickBot="1" x14ac:dyDescent="0.3">
      <c r="A605" s="254">
        <v>522300</v>
      </c>
      <c r="B605" s="57" t="s">
        <v>373</v>
      </c>
      <c r="C605" s="14">
        <v>140</v>
      </c>
      <c r="D605" s="87">
        <v>192</v>
      </c>
      <c r="E605" s="87">
        <v>261.35000000000002</v>
      </c>
      <c r="F605" s="178">
        <f t="shared" ref="F605:F615" si="153">+E605*$F$1</f>
        <v>352.82250000000005</v>
      </c>
      <c r="G605" s="233">
        <v>423.3</v>
      </c>
      <c r="H605" s="178">
        <f t="shared" si="148"/>
        <v>493.99110000000002</v>
      </c>
      <c r="I605" s="170">
        <f t="shared" si="151"/>
        <v>562.98200514138819</v>
      </c>
      <c r="J605" s="170">
        <f t="shared" si="152"/>
        <v>657</v>
      </c>
      <c r="K605" s="107" t="s">
        <v>577</v>
      </c>
      <c r="L605" s="198"/>
    </row>
    <row r="606" spans="1:13" ht="27.75" thickBot="1" x14ac:dyDescent="0.3">
      <c r="A606" s="254">
        <v>522410</v>
      </c>
      <c r="B606" s="57" t="s">
        <v>373</v>
      </c>
      <c r="C606" s="14">
        <v>140</v>
      </c>
      <c r="D606" s="87">
        <v>192</v>
      </c>
      <c r="E606" s="87">
        <v>261.35000000000002</v>
      </c>
      <c r="F606" s="178">
        <f t="shared" si="153"/>
        <v>352.82250000000005</v>
      </c>
      <c r="G606" s="233">
        <v>423.3</v>
      </c>
      <c r="H606" s="178">
        <f t="shared" si="148"/>
        <v>493.99110000000002</v>
      </c>
      <c r="I606" s="170">
        <f t="shared" si="151"/>
        <v>562.98200514138819</v>
      </c>
      <c r="J606" s="170">
        <f t="shared" si="152"/>
        <v>657</v>
      </c>
      <c r="K606" s="107" t="s">
        <v>578</v>
      </c>
      <c r="L606" s="198"/>
    </row>
    <row r="607" spans="1:13" ht="27.75" thickBot="1" x14ac:dyDescent="0.3">
      <c r="A607" s="254">
        <v>522420</v>
      </c>
      <c r="B607" s="57" t="s">
        <v>124</v>
      </c>
      <c r="C607" s="14">
        <v>160</v>
      </c>
      <c r="D607" s="87">
        <v>218</v>
      </c>
      <c r="E607" s="87">
        <f t="shared" ref="E607:E615" si="154">+D607*1.36</f>
        <v>296.48</v>
      </c>
      <c r="F607" s="178">
        <f t="shared" si="153"/>
        <v>400.24800000000005</v>
      </c>
      <c r="G607" s="233">
        <v>479.9</v>
      </c>
      <c r="H607" s="178">
        <f t="shared" si="148"/>
        <v>560.04330000000004</v>
      </c>
      <c r="I607" s="170">
        <f t="shared" si="151"/>
        <v>638.38903170522701</v>
      </c>
      <c r="J607" s="170">
        <f t="shared" si="152"/>
        <v>745</v>
      </c>
      <c r="K607" s="107" t="s">
        <v>579</v>
      </c>
      <c r="L607" s="198"/>
    </row>
    <row r="608" spans="1:13" ht="27.75" thickBot="1" x14ac:dyDescent="0.3">
      <c r="A608" s="254">
        <v>522500.1</v>
      </c>
      <c r="B608" s="57" t="s">
        <v>373</v>
      </c>
      <c r="C608" s="14">
        <v>160</v>
      </c>
      <c r="D608" s="87">
        <v>218</v>
      </c>
      <c r="E608" s="87">
        <f t="shared" si="154"/>
        <v>296.48</v>
      </c>
      <c r="F608" s="178">
        <f t="shared" si="153"/>
        <v>400.24800000000005</v>
      </c>
      <c r="G608" s="233">
        <v>479.9</v>
      </c>
      <c r="H608" s="178">
        <f t="shared" si="148"/>
        <v>560.04330000000004</v>
      </c>
      <c r="I608" s="170">
        <f t="shared" si="151"/>
        <v>638.38903170522701</v>
      </c>
      <c r="J608" s="170">
        <f t="shared" si="152"/>
        <v>745</v>
      </c>
      <c r="K608" s="107" t="s">
        <v>580</v>
      </c>
      <c r="L608" s="198"/>
    </row>
    <row r="609" spans="1:12" ht="41.25" thickBot="1" x14ac:dyDescent="0.3">
      <c r="A609" s="254">
        <v>522500.2</v>
      </c>
      <c r="B609" s="57" t="s">
        <v>59</v>
      </c>
      <c r="C609" s="14">
        <v>221</v>
      </c>
      <c r="D609" s="87">
        <f>+C609*$D$1</f>
        <v>299.89999999999998</v>
      </c>
      <c r="E609" s="87">
        <f t="shared" si="154"/>
        <v>407.86399999999998</v>
      </c>
      <c r="F609" s="178">
        <v>550.1</v>
      </c>
      <c r="G609" s="233">
        <v>659.8</v>
      </c>
      <c r="H609" s="178">
        <f t="shared" si="148"/>
        <v>769.98659999999995</v>
      </c>
      <c r="I609" s="170">
        <f t="shared" si="151"/>
        <v>877.46358183376174</v>
      </c>
      <c r="J609" s="170">
        <f t="shared" si="152"/>
        <v>1024</v>
      </c>
      <c r="K609" s="107" t="s">
        <v>581</v>
      </c>
      <c r="L609" s="198"/>
    </row>
    <row r="610" spans="1:12" ht="16.5" thickBot="1" x14ac:dyDescent="0.3">
      <c r="A610" s="254">
        <v>522910</v>
      </c>
      <c r="B610" s="57" t="s">
        <v>1</v>
      </c>
      <c r="C610" s="14">
        <v>221</v>
      </c>
      <c r="D610" s="87">
        <f>+C610*$D$1</f>
        <v>299.89999999999998</v>
      </c>
      <c r="E610" s="87">
        <f t="shared" si="154"/>
        <v>407.86399999999998</v>
      </c>
      <c r="F610" s="178">
        <v>550.1</v>
      </c>
      <c r="G610" s="233">
        <v>659.8</v>
      </c>
      <c r="H610" s="178">
        <f t="shared" si="148"/>
        <v>769.98659999999995</v>
      </c>
      <c r="I610" s="170">
        <f t="shared" si="151"/>
        <v>877.46358183376174</v>
      </c>
      <c r="J610" s="170">
        <f t="shared" si="152"/>
        <v>1024</v>
      </c>
      <c r="K610" s="107" t="s">
        <v>582</v>
      </c>
      <c r="L610" s="198"/>
    </row>
    <row r="611" spans="1:12" ht="16.5" thickBot="1" x14ac:dyDescent="0.3">
      <c r="A611" s="254">
        <v>522999.1</v>
      </c>
      <c r="B611" s="57" t="s">
        <v>1</v>
      </c>
      <c r="C611" s="14">
        <v>160</v>
      </c>
      <c r="D611" s="87">
        <v>218</v>
      </c>
      <c r="E611" s="87">
        <f t="shared" si="154"/>
        <v>296.48</v>
      </c>
      <c r="F611" s="178">
        <f t="shared" si="153"/>
        <v>400.24800000000005</v>
      </c>
      <c r="G611" s="233">
        <v>479.9</v>
      </c>
      <c r="H611" s="178">
        <f t="shared" si="148"/>
        <v>560.04330000000004</v>
      </c>
      <c r="I611" s="170">
        <f t="shared" si="151"/>
        <v>638.38903170522701</v>
      </c>
      <c r="J611" s="170">
        <f t="shared" si="152"/>
        <v>745</v>
      </c>
      <c r="K611" s="107" t="s">
        <v>583</v>
      </c>
      <c r="L611" s="198"/>
    </row>
    <row r="612" spans="1:12" ht="27.75" thickBot="1" x14ac:dyDescent="0.3">
      <c r="A612" s="254">
        <v>522999.2</v>
      </c>
      <c r="B612" s="57" t="s">
        <v>59</v>
      </c>
      <c r="C612" s="14">
        <v>160</v>
      </c>
      <c r="D612" s="87">
        <v>218</v>
      </c>
      <c r="E612" s="87">
        <f t="shared" si="154"/>
        <v>296.48</v>
      </c>
      <c r="F612" s="178">
        <f t="shared" si="153"/>
        <v>400.24800000000005</v>
      </c>
      <c r="G612" s="233">
        <v>479.9</v>
      </c>
      <c r="H612" s="178">
        <f t="shared" si="148"/>
        <v>560.04330000000004</v>
      </c>
      <c r="I612" s="170">
        <f t="shared" si="151"/>
        <v>638.38903170522701</v>
      </c>
      <c r="J612" s="170">
        <f t="shared" si="152"/>
        <v>745</v>
      </c>
      <c r="K612" s="107" t="s">
        <v>584</v>
      </c>
      <c r="L612" s="198"/>
    </row>
    <row r="613" spans="1:12" ht="16.5" thickBot="1" x14ac:dyDescent="0.3">
      <c r="A613" s="254">
        <v>522999.3</v>
      </c>
      <c r="B613" s="57" t="s">
        <v>1</v>
      </c>
      <c r="C613" s="14">
        <v>160</v>
      </c>
      <c r="D613" s="87">
        <v>218</v>
      </c>
      <c r="E613" s="87">
        <f t="shared" si="154"/>
        <v>296.48</v>
      </c>
      <c r="F613" s="178">
        <f t="shared" si="153"/>
        <v>400.24800000000005</v>
      </c>
      <c r="G613" s="233">
        <v>479.9</v>
      </c>
      <c r="H613" s="178">
        <f t="shared" si="148"/>
        <v>560.04330000000004</v>
      </c>
      <c r="I613" s="170">
        <f t="shared" si="151"/>
        <v>638.38903170522701</v>
      </c>
      <c r="J613" s="170">
        <f t="shared" si="152"/>
        <v>745</v>
      </c>
      <c r="K613" s="107" t="s">
        <v>585</v>
      </c>
      <c r="L613" s="198"/>
    </row>
    <row r="614" spans="1:12" ht="27.75" thickBot="1" x14ac:dyDescent="0.3">
      <c r="A614" s="254">
        <v>522999.4</v>
      </c>
      <c r="B614" s="57" t="s">
        <v>1</v>
      </c>
      <c r="C614" s="14">
        <v>160</v>
      </c>
      <c r="D614" s="87">
        <v>218</v>
      </c>
      <c r="E614" s="87">
        <f t="shared" si="154"/>
        <v>296.48</v>
      </c>
      <c r="F614" s="178">
        <f t="shared" si="153"/>
        <v>400.24800000000005</v>
      </c>
      <c r="G614" s="233">
        <v>479.9</v>
      </c>
      <c r="H614" s="178">
        <f t="shared" si="148"/>
        <v>560.04330000000004</v>
      </c>
      <c r="I614" s="170">
        <f t="shared" si="151"/>
        <v>638.38903170522701</v>
      </c>
      <c r="J614" s="170">
        <f t="shared" si="152"/>
        <v>745</v>
      </c>
      <c r="K614" s="107" t="s">
        <v>586</v>
      </c>
      <c r="L614" s="198"/>
    </row>
    <row r="615" spans="1:12" ht="16.5" thickBot="1" x14ac:dyDescent="0.3">
      <c r="A615" s="253">
        <v>522999.5</v>
      </c>
      <c r="B615" s="66" t="s">
        <v>1</v>
      </c>
      <c r="C615" s="17">
        <v>160</v>
      </c>
      <c r="D615" s="159">
        <v>218</v>
      </c>
      <c r="E615" s="159">
        <f t="shared" si="154"/>
        <v>296.48</v>
      </c>
      <c r="F615" s="179">
        <f t="shared" si="153"/>
        <v>400.24800000000005</v>
      </c>
      <c r="G615" s="234">
        <v>479.9</v>
      </c>
      <c r="H615" s="179">
        <f t="shared" si="148"/>
        <v>560.04330000000004</v>
      </c>
      <c r="I615" s="170">
        <f t="shared" si="151"/>
        <v>638.38903170522701</v>
      </c>
      <c r="J615" s="170">
        <f t="shared" si="152"/>
        <v>745</v>
      </c>
      <c r="K615" s="108" t="s">
        <v>587</v>
      </c>
      <c r="L615" s="198"/>
    </row>
    <row r="616" spans="1:12" ht="16.5" x14ac:dyDescent="0.25">
      <c r="A616" s="196" t="s">
        <v>1022</v>
      </c>
      <c r="B616" s="43"/>
      <c r="C616" s="43"/>
      <c r="D616" s="43"/>
      <c r="E616" s="43"/>
      <c r="F616" s="43"/>
      <c r="G616" s="43"/>
      <c r="H616" s="43"/>
      <c r="I616" s="43"/>
      <c r="J616" s="43"/>
      <c r="K616" s="197"/>
      <c r="L616" s="198"/>
    </row>
    <row r="617" spans="1:12" ht="17.25" thickBot="1" x14ac:dyDescent="0.3">
      <c r="A617" s="189" t="s">
        <v>592</v>
      </c>
      <c r="B617" s="44"/>
      <c r="C617" s="44"/>
      <c r="D617" s="44"/>
      <c r="E617" s="44"/>
      <c r="F617" s="44"/>
      <c r="G617" s="44"/>
      <c r="H617" s="44"/>
      <c r="I617" s="44"/>
      <c r="J617" s="44"/>
      <c r="K617" s="210"/>
      <c r="L617" s="198"/>
    </row>
    <row r="618" spans="1:12" ht="16.5" thickBot="1" x14ac:dyDescent="0.3">
      <c r="A618" s="254">
        <v>924910.1</v>
      </c>
      <c r="B618" s="57" t="s">
        <v>393</v>
      </c>
      <c r="C618" s="26">
        <v>160</v>
      </c>
      <c r="D618" s="87">
        <v>218</v>
      </c>
      <c r="E618" s="87">
        <f t="shared" ref="E618:E624" si="155">+D618*1.36</f>
        <v>296.48</v>
      </c>
      <c r="F618" s="178">
        <f t="shared" ref="F618:F681" si="156">+E618*$F$1</f>
        <v>400.24800000000005</v>
      </c>
      <c r="G618" s="233">
        <v>479.9</v>
      </c>
      <c r="H618" s="178">
        <f t="shared" si="148"/>
        <v>560.04330000000004</v>
      </c>
      <c r="I618" s="170">
        <f t="shared" ref="I618:I624" si="157">+J618/1.167</f>
        <v>638.38903170522701</v>
      </c>
      <c r="J618" s="170">
        <f t="shared" ref="J618:J624" si="158">ROUND(+H618*(1+$J$1),0)</f>
        <v>745</v>
      </c>
      <c r="K618" s="107" t="s">
        <v>588</v>
      </c>
      <c r="L618" s="198"/>
    </row>
    <row r="619" spans="1:12" ht="16.5" thickBot="1" x14ac:dyDescent="0.3">
      <c r="A619" s="254">
        <v>924910.2</v>
      </c>
      <c r="B619" s="57" t="s">
        <v>59</v>
      </c>
      <c r="C619" s="14">
        <v>160</v>
      </c>
      <c r="D619" s="87">
        <v>218</v>
      </c>
      <c r="E619" s="87">
        <f t="shared" si="155"/>
        <v>296.48</v>
      </c>
      <c r="F619" s="178">
        <f t="shared" si="156"/>
        <v>400.24800000000005</v>
      </c>
      <c r="G619" s="233">
        <v>479.9</v>
      </c>
      <c r="H619" s="178">
        <f t="shared" si="148"/>
        <v>560.04330000000004</v>
      </c>
      <c r="I619" s="170">
        <f t="shared" si="157"/>
        <v>638.38903170522701</v>
      </c>
      <c r="J619" s="170">
        <f t="shared" si="158"/>
        <v>745</v>
      </c>
      <c r="K619" s="107" t="s">
        <v>589</v>
      </c>
      <c r="L619" s="198"/>
    </row>
    <row r="620" spans="1:12" ht="16.5" thickBot="1" x14ac:dyDescent="0.3">
      <c r="A620" s="254">
        <v>924910.3</v>
      </c>
      <c r="B620" s="57" t="s">
        <v>393</v>
      </c>
      <c r="C620" s="14">
        <v>160</v>
      </c>
      <c r="D620" s="87">
        <v>218</v>
      </c>
      <c r="E620" s="87">
        <f t="shared" si="155"/>
        <v>296.48</v>
      </c>
      <c r="F620" s="178">
        <f t="shared" si="156"/>
        <v>400.24800000000005</v>
      </c>
      <c r="G620" s="233">
        <v>479.9</v>
      </c>
      <c r="H620" s="178">
        <f t="shared" si="148"/>
        <v>560.04330000000004</v>
      </c>
      <c r="I620" s="170">
        <f t="shared" si="157"/>
        <v>638.38903170522701</v>
      </c>
      <c r="J620" s="170">
        <f t="shared" si="158"/>
        <v>745</v>
      </c>
      <c r="K620" s="107" t="s">
        <v>590</v>
      </c>
      <c r="L620" s="198"/>
    </row>
    <row r="621" spans="1:12" ht="16.5" thickBot="1" x14ac:dyDescent="0.3">
      <c r="A621" s="254">
        <v>924910.4</v>
      </c>
      <c r="B621" s="57" t="s">
        <v>393</v>
      </c>
      <c r="C621" s="14">
        <v>160</v>
      </c>
      <c r="D621" s="87">
        <v>218</v>
      </c>
      <c r="E621" s="87">
        <f t="shared" si="155"/>
        <v>296.48</v>
      </c>
      <c r="F621" s="178">
        <f t="shared" si="156"/>
        <v>400.24800000000005</v>
      </c>
      <c r="G621" s="233">
        <v>479.9</v>
      </c>
      <c r="H621" s="178">
        <f t="shared" si="148"/>
        <v>560.04330000000004</v>
      </c>
      <c r="I621" s="170">
        <f t="shared" si="157"/>
        <v>638.38903170522701</v>
      </c>
      <c r="J621" s="170">
        <f t="shared" si="158"/>
        <v>745</v>
      </c>
      <c r="K621" s="107" t="s">
        <v>591</v>
      </c>
      <c r="L621" s="198"/>
    </row>
    <row r="622" spans="1:12" ht="16.5" thickBot="1" x14ac:dyDescent="0.3">
      <c r="A622" s="254">
        <v>924910.5</v>
      </c>
      <c r="B622" s="57" t="s">
        <v>393</v>
      </c>
      <c r="C622" s="14">
        <v>160</v>
      </c>
      <c r="D622" s="87">
        <v>218</v>
      </c>
      <c r="E622" s="87">
        <f t="shared" si="155"/>
        <v>296.48</v>
      </c>
      <c r="F622" s="178">
        <f t="shared" si="156"/>
        <v>400.24800000000005</v>
      </c>
      <c r="G622" s="233">
        <v>479.9</v>
      </c>
      <c r="H622" s="178">
        <f t="shared" si="148"/>
        <v>560.04330000000004</v>
      </c>
      <c r="I622" s="170">
        <f t="shared" si="157"/>
        <v>638.38903170522701</v>
      </c>
      <c r="J622" s="170">
        <f t="shared" si="158"/>
        <v>745</v>
      </c>
      <c r="K622" s="107" t="s">
        <v>592</v>
      </c>
      <c r="L622" s="198"/>
    </row>
    <row r="623" spans="1:12" ht="16.5" thickBot="1" x14ac:dyDescent="0.3">
      <c r="A623" s="254">
        <v>924910.6</v>
      </c>
      <c r="B623" s="57" t="s">
        <v>393</v>
      </c>
      <c r="C623" s="14">
        <v>160</v>
      </c>
      <c r="D623" s="87">
        <v>218</v>
      </c>
      <c r="E623" s="87">
        <f t="shared" si="155"/>
        <v>296.48</v>
      </c>
      <c r="F623" s="178">
        <f t="shared" si="156"/>
        <v>400.24800000000005</v>
      </c>
      <c r="G623" s="233">
        <v>479.9</v>
      </c>
      <c r="H623" s="178">
        <f t="shared" si="148"/>
        <v>560.04330000000004</v>
      </c>
      <c r="I623" s="170">
        <f t="shared" si="157"/>
        <v>638.38903170522701</v>
      </c>
      <c r="J623" s="170">
        <f t="shared" si="158"/>
        <v>745</v>
      </c>
      <c r="K623" s="107" t="s">
        <v>593</v>
      </c>
      <c r="L623" s="198"/>
    </row>
    <row r="624" spans="1:12" ht="16.5" thickBot="1" x14ac:dyDescent="0.3">
      <c r="A624" s="254">
        <v>522991</v>
      </c>
      <c r="B624" s="57" t="s">
        <v>427</v>
      </c>
      <c r="C624" s="14">
        <v>221</v>
      </c>
      <c r="D624" s="87">
        <f>+C624*$D$1</f>
        <v>299.89999999999998</v>
      </c>
      <c r="E624" s="87">
        <f t="shared" si="155"/>
        <v>407.86399999999998</v>
      </c>
      <c r="F624" s="178">
        <v>550.1</v>
      </c>
      <c r="G624" s="233">
        <v>659.8</v>
      </c>
      <c r="H624" s="178">
        <f t="shared" si="148"/>
        <v>769.98659999999995</v>
      </c>
      <c r="I624" s="170">
        <f t="shared" si="157"/>
        <v>877.46358183376174</v>
      </c>
      <c r="J624" s="170">
        <f t="shared" si="158"/>
        <v>1024</v>
      </c>
      <c r="K624" s="107" t="s">
        <v>594</v>
      </c>
      <c r="L624" s="198"/>
    </row>
    <row r="625" spans="1:12" ht="35.25" customHeight="1" thickBot="1" x14ac:dyDescent="0.3">
      <c r="A625" s="219" t="s">
        <v>1023</v>
      </c>
      <c r="B625" s="45"/>
      <c r="C625" s="45"/>
      <c r="D625" s="45"/>
      <c r="E625" s="45"/>
      <c r="F625" s="45"/>
      <c r="G625" s="45"/>
      <c r="H625" s="45"/>
      <c r="I625" s="45"/>
      <c r="J625" s="45"/>
      <c r="K625" s="190"/>
      <c r="L625" s="198"/>
    </row>
    <row r="626" spans="1:12" ht="27.75" thickBot="1" x14ac:dyDescent="0.3">
      <c r="A626" s="254">
        <v>523210.1</v>
      </c>
      <c r="B626" s="57" t="s">
        <v>1</v>
      </c>
      <c r="C626" s="14">
        <v>160</v>
      </c>
      <c r="D626" s="55">
        <v>218</v>
      </c>
      <c r="E626" s="55">
        <f t="shared" ref="E626:E640" si="159">+D626*1.36</f>
        <v>296.48</v>
      </c>
      <c r="F626" s="178">
        <f t="shared" si="156"/>
        <v>400.24800000000005</v>
      </c>
      <c r="G626" s="233">
        <v>479.9</v>
      </c>
      <c r="H626" s="178">
        <f t="shared" si="148"/>
        <v>560.04330000000004</v>
      </c>
      <c r="I626" s="170">
        <f t="shared" ref="I626:I640" si="160">+J626/1.167</f>
        <v>638.38903170522701</v>
      </c>
      <c r="J626" s="170">
        <f t="shared" ref="J626:J640" si="161">ROUND(+H626*(1+$J$1),0)</f>
        <v>745</v>
      </c>
      <c r="K626" s="107" t="s">
        <v>595</v>
      </c>
      <c r="L626" s="198"/>
    </row>
    <row r="627" spans="1:12" ht="16.5" thickBot="1" x14ac:dyDescent="0.3">
      <c r="A627" s="254">
        <v>523210.2</v>
      </c>
      <c r="B627" s="57" t="s">
        <v>1</v>
      </c>
      <c r="C627" s="14">
        <v>160</v>
      </c>
      <c r="D627" s="87">
        <v>218</v>
      </c>
      <c r="E627" s="87">
        <f t="shared" si="159"/>
        <v>296.48</v>
      </c>
      <c r="F627" s="178">
        <f t="shared" si="156"/>
        <v>400.24800000000005</v>
      </c>
      <c r="G627" s="233">
        <v>479.9</v>
      </c>
      <c r="H627" s="178">
        <f t="shared" si="148"/>
        <v>560.04330000000004</v>
      </c>
      <c r="I627" s="170">
        <f t="shared" si="160"/>
        <v>638.38903170522701</v>
      </c>
      <c r="J627" s="170">
        <f t="shared" si="161"/>
        <v>745</v>
      </c>
      <c r="K627" s="107" t="s">
        <v>596</v>
      </c>
      <c r="L627" s="198"/>
    </row>
    <row r="628" spans="1:12" ht="16.5" thickBot="1" x14ac:dyDescent="0.3">
      <c r="A628" s="254">
        <v>523210.3</v>
      </c>
      <c r="B628" s="57" t="s">
        <v>1</v>
      </c>
      <c r="C628" s="14">
        <v>160</v>
      </c>
      <c r="D628" s="87">
        <v>218</v>
      </c>
      <c r="E628" s="87">
        <f t="shared" si="159"/>
        <v>296.48</v>
      </c>
      <c r="F628" s="178">
        <f t="shared" si="156"/>
        <v>400.24800000000005</v>
      </c>
      <c r="G628" s="233">
        <v>479.9</v>
      </c>
      <c r="H628" s="178">
        <f t="shared" si="148"/>
        <v>560.04330000000004</v>
      </c>
      <c r="I628" s="170">
        <f t="shared" si="160"/>
        <v>638.38903170522701</v>
      </c>
      <c r="J628" s="170">
        <f t="shared" si="161"/>
        <v>745</v>
      </c>
      <c r="K628" s="107" t="s">
        <v>597</v>
      </c>
      <c r="L628" s="198"/>
    </row>
    <row r="629" spans="1:12" ht="16.5" thickBot="1" x14ac:dyDescent="0.3">
      <c r="A629" s="254">
        <v>523290</v>
      </c>
      <c r="B629" s="57" t="s">
        <v>1</v>
      </c>
      <c r="C629" s="14">
        <v>180</v>
      </c>
      <c r="D629" s="83">
        <v>244</v>
      </c>
      <c r="E629" s="83">
        <f t="shared" si="159"/>
        <v>331.84000000000003</v>
      </c>
      <c r="F629" s="172">
        <f t="shared" si="156"/>
        <v>447.98400000000009</v>
      </c>
      <c r="G629" s="227">
        <v>537.29999999999995</v>
      </c>
      <c r="H629" s="172">
        <f t="shared" si="148"/>
        <v>627.02909999999997</v>
      </c>
      <c r="I629" s="170">
        <f t="shared" si="160"/>
        <v>714.65295629820048</v>
      </c>
      <c r="J629" s="170">
        <f t="shared" si="161"/>
        <v>834</v>
      </c>
      <c r="K629" s="107" t="s">
        <v>598</v>
      </c>
      <c r="L629" s="198"/>
    </row>
    <row r="630" spans="1:12" ht="16.5" thickBot="1" x14ac:dyDescent="0.3">
      <c r="A630" s="254">
        <v>523310</v>
      </c>
      <c r="B630" s="57" t="s">
        <v>1</v>
      </c>
      <c r="C630" s="14">
        <v>180</v>
      </c>
      <c r="D630" s="83">
        <v>244</v>
      </c>
      <c r="E630" s="83">
        <f t="shared" si="159"/>
        <v>331.84000000000003</v>
      </c>
      <c r="F630" s="172">
        <f t="shared" si="156"/>
        <v>447.98400000000009</v>
      </c>
      <c r="G630" s="227">
        <v>537.29999999999995</v>
      </c>
      <c r="H630" s="172">
        <f t="shared" si="148"/>
        <v>627.02909999999997</v>
      </c>
      <c r="I630" s="170">
        <f t="shared" si="160"/>
        <v>714.65295629820048</v>
      </c>
      <c r="J630" s="170">
        <f t="shared" si="161"/>
        <v>834</v>
      </c>
      <c r="K630" s="107" t="s">
        <v>599</v>
      </c>
      <c r="L630" s="198"/>
    </row>
    <row r="631" spans="1:12" ht="27.75" thickBot="1" x14ac:dyDescent="0.3">
      <c r="A631" s="254">
        <v>523330</v>
      </c>
      <c r="B631" s="57" t="s">
        <v>1</v>
      </c>
      <c r="C631" s="14">
        <v>180</v>
      </c>
      <c r="D631" s="83">
        <v>244</v>
      </c>
      <c r="E631" s="83">
        <f t="shared" si="159"/>
        <v>331.84000000000003</v>
      </c>
      <c r="F631" s="172">
        <f t="shared" si="156"/>
        <v>447.98400000000009</v>
      </c>
      <c r="G631" s="227">
        <v>537.29999999999995</v>
      </c>
      <c r="H631" s="172">
        <f t="shared" si="148"/>
        <v>627.02909999999997</v>
      </c>
      <c r="I631" s="170">
        <f t="shared" si="160"/>
        <v>714.65295629820048</v>
      </c>
      <c r="J631" s="170">
        <f t="shared" si="161"/>
        <v>834</v>
      </c>
      <c r="K631" s="107" t="s">
        <v>600</v>
      </c>
      <c r="L631" s="198"/>
    </row>
    <row r="632" spans="1:12" ht="16.5" thickBot="1" x14ac:dyDescent="0.3">
      <c r="A632" s="254">
        <v>523360</v>
      </c>
      <c r="B632" s="57" t="s">
        <v>1</v>
      </c>
      <c r="C632" s="14">
        <v>160</v>
      </c>
      <c r="D632" s="87">
        <v>218</v>
      </c>
      <c r="E632" s="87">
        <f t="shared" si="159"/>
        <v>296.48</v>
      </c>
      <c r="F632" s="178">
        <f t="shared" si="156"/>
        <v>400.24800000000005</v>
      </c>
      <c r="G632" s="233">
        <v>479.9</v>
      </c>
      <c r="H632" s="178">
        <f t="shared" si="148"/>
        <v>560.04330000000004</v>
      </c>
      <c r="I632" s="170">
        <f t="shared" si="160"/>
        <v>638.38903170522701</v>
      </c>
      <c r="J632" s="170">
        <f t="shared" si="161"/>
        <v>745</v>
      </c>
      <c r="K632" s="107" t="s">
        <v>601</v>
      </c>
      <c r="L632" s="198"/>
    </row>
    <row r="633" spans="1:12" ht="27.75" thickBot="1" x14ac:dyDescent="0.3">
      <c r="A633" s="254">
        <v>523380</v>
      </c>
      <c r="B633" s="57" t="s">
        <v>124</v>
      </c>
      <c r="C633" s="14">
        <v>180</v>
      </c>
      <c r="D633" s="83">
        <v>244</v>
      </c>
      <c r="E633" s="83">
        <f t="shared" si="159"/>
        <v>331.84000000000003</v>
      </c>
      <c r="F633" s="172">
        <f t="shared" si="156"/>
        <v>447.98400000000009</v>
      </c>
      <c r="G633" s="227">
        <v>537.29999999999995</v>
      </c>
      <c r="H633" s="172">
        <f t="shared" si="148"/>
        <v>627.02909999999997</v>
      </c>
      <c r="I633" s="170">
        <f t="shared" si="160"/>
        <v>714.65295629820048</v>
      </c>
      <c r="J633" s="170">
        <f t="shared" si="161"/>
        <v>834</v>
      </c>
      <c r="K633" s="107" t="s">
        <v>602</v>
      </c>
      <c r="L633" s="198"/>
    </row>
    <row r="634" spans="1:12" ht="27.75" thickBot="1" x14ac:dyDescent="0.3">
      <c r="A634" s="254">
        <v>523391</v>
      </c>
      <c r="B634" s="57" t="s">
        <v>124</v>
      </c>
      <c r="C634" s="14">
        <v>221</v>
      </c>
      <c r="D634" s="87">
        <f>+C634*$D$1</f>
        <v>299.89999999999998</v>
      </c>
      <c r="E634" s="87">
        <f t="shared" si="159"/>
        <v>407.86399999999998</v>
      </c>
      <c r="F634" s="178">
        <v>550.1</v>
      </c>
      <c r="G634" s="233">
        <v>659.8</v>
      </c>
      <c r="H634" s="178">
        <f t="shared" si="148"/>
        <v>769.98659999999995</v>
      </c>
      <c r="I634" s="170">
        <f t="shared" si="160"/>
        <v>877.46358183376174</v>
      </c>
      <c r="J634" s="170">
        <f t="shared" si="161"/>
        <v>1024</v>
      </c>
      <c r="K634" s="107" t="s">
        <v>603</v>
      </c>
      <c r="L634" s="198"/>
    </row>
    <row r="635" spans="1:12" ht="27.75" thickBot="1" x14ac:dyDescent="0.3">
      <c r="A635" s="254">
        <v>523399.1</v>
      </c>
      <c r="B635" s="57" t="s">
        <v>1</v>
      </c>
      <c r="C635" s="14">
        <v>160</v>
      </c>
      <c r="D635" s="87">
        <v>218</v>
      </c>
      <c r="E635" s="87">
        <f t="shared" si="159"/>
        <v>296.48</v>
      </c>
      <c r="F635" s="178">
        <f t="shared" si="156"/>
        <v>400.24800000000005</v>
      </c>
      <c r="G635" s="233">
        <v>479.9</v>
      </c>
      <c r="H635" s="178">
        <f t="shared" si="148"/>
        <v>560.04330000000004</v>
      </c>
      <c r="I635" s="170">
        <f t="shared" si="160"/>
        <v>638.38903170522701</v>
      </c>
      <c r="J635" s="170">
        <f t="shared" si="161"/>
        <v>745</v>
      </c>
      <c r="K635" s="107" t="s">
        <v>604</v>
      </c>
      <c r="L635" s="198"/>
    </row>
    <row r="636" spans="1:12" ht="27.75" thickBot="1" x14ac:dyDescent="0.3">
      <c r="A636" s="254">
        <v>523399.2</v>
      </c>
      <c r="B636" s="57" t="s">
        <v>1</v>
      </c>
      <c r="C636" s="14">
        <v>221</v>
      </c>
      <c r="D636" s="87">
        <f>+C636*$D$1</f>
        <v>299.89999999999998</v>
      </c>
      <c r="E636" s="87">
        <f t="shared" si="159"/>
        <v>407.86399999999998</v>
      </c>
      <c r="F636" s="178">
        <v>550.1</v>
      </c>
      <c r="G636" s="233">
        <v>659.8</v>
      </c>
      <c r="H636" s="178">
        <f t="shared" si="148"/>
        <v>769.98659999999995</v>
      </c>
      <c r="I636" s="170">
        <f t="shared" si="160"/>
        <v>877.46358183376174</v>
      </c>
      <c r="J636" s="170">
        <f t="shared" si="161"/>
        <v>1024</v>
      </c>
      <c r="K636" s="107" t="s">
        <v>605</v>
      </c>
      <c r="L636" s="198"/>
    </row>
    <row r="637" spans="1:12" ht="27.75" thickBot="1" x14ac:dyDescent="0.3">
      <c r="A637" s="254">
        <v>523399.3</v>
      </c>
      <c r="B637" s="57" t="s">
        <v>1</v>
      </c>
      <c r="C637" s="14">
        <v>221</v>
      </c>
      <c r="D637" s="87">
        <f>+C637*$D$1</f>
        <v>299.89999999999998</v>
      </c>
      <c r="E637" s="87">
        <f t="shared" si="159"/>
        <v>407.86399999999998</v>
      </c>
      <c r="F637" s="178">
        <v>550.1</v>
      </c>
      <c r="G637" s="233">
        <v>659.8</v>
      </c>
      <c r="H637" s="178">
        <f t="shared" si="148"/>
        <v>769.98659999999995</v>
      </c>
      <c r="I637" s="170">
        <f t="shared" si="160"/>
        <v>877.46358183376174</v>
      </c>
      <c r="J637" s="170">
        <f t="shared" si="161"/>
        <v>1024</v>
      </c>
      <c r="K637" s="107" t="s">
        <v>606</v>
      </c>
      <c r="L637" s="198"/>
    </row>
    <row r="638" spans="1:12" ht="27.75" thickBot="1" x14ac:dyDescent="0.3">
      <c r="A638" s="254">
        <v>523420</v>
      </c>
      <c r="B638" s="57" t="s">
        <v>1</v>
      </c>
      <c r="C638" s="14">
        <v>221</v>
      </c>
      <c r="D638" s="87">
        <f>+C638*$D$1</f>
        <v>299.89999999999998</v>
      </c>
      <c r="E638" s="87">
        <f t="shared" si="159"/>
        <v>407.86399999999998</v>
      </c>
      <c r="F638" s="178">
        <v>550.1</v>
      </c>
      <c r="G638" s="233">
        <v>659.8</v>
      </c>
      <c r="H638" s="178">
        <f t="shared" si="148"/>
        <v>769.98659999999995</v>
      </c>
      <c r="I638" s="170">
        <f t="shared" si="160"/>
        <v>877.46358183376174</v>
      </c>
      <c r="J638" s="170">
        <f t="shared" si="161"/>
        <v>1024</v>
      </c>
      <c r="K638" s="107" t="s">
        <v>607</v>
      </c>
      <c r="L638" s="198"/>
    </row>
    <row r="639" spans="1:12" ht="27.75" thickBot="1" x14ac:dyDescent="0.3">
      <c r="A639" s="254">
        <v>523490</v>
      </c>
      <c r="B639" s="57" t="s">
        <v>1</v>
      </c>
      <c r="C639" s="14">
        <v>221</v>
      </c>
      <c r="D639" s="87">
        <f>+C639*$D$1</f>
        <v>299.89999999999998</v>
      </c>
      <c r="E639" s="87">
        <f t="shared" si="159"/>
        <v>407.86399999999998</v>
      </c>
      <c r="F639" s="178">
        <v>550.1</v>
      </c>
      <c r="G639" s="233">
        <v>659.8</v>
      </c>
      <c r="H639" s="178">
        <f t="shared" si="148"/>
        <v>769.98659999999995</v>
      </c>
      <c r="I639" s="170">
        <f t="shared" si="160"/>
        <v>877.46358183376174</v>
      </c>
      <c r="J639" s="170">
        <f t="shared" si="161"/>
        <v>1024</v>
      </c>
      <c r="K639" s="107" t="s">
        <v>608</v>
      </c>
      <c r="L639" s="198"/>
    </row>
    <row r="640" spans="1:12" ht="27.75" thickBot="1" x14ac:dyDescent="0.3">
      <c r="A640" s="254">
        <v>523941</v>
      </c>
      <c r="B640" s="57" t="s">
        <v>1</v>
      </c>
      <c r="C640" s="14">
        <v>221</v>
      </c>
      <c r="D640" s="87">
        <f>+C640*$D$1</f>
        <v>299.89999999999998</v>
      </c>
      <c r="E640" s="87">
        <f t="shared" si="159"/>
        <v>407.86399999999998</v>
      </c>
      <c r="F640" s="178">
        <v>550.1</v>
      </c>
      <c r="G640" s="233">
        <v>659.8</v>
      </c>
      <c r="H640" s="178">
        <f t="shared" si="148"/>
        <v>769.98659999999995</v>
      </c>
      <c r="I640" s="170">
        <f t="shared" si="160"/>
        <v>877.46358183376174</v>
      </c>
      <c r="J640" s="170">
        <f t="shared" si="161"/>
        <v>1024</v>
      </c>
      <c r="K640" s="107" t="s">
        <v>609</v>
      </c>
      <c r="L640" s="198"/>
    </row>
    <row r="641" spans="1:12" ht="36.75" customHeight="1" thickBot="1" x14ac:dyDescent="0.3">
      <c r="A641" s="219" t="s">
        <v>610</v>
      </c>
      <c r="B641" s="45"/>
      <c r="C641" s="45"/>
      <c r="D641" s="45"/>
      <c r="E641" s="45"/>
      <c r="F641" s="45"/>
      <c r="G641" s="45"/>
      <c r="H641" s="45"/>
      <c r="I641" s="45"/>
      <c r="J641" s="45"/>
      <c r="K641" s="190"/>
      <c r="L641" s="198"/>
    </row>
    <row r="642" spans="1:12" ht="27.75" thickBot="1" x14ac:dyDescent="0.3">
      <c r="A642" s="254">
        <v>523610</v>
      </c>
      <c r="B642" s="57" t="s">
        <v>124</v>
      </c>
      <c r="C642" s="14">
        <v>358</v>
      </c>
      <c r="D642" s="55">
        <v>485</v>
      </c>
      <c r="E642" s="55">
        <v>659.8</v>
      </c>
      <c r="F642" s="178">
        <f t="shared" si="156"/>
        <v>890.73</v>
      </c>
      <c r="G642" s="233">
        <v>1068.5999999999999</v>
      </c>
      <c r="H642" s="178">
        <f t="shared" si="148"/>
        <v>1247.0562</v>
      </c>
      <c r="I642" s="170">
        <f t="shared" ref="I642:I648" si="162">+J642/1.167</f>
        <v>1421.5938303341902</v>
      </c>
      <c r="J642" s="170">
        <f t="shared" ref="J642:J648" si="163">ROUND(+H642*(1+$J$1),0)</f>
        <v>1659</v>
      </c>
      <c r="K642" s="107" t="s">
        <v>611</v>
      </c>
      <c r="L642" s="198"/>
    </row>
    <row r="643" spans="1:12" ht="27.75" thickBot="1" x14ac:dyDescent="0.3">
      <c r="A643" s="254">
        <v>523630</v>
      </c>
      <c r="B643" s="57" t="s">
        <v>124</v>
      </c>
      <c r="C643" s="14">
        <v>358</v>
      </c>
      <c r="D643" s="87">
        <v>485</v>
      </c>
      <c r="E643" s="87">
        <v>659.8</v>
      </c>
      <c r="F643" s="178">
        <f t="shared" si="156"/>
        <v>890.73</v>
      </c>
      <c r="G643" s="233">
        <v>1068.5999999999999</v>
      </c>
      <c r="H643" s="178">
        <f t="shared" si="148"/>
        <v>1247.0562</v>
      </c>
      <c r="I643" s="170">
        <f t="shared" si="162"/>
        <v>1421.5938303341902</v>
      </c>
      <c r="J643" s="170">
        <f t="shared" si="163"/>
        <v>1659</v>
      </c>
      <c r="K643" s="107" t="s">
        <v>612</v>
      </c>
      <c r="L643" s="198"/>
    </row>
    <row r="644" spans="1:12" ht="27.75" thickBot="1" x14ac:dyDescent="0.3">
      <c r="A644" s="254">
        <v>523640</v>
      </c>
      <c r="B644" s="57" t="s">
        <v>124</v>
      </c>
      <c r="C644" s="14">
        <v>358</v>
      </c>
      <c r="D644" s="87">
        <v>485</v>
      </c>
      <c r="E644" s="87">
        <v>659.8</v>
      </c>
      <c r="F644" s="178">
        <f t="shared" si="156"/>
        <v>890.73</v>
      </c>
      <c r="G644" s="233">
        <v>1068.5999999999999</v>
      </c>
      <c r="H644" s="178">
        <f t="shared" si="148"/>
        <v>1247.0562</v>
      </c>
      <c r="I644" s="170">
        <f t="shared" si="162"/>
        <v>1421.5938303341902</v>
      </c>
      <c r="J644" s="170">
        <f t="shared" si="163"/>
        <v>1659</v>
      </c>
      <c r="K644" s="107" t="s">
        <v>613</v>
      </c>
      <c r="L644" s="198"/>
    </row>
    <row r="645" spans="1:12" ht="41.25" thickBot="1" x14ac:dyDescent="0.3">
      <c r="A645" s="254">
        <v>523660</v>
      </c>
      <c r="B645" s="57" t="s">
        <v>124</v>
      </c>
      <c r="C645" s="14">
        <v>221</v>
      </c>
      <c r="D645" s="87">
        <f>+C645*$D$1</f>
        <v>299.89999999999998</v>
      </c>
      <c r="E645" s="87">
        <f t="shared" ref="E645:E708" si="164">+D645*1.36</f>
        <v>407.86399999999998</v>
      </c>
      <c r="F645" s="178">
        <v>550.1</v>
      </c>
      <c r="G645" s="233">
        <v>659.8</v>
      </c>
      <c r="H645" s="178">
        <f t="shared" si="148"/>
        <v>769.98659999999995</v>
      </c>
      <c r="I645" s="170">
        <f t="shared" si="162"/>
        <v>877.46358183376174</v>
      </c>
      <c r="J645" s="170">
        <f t="shared" si="163"/>
        <v>1024</v>
      </c>
      <c r="K645" s="107" t="s">
        <v>614</v>
      </c>
      <c r="L645" s="198"/>
    </row>
    <row r="646" spans="1:12" ht="27.75" thickBot="1" x14ac:dyDescent="0.3">
      <c r="A646" s="254">
        <v>523670</v>
      </c>
      <c r="B646" s="57" t="s">
        <v>124</v>
      </c>
      <c r="C646" s="14">
        <v>221</v>
      </c>
      <c r="D646" s="87">
        <f>+C646*$D$1</f>
        <v>299.89999999999998</v>
      </c>
      <c r="E646" s="87">
        <f t="shared" si="164"/>
        <v>407.86399999999998</v>
      </c>
      <c r="F646" s="178">
        <v>550.1</v>
      </c>
      <c r="G646" s="233">
        <v>659.8</v>
      </c>
      <c r="H646" s="178">
        <f t="shared" si="148"/>
        <v>769.98659999999995</v>
      </c>
      <c r="I646" s="170">
        <f t="shared" si="162"/>
        <v>877.46358183376174</v>
      </c>
      <c r="J646" s="170">
        <f t="shared" si="163"/>
        <v>1024</v>
      </c>
      <c r="K646" s="107" t="s">
        <v>615</v>
      </c>
      <c r="L646" s="198"/>
    </row>
    <row r="647" spans="1:12" ht="16.5" thickBot="1" x14ac:dyDescent="0.3">
      <c r="A647" s="254">
        <v>523690.1</v>
      </c>
      <c r="B647" s="57" t="s">
        <v>124</v>
      </c>
      <c r="C647" s="14">
        <v>358</v>
      </c>
      <c r="D647" s="87">
        <v>485</v>
      </c>
      <c r="E647" s="87">
        <v>659.8</v>
      </c>
      <c r="F647" s="178">
        <f t="shared" si="156"/>
        <v>890.73</v>
      </c>
      <c r="G647" s="233">
        <v>1068.5999999999999</v>
      </c>
      <c r="H647" s="178">
        <f t="shared" ref="H647:H710" si="165">G647*1.167</f>
        <v>1247.0562</v>
      </c>
      <c r="I647" s="170">
        <f t="shared" si="162"/>
        <v>1421.5938303341902</v>
      </c>
      <c r="J647" s="170">
        <f t="shared" si="163"/>
        <v>1659</v>
      </c>
      <c r="K647" s="107" t="s">
        <v>616</v>
      </c>
      <c r="L647" s="198"/>
    </row>
    <row r="648" spans="1:12" ht="27.75" thickBot="1" x14ac:dyDescent="0.3">
      <c r="A648" s="254">
        <v>523690.2</v>
      </c>
      <c r="B648" s="57" t="s">
        <v>124</v>
      </c>
      <c r="C648" s="14">
        <v>358</v>
      </c>
      <c r="D648" s="87">
        <v>485</v>
      </c>
      <c r="E648" s="87">
        <v>659.8</v>
      </c>
      <c r="F648" s="178">
        <f t="shared" si="156"/>
        <v>890.73</v>
      </c>
      <c r="G648" s="233">
        <v>1068.5999999999999</v>
      </c>
      <c r="H648" s="178">
        <f t="shared" si="165"/>
        <v>1247.0562</v>
      </c>
      <c r="I648" s="170">
        <f t="shared" si="162"/>
        <v>1421.5938303341902</v>
      </c>
      <c r="J648" s="170">
        <f t="shared" si="163"/>
        <v>1659</v>
      </c>
      <c r="K648" s="107" t="s">
        <v>617</v>
      </c>
      <c r="L648" s="198"/>
    </row>
    <row r="649" spans="1:12" ht="17.25" thickBot="1" x14ac:dyDescent="0.3">
      <c r="A649" s="111" t="s">
        <v>618</v>
      </c>
      <c r="B649" s="76"/>
      <c r="C649" s="4"/>
      <c r="D649" s="45"/>
      <c r="E649" s="45"/>
      <c r="F649" s="45"/>
      <c r="G649" s="45"/>
      <c r="H649" s="45"/>
      <c r="I649" s="45"/>
      <c r="J649" s="45"/>
      <c r="K649" s="72"/>
      <c r="L649" s="198"/>
    </row>
    <row r="650" spans="1:12" ht="41.25" thickBot="1" x14ac:dyDescent="0.3">
      <c r="A650" s="254">
        <v>503100.1</v>
      </c>
      <c r="B650" s="57" t="s">
        <v>1</v>
      </c>
      <c r="C650" s="14">
        <v>221</v>
      </c>
      <c r="D650" s="55">
        <f>+C650*$D$1</f>
        <v>299.89999999999998</v>
      </c>
      <c r="E650" s="55">
        <f t="shared" si="164"/>
        <v>407.86399999999998</v>
      </c>
      <c r="F650" s="178">
        <v>550.1</v>
      </c>
      <c r="G650" s="233">
        <v>659.8</v>
      </c>
      <c r="H650" s="178">
        <f t="shared" si="165"/>
        <v>769.98659999999995</v>
      </c>
      <c r="I650" s="170">
        <f t="shared" ref="I650:I713" si="166">+J650/1.167</f>
        <v>877.46358183376174</v>
      </c>
      <c r="J650" s="170">
        <f t="shared" ref="J650:J713" si="167">ROUND(+H650*(1+$J$1),0)</f>
        <v>1024</v>
      </c>
      <c r="K650" s="107" t="s">
        <v>619</v>
      </c>
      <c r="L650" s="198"/>
    </row>
    <row r="651" spans="1:12" ht="27.75" thickBot="1" x14ac:dyDescent="0.3">
      <c r="A651" s="254">
        <v>503100.2</v>
      </c>
      <c r="B651" s="57" t="s">
        <v>1</v>
      </c>
      <c r="C651" s="14">
        <v>221</v>
      </c>
      <c r="D651" s="87">
        <f>+C651*$D$1</f>
        <v>299.89999999999998</v>
      </c>
      <c r="E651" s="87">
        <f t="shared" si="164"/>
        <v>407.86399999999998</v>
      </c>
      <c r="F651" s="178">
        <v>550.1</v>
      </c>
      <c r="G651" s="233">
        <v>659.8</v>
      </c>
      <c r="H651" s="178">
        <f t="shared" si="165"/>
        <v>769.98659999999995</v>
      </c>
      <c r="I651" s="170">
        <f t="shared" si="166"/>
        <v>877.46358183376174</v>
      </c>
      <c r="J651" s="170">
        <f t="shared" si="167"/>
        <v>1024</v>
      </c>
      <c r="K651" s="107" t="s">
        <v>620</v>
      </c>
      <c r="L651" s="198"/>
    </row>
    <row r="652" spans="1:12" ht="27.75" thickBot="1" x14ac:dyDescent="0.3">
      <c r="A652" s="254">
        <v>523110.1</v>
      </c>
      <c r="B652" s="57" t="s">
        <v>124</v>
      </c>
      <c r="C652" s="55">
        <v>180</v>
      </c>
      <c r="D652" s="83">
        <v>244</v>
      </c>
      <c r="E652" s="83">
        <f t="shared" si="164"/>
        <v>331.84000000000003</v>
      </c>
      <c r="F652" s="172">
        <f t="shared" si="156"/>
        <v>447.98400000000009</v>
      </c>
      <c r="G652" s="227">
        <v>537.29999999999995</v>
      </c>
      <c r="H652" s="172">
        <f t="shared" si="165"/>
        <v>627.02909999999997</v>
      </c>
      <c r="I652" s="170">
        <f t="shared" si="166"/>
        <v>714.65295629820048</v>
      </c>
      <c r="J652" s="170">
        <f t="shared" si="167"/>
        <v>834</v>
      </c>
      <c r="K652" s="107" t="s">
        <v>621</v>
      </c>
      <c r="L652" s="198"/>
    </row>
    <row r="653" spans="1:12" ht="16.5" thickBot="1" x14ac:dyDescent="0.3">
      <c r="A653" s="254">
        <v>523110.2</v>
      </c>
      <c r="B653" s="57" t="s">
        <v>124</v>
      </c>
      <c r="C653" s="55">
        <v>180</v>
      </c>
      <c r="D653" s="83">
        <v>244</v>
      </c>
      <c r="E653" s="83">
        <f t="shared" si="164"/>
        <v>331.84000000000003</v>
      </c>
      <c r="F653" s="172">
        <f t="shared" si="156"/>
        <v>447.98400000000009</v>
      </c>
      <c r="G653" s="227">
        <v>537.29999999999995</v>
      </c>
      <c r="H653" s="172">
        <f t="shared" si="165"/>
        <v>627.02909999999997</v>
      </c>
      <c r="I653" s="170">
        <f t="shared" si="166"/>
        <v>714.65295629820048</v>
      </c>
      <c r="J653" s="170">
        <f t="shared" si="167"/>
        <v>834</v>
      </c>
      <c r="K653" s="107" t="s">
        <v>622</v>
      </c>
      <c r="L653" s="198"/>
    </row>
    <row r="654" spans="1:12" ht="16.5" thickBot="1" x14ac:dyDescent="0.3">
      <c r="A654" s="254">
        <v>503210</v>
      </c>
      <c r="B654" s="57" t="s">
        <v>1</v>
      </c>
      <c r="C654" s="14">
        <v>221</v>
      </c>
      <c r="D654" s="87">
        <f>+C654*$D$1</f>
        <v>299.89999999999998</v>
      </c>
      <c r="E654" s="87">
        <f t="shared" si="164"/>
        <v>407.86399999999998</v>
      </c>
      <c r="F654" s="178">
        <v>550.1</v>
      </c>
      <c r="G654" s="233">
        <v>659.8</v>
      </c>
      <c r="H654" s="178">
        <f t="shared" si="165"/>
        <v>769.98659999999995</v>
      </c>
      <c r="I654" s="170">
        <f t="shared" si="166"/>
        <v>877.46358183376174</v>
      </c>
      <c r="J654" s="170">
        <f t="shared" si="167"/>
        <v>1024</v>
      </c>
      <c r="K654" s="107" t="s">
        <v>623</v>
      </c>
      <c r="L654" s="198"/>
    </row>
    <row r="655" spans="1:12" ht="27.75" thickBot="1" x14ac:dyDescent="0.3">
      <c r="A655" s="254">
        <v>505000</v>
      </c>
      <c r="B655" s="57" t="s">
        <v>1</v>
      </c>
      <c r="C655" s="14">
        <v>221</v>
      </c>
      <c r="D655" s="87">
        <f>+C655*$D$1</f>
        <v>299.89999999999998</v>
      </c>
      <c r="E655" s="87">
        <f t="shared" si="164"/>
        <v>407.86399999999998</v>
      </c>
      <c r="F655" s="178">
        <v>550.1</v>
      </c>
      <c r="G655" s="233">
        <v>659.8</v>
      </c>
      <c r="H655" s="178">
        <f t="shared" si="165"/>
        <v>769.98659999999995</v>
      </c>
      <c r="I655" s="170">
        <f t="shared" si="166"/>
        <v>877.46358183376174</v>
      </c>
      <c r="J655" s="170">
        <f t="shared" si="167"/>
        <v>1024</v>
      </c>
      <c r="K655" s="107" t="s">
        <v>624</v>
      </c>
      <c r="L655" s="198"/>
    </row>
    <row r="656" spans="1:12" ht="27.75" thickBot="1" x14ac:dyDescent="0.3">
      <c r="A656" s="254">
        <v>523120</v>
      </c>
      <c r="B656" s="57" t="s">
        <v>1</v>
      </c>
      <c r="C656" s="14">
        <v>180</v>
      </c>
      <c r="D656" s="83">
        <v>244</v>
      </c>
      <c r="E656" s="83">
        <f t="shared" si="164"/>
        <v>331.84000000000003</v>
      </c>
      <c r="F656" s="172">
        <f t="shared" si="156"/>
        <v>447.98400000000009</v>
      </c>
      <c r="G656" s="227">
        <v>537.29999999999995</v>
      </c>
      <c r="H656" s="172">
        <f t="shared" si="165"/>
        <v>627.02909999999997</v>
      </c>
      <c r="I656" s="170">
        <f t="shared" si="166"/>
        <v>714.65295629820048</v>
      </c>
      <c r="J656" s="170">
        <f t="shared" si="167"/>
        <v>834</v>
      </c>
      <c r="K656" s="107" t="s">
        <v>625</v>
      </c>
      <c r="L656" s="198"/>
    </row>
    <row r="657" spans="1:12" ht="16.5" thickBot="1" x14ac:dyDescent="0.3">
      <c r="A657" s="254">
        <v>523330.1</v>
      </c>
      <c r="B657" s="57" t="s">
        <v>1</v>
      </c>
      <c r="C657" s="14">
        <v>180</v>
      </c>
      <c r="D657" s="83">
        <v>244</v>
      </c>
      <c r="E657" s="83">
        <f t="shared" si="164"/>
        <v>331.84000000000003</v>
      </c>
      <c r="F657" s="172">
        <f t="shared" si="156"/>
        <v>447.98400000000009</v>
      </c>
      <c r="G657" s="227">
        <v>537.29999999999995</v>
      </c>
      <c r="H657" s="172">
        <f t="shared" si="165"/>
        <v>627.02909999999997</v>
      </c>
      <c r="I657" s="170">
        <f t="shared" si="166"/>
        <v>714.65295629820048</v>
      </c>
      <c r="J657" s="170">
        <f t="shared" si="167"/>
        <v>834</v>
      </c>
      <c r="K657" s="107" t="s">
        <v>626</v>
      </c>
      <c r="L657" s="198"/>
    </row>
    <row r="658" spans="1:12" ht="27.75" thickBot="1" x14ac:dyDescent="0.3">
      <c r="A658" s="254">
        <v>523510</v>
      </c>
      <c r="B658" s="57" t="s">
        <v>1</v>
      </c>
      <c r="C658" s="14">
        <v>358</v>
      </c>
      <c r="D658" s="87">
        <v>485</v>
      </c>
      <c r="E658" s="87">
        <v>659.8</v>
      </c>
      <c r="F658" s="178">
        <f t="shared" si="156"/>
        <v>890.73</v>
      </c>
      <c r="G658" s="233">
        <v>1068.5999999999999</v>
      </c>
      <c r="H658" s="178">
        <f t="shared" si="165"/>
        <v>1247.0562</v>
      </c>
      <c r="I658" s="170">
        <f t="shared" si="166"/>
        <v>1421.5938303341902</v>
      </c>
      <c r="J658" s="170">
        <f t="shared" si="167"/>
        <v>1659</v>
      </c>
      <c r="K658" s="107" t="s">
        <v>627</v>
      </c>
      <c r="L658" s="198"/>
    </row>
    <row r="659" spans="1:12" ht="27.75" thickBot="1" x14ac:dyDescent="0.3">
      <c r="A659" s="254">
        <v>523520</v>
      </c>
      <c r="B659" s="57" t="s">
        <v>1</v>
      </c>
      <c r="C659" s="14">
        <v>358</v>
      </c>
      <c r="D659" s="87">
        <v>485</v>
      </c>
      <c r="E659" s="87">
        <v>659.8</v>
      </c>
      <c r="F659" s="178">
        <f t="shared" si="156"/>
        <v>890.73</v>
      </c>
      <c r="G659" s="233">
        <v>1068.5999999999999</v>
      </c>
      <c r="H659" s="178">
        <f t="shared" si="165"/>
        <v>1247.0562</v>
      </c>
      <c r="I659" s="170">
        <f t="shared" si="166"/>
        <v>1421.5938303341902</v>
      </c>
      <c r="J659" s="170">
        <f t="shared" si="167"/>
        <v>1659</v>
      </c>
      <c r="K659" s="107" t="s">
        <v>628</v>
      </c>
      <c r="L659" s="198"/>
    </row>
    <row r="660" spans="1:12" ht="27.75" thickBot="1" x14ac:dyDescent="0.3">
      <c r="A660" s="254">
        <v>523530</v>
      </c>
      <c r="B660" s="57" t="s">
        <v>124</v>
      </c>
      <c r="C660" s="14">
        <v>221</v>
      </c>
      <c r="D660" s="87">
        <f>+C660*$D$1</f>
        <v>299.89999999999998</v>
      </c>
      <c r="E660" s="87">
        <f t="shared" si="164"/>
        <v>407.86399999999998</v>
      </c>
      <c r="F660" s="178">
        <v>550.1</v>
      </c>
      <c r="G660" s="233">
        <v>659.8</v>
      </c>
      <c r="H660" s="178">
        <f t="shared" si="165"/>
        <v>769.98659999999995</v>
      </c>
      <c r="I660" s="170">
        <f t="shared" si="166"/>
        <v>877.46358183376174</v>
      </c>
      <c r="J660" s="170">
        <f t="shared" si="167"/>
        <v>1024</v>
      </c>
      <c r="K660" s="107" t="s">
        <v>629</v>
      </c>
      <c r="L660" s="198"/>
    </row>
    <row r="661" spans="1:12" ht="27.75" thickBot="1" x14ac:dyDescent="0.3">
      <c r="A661" s="254">
        <v>523540</v>
      </c>
      <c r="B661" s="57" t="s">
        <v>1</v>
      </c>
      <c r="C661" s="14">
        <v>180</v>
      </c>
      <c r="D661" s="83">
        <v>244</v>
      </c>
      <c r="E661" s="83">
        <f t="shared" si="164"/>
        <v>331.84000000000003</v>
      </c>
      <c r="F661" s="172">
        <f t="shared" si="156"/>
        <v>447.98400000000009</v>
      </c>
      <c r="G661" s="227">
        <v>537.29999999999995</v>
      </c>
      <c r="H661" s="172">
        <f t="shared" si="165"/>
        <v>627.02909999999997</v>
      </c>
      <c r="I661" s="170">
        <f t="shared" si="166"/>
        <v>714.65295629820048</v>
      </c>
      <c r="J661" s="170">
        <f t="shared" si="167"/>
        <v>834</v>
      </c>
      <c r="K661" s="107" t="s">
        <v>630</v>
      </c>
      <c r="L661" s="198"/>
    </row>
    <row r="662" spans="1:12" ht="16.5" thickBot="1" x14ac:dyDescent="0.3">
      <c r="A662" s="254">
        <v>523550</v>
      </c>
      <c r="B662" s="57" t="s">
        <v>59</v>
      </c>
      <c r="C662" s="14">
        <v>221</v>
      </c>
      <c r="D662" s="87">
        <f t="shared" ref="D662:D667" si="168">+C662*$D$1</f>
        <v>299.89999999999998</v>
      </c>
      <c r="E662" s="87">
        <f t="shared" si="164"/>
        <v>407.86399999999998</v>
      </c>
      <c r="F662" s="178">
        <v>550.1</v>
      </c>
      <c r="G662" s="233">
        <v>659.8</v>
      </c>
      <c r="H662" s="178">
        <f t="shared" si="165"/>
        <v>769.98659999999995</v>
      </c>
      <c r="I662" s="170">
        <f t="shared" si="166"/>
        <v>877.46358183376174</v>
      </c>
      <c r="J662" s="170">
        <f t="shared" si="167"/>
        <v>1024</v>
      </c>
      <c r="K662" s="107" t="s">
        <v>631</v>
      </c>
      <c r="L662" s="198"/>
    </row>
    <row r="663" spans="1:12" ht="16.5" thickBot="1" x14ac:dyDescent="0.3">
      <c r="A663" s="254">
        <v>523560.1</v>
      </c>
      <c r="B663" s="57" t="s">
        <v>1</v>
      </c>
      <c r="C663" s="14">
        <v>221</v>
      </c>
      <c r="D663" s="87">
        <f t="shared" si="168"/>
        <v>299.89999999999998</v>
      </c>
      <c r="E663" s="87">
        <f t="shared" si="164"/>
        <v>407.86399999999998</v>
      </c>
      <c r="F663" s="178">
        <v>550.1</v>
      </c>
      <c r="G663" s="233">
        <v>659.8</v>
      </c>
      <c r="H663" s="178">
        <f t="shared" si="165"/>
        <v>769.98659999999995</v>
      </c>
      <c r="I663" s="170">
        <f t="shared" si="166"/>
        <v>877.46358183376174</v>
      </c>
      <c r="J663" s="170">
        <f t="shared" si="167"/>
        <v>1024</v>
      </c>
      <c r="K663" s="107" t="s">
        <v>632</v>
      </c>
      <c r="L663" s="198"/>
    </row>
    <row r="664" spans="1:12" ht="27.75" thickBot="1" x14ac:dyDescent="0.3">
      <c r="A664" s="254">
        <v>523560.2</v>
      </c>
      <c r="B664" s="57" t="s">
        <v>1</v>
      </c>
      <c r="C664" s="14">
        <v>221</v>
      </c>
      <c r="D664" s="87">
        <f t="shared" si="168"/>
        <v>299.89999999999998</v>
      </c>
      <c r="E664" s="87">
        <f t="shared" si="164"/>
        <v>407.86399999999998</v>
      </c>
      <c r="F664" s="178">
        <v>550.1</v>
      </c>
      <c r="G664" s="233">
        <v>659.8</v>
      </c>
      <c r="H664" s="178">
        <f t="shared" si="165"/>
        <v>769.98659999999995</v>
      </c>
      <c r="I664" s="170">
        <f t="shared" si="166"/>
        <v>877.46358183376174</v>
      </c>
      <c r="J664" s="170">
        <f t="shared" si="167"/>
        <v>1024</v>
      </c>
      <c r="K664" s="107" t="s">
        <v>633</v>
      </c>
      <c r="L664" s="198"/>
    </row>
    <row r="665" spans="1:12" ht="41.25" thickBot="1" x14ac:dyDescent="0.3">
      <c r="A665" s="254">
        <v>523560.3</v>
      </c>
      <c r="B665" s="57" t="s">
        <v>1</v>
      </c>
      <c r="C665" s="14">
        <v>221</v>
      </c>
      <c r="D665" s="87">
        <f t="shared" si="168"/>
        <v>299.89999999999998</v>
      </c>
      <c r="E665" s="87">
        <f t="shared" si="164"/>
        <v>407.86399999999998</v>
      </c>
      <c r="F665" s="178">
        <v>550.1</v>
      </c>
      <c r="G665" s="233">
        <v>659.8</v>
      </c>
      <c r="H665" s="178">
        <f t="shared" si="165"/>
        <v>769.98659999999995</v>
      </c>
      <c r="I665" s="170">
        <f t="shared" si="166"/>
        <v>877.46358183376174</v>
      </c>
      <c r="J665" s="170">
        <f t="shared" si="167"/>
        <v>1024</v>
      </c>
      <c r="K665" s="107" t="s">
        <v>634</v>
      </c>
      <c r="L665" s="198"/>
    </row>
    <row r="666" spans="1:12" ht="54.75" thickBot="1" x14ac:dyDescent="0.3">
      <c r="A666" s="254">
        <v>523560.4</v>
      </c>
      <c r="B666" s="57" t="s">
        <v>1</v>
      </c>
      <c r="C666" s="14">
        <v>221</v>
      </c>
      <c r="D666" s="87">
        <f t="shared" si="168"/>
        <v>299.89999999999998</v>
      </c>
      <c r="E666" s="87">
        <f t="shared" si="164"/>
        <v>407.86399999999998</v>
      </c>
      <c r="F666" s="178">
        <v>550.1</v>
      </c>
      <c r="G666" s="233">
        <v>659.8</v>
      </c>
      <c r="H666" s="178">
        <f t="shared" si="165"/>
        <v>769.98659999999995</v>
      </c>
      <c r="I666" s="170">
        <f t="shared" si="166"/>
        <v>877.46358183376174</v>
      </c>
      <c r="J666" s="170">
        <f t="shared" si="167"/>
        <v>1024</v>
      </c>
      <c r="K666" s="107" t="s">
        <v>635</v>
      </c>
      <c r="L666" s="198"/>
    </row>
    <row r="667" spans="1:12" ht="27.75" thickBot="1" x14ac:dyDescent="0.3">
      <c r="A667" s="254">
        <v>523590</v>
      </c>
      <c r="B667" s="57" t="s">
        <v>1</v>
      </c>
      <c r="C667" s="14">
        <v>221</v>
      </c>
      <c r="D667" s="87">
        <f t="shared" si="168"/>
        <v>299.89999999999998</v>
      </c>
      <c r="E667" s="87">
        <f t="shared" si="164"/>
        <v>407.86399999999998</v>
      </c>
      <c r="F667" s="178">
        <v>550.1</v>
      </c>
      <c r="G667" s="233">
        <v>659.8</v>
      </c>
      <c r="H667" s="178">
        <f t="shared" si="165"/>
        <v>769.98659999999995</v>
      </c>
      <c r="I667" s="170">
        <f t="shared" si="166"/>
        <v>877.46358183376174</v>
      </c>
      <c r="J667" s="170">
        <f t="shared" si="167"/>
        <v>1024</v>
      </c>
      <c r="K667" s="107" t="s">
        <v>636</v>
      </c>
      <c r="L667" s="198"/>
    </row>
    <row r="668" spans="1:12" ht="27.75" thickBot="1" x14ac:dyDescent="0.3">
      <c r="A668" s="254">
        <v>523620</v>
      </c>
      <c r="B668" s="57" t="s">
        <v>1</v>
      </c>
      <c r="C668" s="14">
        <v>180</v>
      </c>
      <c r="D668" s="83">
        <v>244</v>
      </c>
      <c r="E668" s="83">
        <f t="shared" si="164"/>
        <v>331.84000000000003</v>
      </c>
      <c r="F668" s="172">
        <f t="shared" si="156"/>
        <v>447.98400000000009</v>
      </c>
      <c r="G668" s="227">
        <v>537.29999999999995</v>
      </c>
      <c r="H668" s="172">
        <f t="shared" si="165"/>
        <v>627.02909999999997</v>
      </c>
      <c r="I668" s="170">
        <f t="shared" si="166"/>
        <v>714.65295629820048</v>
      </c>
      <c r="J668" s="170">
        <f t="shared" si="167"/>
        <v>834</v>
      </c>
      <c r="K668" s="107" t="s">
        <v>637</v>
      </c>
      <c r="L668" s="198"/>
    </row>
    <row r="669" spans="1:12" ht="27.75" thickBot="1" x14ac:dyDescent="0.3">
      <c r="A669" s="254">
        <v>523710.1</v>
      </c>
      <c r="B669" s="57" t="s">
        <v>124</v>
      </c>
      <c r="C669" s="14">
        <v>221</v>
      </c>
      <c r="D669" s="87">
        <f>+C669*$D$1</f>
        <v>299.89999999999998</v>
      </c>
      <c r="E669" s="87">
        <f t="shared" si="164"/>
        <v>407.86399999999998</v>
      </c>
      <c r="F669" s="178">
        <v>550.1</v>
      </c>
      <c r="G669" s="233">
        <v>659.8</v>
      </c>
      <c r="H669" s="178">
        <f t="shared" si="165"/>
        <v>769.98659999999995</v>
      </c>
      <c r="I669" s="170">
        <f t="shared" si="166"/>
        <v>877.46358183376174</v>
      </c>
      <c r="J669" s="170">
        <f t="shared" si="167"/>
        <v>1024</v>
      </c>
      <c r="K669" s="107" t="s">
        <v>638</v>
      </c>
      <c r="L669" s="198"/>
    </row>
    <row r="670" spans="1:12" ht="27.75" thickBot="1" x14ac:dyDescent="0.3">
      <c r="A670" s="254">
        <v>523710.2</v>
      </c>
      <c r="B670" s="57" t="s">
        <v>1</v>
      </c>
      <c r="C670" s="14">
        <v>221</v>
      </c>
      <c r="D670" s="87">
        <f>+C670*$D$1</f>
        <v>299.89999999999998</v>
      </c>
      <c r="E670" s="87">
        <f t="shared" si="164"/>
        <v>407.86399999999998</v>
      </c>
      <c r="F670" s="178">
        <v>550.1</v>
      </c>
      <c r="G670" s="233">
        <v>659.8</v>
      </c>
      <c r="H670" s="178">
        <f t="shared" si="165"/>
        <v>769.98659999999995</v>
      </c>
      <c r="I670" s="170">
        <f t="shared" si="166"/>
        <v>877.46358183376174</v>
      </c>
      <c r="J670" s="170">
        <f t="shared" si="167"/>
        <v>1024</v>
      </c>
      <c r="K670" s="107" t="s">
        <v>639</v>
      </c>
      <c r="L670" s="198"/>
    </row>
    <row r="671" spans="1:12" ht="27.75" thickBot="1" x14ac:dyDescent="0.3">
      <c r="A671" s="254">
        <v>523720</v>
      </c>
      <c r="B671" s="57" t="s">
        <v>393</v>
      </c>
      <c r="C671" s="14">
        <v>221</v>
      </c>
      <c r="D671" s="87">
        <f>+C671*$D$1</f>
        <v>299.89999999999998</v>
      </c>
      <c r="E671" s="87">
        <f t="shared" si="164"/>
        <v>407.86399999999998</v>
      </c>
      <c r="F671" s="178">
        <v>550.1</v>
      </c>
      <c r="G671" s="233">
        <v>659.8</v>
      </c>
      <c r="H671" s="178">
        <f t="shared" si="165"/>
        <v>769.98659999999995</v>
      </c>
      <c r="I671" s="170">
        <f t="shared" si="166"/>
        <v>877.46358183376174</v>
      </c>
      <c r="J671" s="170">
        <f t="shared" si="167"/>
        <v>1024</v>
      </c>
      <c r="K671" s="107" t="s">
        <v>640</v>
      </c>
      <c r="L671" s="198"/>
    </row>
    <row r="672" spans="1:12" ht="27.75" thickBot="1" x14ac:dyDescent="0.3">
      <c r="A672" s="254">
        <v>523720.1</v>
      </c>
      <c r="B672" s="57" t="s">
        <v>393</v>
      </c>
      <c r="C672" s="14">
        <v>358</v>
      </c>
      <c r="D672" s="87">
        <v>485</v>
      </c>
      <c r="E672" s="87">
        <v>659.8</v>
      </c>
      <c r="F672" s="178">
        <f t="shared" si="156"/>
        <v>890.73</v>
      </c>
      <c r="G672" s="233">
        <v>1068.5999999999999</v>
      </c>
      <c r="H672" s="178">
        <f t="shared" si="165"/>
        <v>1247.0562</v>
      </c>
      <c r="I672" s="170">
        <f t="shared" si="166"/>
        <v>1421.5938303341902</v>
      </c>
      <c r="J672" s="170">
        <f t="shared" si="167"/>
        <v>1659</v>
      </c>
      <c r="K672" s="107" t="s">
        <v>641</v>
      </c>
      <c r="L672" s="198"/>
    </row>
    <row r="673" spans="1:12" ht="16.5" thickBot="1" x14ac:dyDescent="0.3">
      <c r="A673" s="254">
        <v>523720.2</v>
      </c>
      <c r="B673" s="57" t="s">
        <v>393</v>
      </c>
      <c r="C673" s="14">
        <v>708</v>
      </c>
      <c r="D673" s="87">
        <v>960</v>
      </c>
      <c r="E673" s="87">
        <v>1310</v>
      </c>
      <c r="F673" s="178">
        <f t="shared" si="156"/>
        <v>1768.5000000000002</v>
      </c>
      <c r="G673" s="233">
        <v>2121.6999999999998</v>
      </c>
      <c r="H673" s="178">
        <f t="shared" si="165"/>
        <v>2476.0238999999997</v>
      </c>
      <c r="I673" s="170">
        <f t="shared" si="166"/>
        <v>2821.765209940017</v>
      </c>
      <c r="J673" s="170">
        <f t="shared" si="167"/>
        <v>3293</v>
      </c>
      <c r="K673" s="107" t="s">
        <v>642</v>
      </c>
      <c r="L673" s="198"/>
    </row>
    <row r="674" spans="1:12" ht="27.75" thickBot="1" x14ac:dyDescent="0.3">
      <c r="A674" s="254">
        <v>523810</v>
      </c>
      <c r="B674" s="57" t="s">
        <v>1</v>
      </c>
      <c r="C674" s="14">
        <v>180</v>
      </c>
      <c r="D674" s="83">
        <v>244</v>
      </c>
      <c r="E674" s="83">
        <f t="shared" si="164"/>
        <v>331.84000000000003</v>
      </c>
      <c r="F674" s="172">
        <f t="shared" si="156"/>
        <v>447.98400000000009</v>
      </c>
      <c r="G674" s="227">
        <v>537.29999999999995</v>
      </c>
      <c r="H674" s="172">
        <f t="shared" si="165"/>
        <v>627.02909999999997</v>
      </c>
      <c r="I674" s="170">
        <f t="shared" si="166"/>
        <v>714.65295629820048</v>
      </c>
      <c r="J674" s="170">
        <f t="shared" si="167"/>
        <v>834</v>
      </c>
      <c r="K674" s="107" t="s">
        <v>643</v>
      </c>
      <c r="L674" s="198"/>
    </row>
    <row r="675" spans="1:12" ht="16.5" thickBot="1" x14ac:dyDescent="0.3">
      <c r="A675" s="254">
        <v>523820</v>
      </c>
      <c r="B675" s="57" t="s">
        <v>1</v>
      </c>
      <c r="C675" s="14">
        <v>180</v>
      </c>
      <c r="D675" s="83">
        <v>244</v>
      </c>
      <c r="E675" s="83">
        <f t="shared" si="164"/>
        <v>331.84000000000003</v>
      </c>
      <c r="F675" s="172">
        <f t="shared" si="156"/>
        <v>447.98400000000009</v>
      </c>
      <c r="G675" s="227">
        <v>537.29999999999995</v>
      </c>
      <c r="H675" s="172">
        <f t="shared" si="165"/>
        <v>627.02909999999997</v>
      </c>
      <c r="I675" s="170">
        <f t="shared" si="166"/>
        <v>714.65295629820048</v>
      </c>
      <c r="J675" s="170">
        <f t="shared" si="167"/>
        <v>834</v>
      </c>
      <c r="K675" s="107" t="s">
        <v>644</v>
      </c>
      <c r="L675" s="198"/>
    </row>
    <row r="676" spans="1:12" ht="27.75" thickBot="1" x14ac:dyDescent="0.3">
      <c r="A676" s="254">
        <v>523830</v>
      </c>
      <c r="B676" s="57" t="s">
        <v>1</v>
      </c>
      <c r="C676" s="14">
        <v>180</v>
      </c>
      <c r="D676" s="83">
        <v>244</v>
      </c>
      <c r="E676" s="83">
        <f t="shared" si="164"/>
        <v>331.84000000000003</v>
      </c>
      <c r="F676" s="172">
        <f t="shared" si="156"/>
        <v>447.98400000000009</v>
      </c>
      <c r="G676" s="227">
        <v>537.29999999999995</v>
      </c>
      <c r="H676" s="172">
        <f t="shared" si="165"/>
        <v>627.02909999999997</v>
      </c>
      <c r="I676" s="170">
        <f t="shared" si="166"/>
        <v>714.65295629820048</v>
      </c>
      <c r="J676" s="170">
        <f t="shared" si="167"/>
        <v>834</v>
      </c>
      <c r="K676" s="107" t="s">
        <v>645</v>
      </c>
      <c r="L676" s="198"/>
    </row>
    <row r="677" spans="1:12" ht="27.75" thickBot="1" x14ac:dyDescent="0.3">
      <c r="A677" s="254">
        <v>523911</v>
      </c>
      <c r="B677" s="57" t="s">
        <v>1</v>
      </c>
      <c r="C677" s="14">
        <v>180</v>
      </c>
      <c r="D677" s="83">
        <v>244</v>
      </c>
      <c r="E677" s="83">
        <f t="shared" si="164"/>
        <v>331.84000000000003</v>
      </c>
      <c r="F677" s="172">
        <f t="shared" si="156"/>
        <v>447.98400000000009</v>
      </c>
      <c r="G677" s="227">
        <v>537.29999999999995</v>
      </c>
      <c r="H677" s="172">
        <f t="shared" si="165"/>
        <v>627.02909999999997</v>
      </c>
      <c r="I677" s="170">
        <f t="shared" si="166"/>
        <v>714.65295629820048</v>
      </c>
      <c r="J677" s="170">
        <f t="shared" si="167"/>
        <v>834</v>
      </c>
      <c r="K677" s="107" t="s">
        <v>646</v>
      </c>
      <c r="L677" s="198"/>
    </row>
    <row r="678" spans="1:12" ht="27.75" thickBot="1" x14ac:dyDescent="0.3">
      <c r="A678" s="254">
        <v>523912</v>
      </c>
      <c r="B678" s="57" t="s">
        <v>59</v>
      </c>
      <c r="C678" s="14">
        <v>180</v>
      </c>
      <c r="D678" s="83">
        <v>244</v>
      </c>
      <c r="E678" s="83">
        <f t="shared" si="164"/>
        <v>331.84000000000003</v>
      </c>
      <c r="F678" s="172">
        <f t="shared" si="156"/>
        <v>447.98400000000009</v>
      </c>
      <c r="G678" s="227">
        <v>537.29999999999995</v>
      </c>
      <c r="H678" s="172">
        <f t="shared" si="165"/>
        <v>627.02909999999997</v>
      </c>
      <c r="I678" s="170">
        <f t="shared" si="166"/>
        <v>714.65295629820048</v>
      </c>
      <c r="J678" s="170">
        <f t="shared" si="167"/>
        <v>834</v>
      </c>
      <c r="K678" s="107" t="s">
        <v>647</v>
      </c>
      <c r="L678" s="198"/>
    </row>
    <row r="679" spans="1:12" ht="16.5" thickBot="1" x14ac:dyDescent="0.3">
      <c r="A679" s="254">
        <v>523913</v>
      </c>
      <c r="B679" s="57" t="s">
        <v>1</v>
      </c>
      <c r="C679" s="14">
        <v>180</v>
      </c>
      <c r="D679" s="83">
        <v>244</v>
      </c>
      <c r="E679" s="83">
        <f t="shared" si="164"/>
        <v>331.84000000000003</v>
      </c>
      <c r="F679" s="172">
        <f t="shared" si="156"/>
        <v>447.98400000000009</v>
      </c>
      <c r="G679" s="227">
        <v>537.29999999999995</v>
      </c>
      <c r="H679" s="172">
        <f t="shared" si="165"/>
        <v>627.02909999999997</v>
      </c>
      <c r="I679" s="170">
        <f t="shared" si="166"/>
        <v>714.65295629820048</v>
      </c>
      <c r="J679" s="170">
        <f t="shared" si="167"/>
        <v>834</v>
      </c>
      <c r="K679" s="107" t="s">
        <v>648</v>
      </c>
      <c r="L679" s="198"/>
    </row>
    <row r="680" spans="1:12" ht="16.5" thickBot="1" x14ac:dyDescent="0.3">
      <c r="A680" s="254">
        <v>523914</v>
      </c>
      <c r="B680" s="57" t="s">
        <v>59</v>
      </c>
      <c r="C680" s="14">
        <v>180</v>
      </c>
      <c r="D680" s="83">
        <v>244</v>
      </c>
      <c r="E680" s="83">
        <f t="shared" si="164"/>
        <v>331.84000000000003</v>
      </c>
      <c r="F680" s="172">
        <f t="shared" si="156"/>
        <v>447.98400000000009</v>
      </c>
      <c r="G680" s="227">
        <v>537.29999999999995</v>
      </c>
      <c r="H680" s="172">
        <f t="shared" si="165"/>
        <v>627.02909999999997</v>
      </c>
      <c r="I680" s="170">
        <f t="shared" si="166"/>
        <v>714.65295629820048</v>
      </c>
      <c r="J680" s="170">
        <f t="shared" si="167"/>
        <v>834</v>
      </c>
      <c r="K680" s="107" t="s">
        <v>649</v>
      </c>
      <c r="L680" s="198"/>
    </row>
    <row r="681" spans="1:12" ht="27.75" thickBot="1" x14ac:dyDescent="0.3">
      <c r="A681" s="254">
        <v>523920</v>
      </c>
      <c r="B681" s="57" t="s">
        <v>1</v>
      </c>
      <c r="C681" s="14">
        <v>180</v>
      </c>
      <c r="D681" s="83">
        <v>244</v>
      </c>
      <c r="E681" s="83">
        <f t="shared" si="164"/>
        <v>331.84000000000003</v>
      </c>
      <c r="F681" s="172">
        <f t="shared" si="156"/>
        <v>447.98400000000009</v>
      </c>
      <c r="G681" s="227">
        <v>537.29999999999995</v>
      </c>
      <c r="H681" s="172">
        <f t="shared" si="165"/>
        <v>627.02909999999997</v>
      </c>
      <c r="I681" s="170">
        <f t="shared" si="166"/>
        <v>714.65295629820048</v>
      </c>
      <c r="J681" s="170">
        <f t="shared" si="167"/>
        <v>834</v>
      </c>
      <c r="K681" s="107" t="s">
        <v>650</v>
      </c>
      <c r="L681" s="198"/>
    </row>
    <row r="682" spans="1:12" ht="16.5" thickBot="1" x14ac:dyDescent="0.3">
      <c r="A682" s="254">
        <v>523930.1</v>
      </c>
      <c r="B682" s="57" t="s">
        <v>1</v>
      </c>
      <c r="C682" s="14">
        <v>180</v>
      </c>
      <c r="D682" s="87">
        <v>244</v>
      </c>
      <c r="E682" s="87">
        <f t="shared" si="164"/>
        <v>331.84000000000003</v>
      </c>
      <c r="F682" s="178">
        <f t="shared" ref="F682:F742" si="169">+E682*$F$1</f>
        <v>447.98400000000009</v>
      </c>
      <c r="G682" s="233">
        <v>537.29999999999995</v>
      </c>
      <c r="H682" s="178">
        <f t="shared" si="165"/>
        <v>627.02909999999997</v>
      </c>
      <c r="I682" s="170">
        <f t="shared" si="166"/>
        <v>714.65295629820048</v>
      </c>
      <c r="J682" s="170">
        <f t="shared" si="167"/>
        <v>834</v>
      </c>
      <c r="K682" s="107" t="s">
        <v>651</v>
      </c>
      <c r="L682" s="198"/>
    </row>
    <row r="683" spans="1:12" ht="16.5" thickBot="1" x14ac:dyDescent="0.3">
      <c r="A683" s="254">
        <v>523930.2</v>
      </c>
      <c r="B683" s="57" t="s">
        <v>1</v>
      </c>
      <c r="C683" s="14">
        <v>180</v>
      </c>
      <c r="D683" s="87">
        <v>244</v>
      </c>
      <c r="E683" s="87">
        <f t="shared" si="164"/>
        <v>331.84000000000003</v>
      </c>
      <c r="F683" s="178">
        <f t="shared" si="169"/>
        <v>447.98400000000009</v>
      </c>
      <c r="G683" s="233">
        <v>537.29999999999995</v>
      </c>
      <c r="H683" s="178">
        <f t="shared" si="165"/>
        <v>627.02909999999997</v>
      </c>
      <c r="I683" s="170">
        <f t="shared" si="166"/>
        <v>714.65295629820048</v>
      </c>
      <c r="J683" s="170">
        <f t="shared" si="167"/>
        <v>834</v>
      </c>
      <c r="K683" s="107" t="s">
        <v>652</v>
      </c>
      <c r="L683" s="198"/>
    </row>
    <row r="684" spans="1:12" ht="41.25" thickBot="1" x14ac:dyDescent="0.3">
      <c r="A684" s="254">
        <v>523942</v>
      </c>
      <c r="B684" s="57" t="s">
        <v>124</v>
      </c>
      <c r="C684" s="14">
        <v>221</v>
      </c>
      <c r="D684" s="87">
        <f>+C684*$D$1</f>
        <v>299.89999999999998</v>
      </c>
      <c r="E684" s="87">
        <f t="shared" si="164"/>
        <v>407.86399999999998</v>
      </c>
      <c r="F684" s="178">
        <v>550.1</v>
      </c>
      <c r="G684" s="233">
        <v>659.8</v>
      </c>
      <c r="H684" s="178">
        <f t="shared" si="165"/>
        <v>769.98659999999995</v>
      </c>
      <c r="I684" s="170">
        <f t="shared" si="166"/>
        <v>877.46358183376174</v>
      </c>
      <c r="J684" s="170">
        <f t="shared" si="167"/>
        <v>1024</v>
      </c>
      <c r="K684" s="107" t="s">
        <v>653</v>
      </c>
      <c r="L684" s="198"/>
    </row>
    <row r="685" spans="1:12" ht="41.25" thickBot="1" x14ac:dyDescent="0.3">
      <c r="A685" s="254">
        <v>523950</v>
      </c>
      <c r="B685" s="57" t="s">
        <v>1</v>
      </c>
      <c r="C685" s="14">
        <v>221</v>
      </c>
      <c r="D685" s="87">
        <f>+C685*$D$1</f>
        <v>299.89999999999998</v>
      </c>
      <c r="E685" s="87">
        <f t="shared" si="164"/>
        <v>407.86399999999998</v>
      </c>
      <c r="F685" s="178">
        <v>550.1</v>
      </c>
      <c r="G685" s="233">
        <v>659.8</v>
      </c>
      <c r="H685" s="178">
        <f t="shared" si="165"/>
        <v>769.98659999999995</v>
      </c>
      <c r="I685" s="170">
        <f t="shared" si="166"/>
        <v>877.46358183376174</v>
      </c>
      <c r="J685" s="170">
        <f t="shared" si="167"/>
        <v>1024</v>
      </c>
      <c r="K685" s="107" t="s">
        <v>654</v>
      </c>
      <c r="L685" s="198"/>
    </row>
    <row r="686" spans="1:12" ht="16.5" thickBot="1" x14ac:dyDescent="0.3">
      <c r="A686" s="254">
        <v>523950.1</v>
      </c>
      <c r="B686" s="57" t="s">
        <v>1</v>
      </c>
      <c r="C686" s="14">
        <v>221</v>
      </c>
      <c r="D686" s="87">
        <f>+C686*$D$1</f>
        <v>299.89999999999998</v>
      </c>
      <c r="E686" s="87">
        <f t="shared" si="164"/>
        <v>407.86399999999998</v>
      </c>
      <c r="F686" s="178">
        <v>550.1</v>
      </c>
      <c r="G686" s="233">
        <v>659.8</v>
      </c>
      <c r="H686" s="178">
        <f t="shared" si="165"/>
        <v>769.98659999999995</v>
      </c>
      <c r="I686" s="170">
        <f t="shared" si="166"/>
        <v>877.46358183376174</v>
      </c>
      <c r="J686" s="170">
        <f t="shared" si="167"/>
        <v>1024</v>
      </c>
      <c r="K686" s="107" t="s">
        <v>655</v>
      </c>
      <c r="L686" s="198"/>
    </row>
    <row r="687" spans="1:12" ht="27.75" thickBot="1" x14ac:dyDescent="0.3">
      <c r="A687" s="254">
        <v>523952</v>
      </c>
      <c r="B687" s="57" t="s">
        <v>1</v>
      </c>
      <c r="C687" s="14">
        <v>221</v>
      </c>
      <c r="D687" s="87">
        <f>+C687*$D$1</f>
        <v>299.89999999999998</v>
      </c>
      <c r="E687" s="87">
        <f t="shared" si="164"/>
        <v>407.86399999999998</v>
      </c>
      <c r="F687" s="178">
        <v>550.1</v>
      </c>
      <c r="G687" s="233">
        <v>659.8</v>
      </c>
      <c r="H687" s="178">
        <f t="shared" si="165"/>
        <v>769.98659999999995</v>
      </c>
      <c r="I687" s="170">
        <f t="shared" si="166"/>
        <v>877.46358183376174</v>
      </c>
      <c r="J687" s="170">
        <f t="shared" si="167"/>
        <v>1024</v>
      </c>
      <c r="K687" s="107" t="s">
        <v>656</v>
      </c>
      <c r="L687" s="198"/>
    </row>
    <row r="688" spans="1:12" ht="27.75" thickBot="1" x14ac:dyDescent="0.3">
      <c r="A688" s="254">
        <v>523960</v>
      </c>
      <c r="B688" s="57" t="s">
        <v>130</v>
      </c>
      <c r="C688" s="14">
        <v>465</v>
      </c>
      <c r="D688" s="87">
        <v>630</v>
      </c>
      <c r="E688" s="87">
        <v>856.9</v>
      </c>
      <c r="F688" s="178">
        <f t="shared" si="169"/>
        <v>1156.8150000000001</v>
      </c>
      <c r="G688" s="233">
        <v>1388.1780000000001</v>
      </c>
      <c r="H688" s="178">
        <f t="shared" si="165"/>
        <v>1620.0037260000001</v>
      </c>
      <c r="I688" s="170">
        <f t="shared" si="166"/>
        <v>1846.6152527849185</v>
      </c>
      <c r="J688" s="170">
        <f t="shared" si="167"/>
        <v>2155</v>
      </c>
      <c r="K688" s="107" t="s">
        <v>657</v>
      </c>
      <c r="L688" s="198"/>
    </row>
    <row r="689" spans="1:12" ht="16.5" thickBot="1" x14ac:dyDescent="0.3">
      <c r="A689" s="254">
        <v>523960.1</v>
      </c>
      <c r="B689" s="57" t="s">
        <v>1</v>
      </c>
      <c r="C689" s="14">
        <v>180</v>
      </c>
      <c r="D689" s="87">
        <v>244</v>
      </c>
      <c r="E689" s="87">
        <f t="shared" si="164"/>
        <v>331.84000000000003</v>
      </c>
      <c r="F689" s="178">
        <f t="shared" si="169"/>
        <v>447.98400000000009</v>
      </c>
      <c r="G689" s="233">
        <v>537.29999999999995</v>
      </c>
      <c r="H689" s="178">
        <f t="shared" si="165"/>
        <v>627.02909999999997</v>
      </c>
      <c r="I689" s="170">
        <f t="shared" si="166"/>
        <v>714.65295629820048</v>
      </c>
      <c r="J689" s="170">
        <f t="shared" si="167"/>
        <v>834</v>
      </c>
      <c r="K689" s="107" t="s">
        <v>658</v>
      </c>
      <c r="L689" s="198"/>
    </row>
    <row r="690" spans="1:12" ht="16.5" thickBot="1" x14ac:dyDescent="0.3">
      <c r="A690" s="254">
        <v>523961</v>
      </c>
      <c r="B690" s="57" t="s">
        <v>393</v>
      </c>
      <c r="C690" s="14">
        <v>465</v>
      </c>
      <c r="D690" s="87">
        <v>630</v>
      </c>
      <c r="E690" s="87">
        <v>856.9</v>
      </c>
      <c r="F690" s="178">
        <f t="shared" si="169"/>
        <v>1156.8150000000001</v>
      </c>
      <c r="G690" s="233">
        <v>1388.1780000000001</v>
      </c>
      <c r="H690" s="178">
        <f t="shared" si="165"/>
        <v>1620.0037260000001</v>
      </c>
      <c r="I690" s="170">
        <f t="shared" si="166"/>
        <v>1846.6152527849185</v>
      </c>
      <c r="J690" s="170">
        <f t="shared" si="167"/>
        <v>2155</v>
      </c>
      <c r="K690" s="107" t="s">
        <v>659</v>
      </c>
      <c r="L690" s="198"/>
    </row>
    <row r="691" spans="1:12" ht="27.75" thickBot="1" x14ac:dyDescent="0.3">
      <c r="A691" s="254">
        <v>523965</v>
      </c>
      <c r="B691" s="57" t="s">
        <v>59</v>
      </c>
      <c r="C691" s="14">
        <v>180</v>
      </c>
      <c r="D691" s="87">
        <v>244</v>
      </c>
      <c r="E691" s="87">
        <f t="shared" si="164"/>
        <v>331.84000000000003</v>
      </c>
      <c r="F691" s="178">
        <f t="shared" si="169"/>
        <v>447.98400000000009</v>
      </c>
      <c r="G691" s="233">
        <v>537.29999999999995</v>
      </c>
      <c r="H691" s="178">
        <f t="shared" si="165"/>
        <v>627.02909999999997</v>
      </c>
      <c r="I691" s="170">
        <f t="shared" si="166"/>
        <v>714.65295629820048</v>
      </c>
      <c r="J691" s="170">
        <f t="shared" si="167"/>
        <v>834</v>
      </c>
      <c r="K691" s="107" t="s">
        <v>660</v>
      </c>
      <c r="L691" s="198"/>
    </row>
    <row r="692" spans="1:12" ht="27.75" thickBot="1" x14ac:dyDescent="0.3">
      <c r="A692" s="254">
        <v>523966</v>
      </c>
      <c r="B692" s="57" t="s">
        <v>1</v>
      </c>
      <c r="C692" s="14">
        <v>180</v>
      </c>
      <c r="D692" s="87">
        <v>244</v>
      </c>
      <c r="E692" s="87">
        <f t="shared" si="164"/>
        <v>331.84000000000003</v>
      </c>
      <c r="F692" s="178">
        <f t="shared" si="169"/>
        <v>447.98400000000009</v>
      </c>
      <c r="G692" s="233">
        <v>537.29999999999995</v>
      </c>
      <c r="H692" s="178">
        <f t="shared" si="165"/>
        <v>627.02909999999997</v>
      </c>
      <c r="I692" s="170">
        <f t="shared" si="166"/>
        <v>714.65295629820048</v>
      </c>
      <c r="J692" s="170">
        <f t="shared" si="167"/>
        <v>834</v>
      </c>
      <c r="K692" s="107" t="s">
        <v>661</v>
      </c>
      <c r="L692" s="198"/>
    </row>
    <row r="693" spans="1:12" ht="27.75" thickBot="1" x14ac:dyDescent="0.3">
      <c r="A693" s="254">
        <v>523970</v>
      </c>
      <c r="B693" s="57" t="s">
        <v>1</v>
      </c>
      <c r="C693" s="14">
        <v>180</v>
      </c>
      <c r="D693" s="87">
        <v>244</v>
      </c>
      <c r="E693" s="87">
        <f t="shared" si="164"/>
        <v>331.84000000000003</v>
      </c>
      <c r="F693" s="178">
        <f t="shared" si="169"/>
        <v>447.98400000000009</v>
      </c>
      <c r="G693" s="233">
        <v>537.29999999999995</v>
      </c>
      <c r="H693" s="178">
        <f t="shared" si="165"/>
        <v>627.02909999999997</v>
      </c>
      <c r="I693" s="170">
        <f t="shared" si="166"/>
        <v>714.65295629820048</v>
      </c>
      <c r="J693" s="170">
        <f t="shared" si="167"/>
        <v>834</v>
      </c>
      <c r="K693" s="107" t="s">
        <v>662</v>
      </c>
      <c r="L693" s="198"/>
    </row>
    <row r="694" spans="1:12" ht="27.75" thickBot="1" x14ac:dyDescent="0.3">
      <c r="A694" s="254">
        <v>523991</v>
      </c>
      <c r="B694" s="57" t="s">
        <v>1</v>
      </c>
      <c r="C694" s="14">
        <v>180</v>
      </c>
      <c r="D694" s="87">
        <v>244</v>
      </c>
      <c r="E694" s="87">
        <f t="shared" si="164"/>
        <v>331.84000000000003</v>
      </c>
      <c r="F694" s="178">
        <f t="shared" si="169"/>
        <v>447.98400000000009</v>
      </c>
      <c r="G694" s="233">
        <v>537.29999999999995</v>
      </c>
      <c r="H694" s="178">
        <f t="shared" si="165"/>
        <v>627.02909999999997</v>
      </c>
      <c r="I694" s="170">
        <f t="shared" si="166"/>
        <v>714.65295629820048</v>
      </c>
      <c r="J694" s="170">
        <f t="shared" si="167"/>
        <v>834</v>
      </c>
      <c r="K694" s="107" t="s">
        <v>663</v>
      </c>
      <c r="L694" s="198"/>
    </row>
    <row r="695" spans="1:12" ht="41.25" thickBot="1" x14ac:dyDescent="0.3">
      <c r="A695" s="254">
        <v>523992.1</v>
      </c>
      <c r="B695" s="57" t="s">
        <v>1</v>
      </c>
      <c r="C695" s="14">
        <v>358</v>
      </c>
      <c r="D695" s="87">
        <v>485</v>
      </c>
      <c r="E695" s="87">
        <v>659.8</v>
      </c>
      <c r="F695" s="178">
        <f t="shared" si="169"/>
        <v>890.73</v>
      </c>
      <c r="G695" s="233">
        <v>1068.5999999999999</v>
      </c>
      <c r="H695" s="178">
        <f t="shared" si="165"/>
        <v>1247.0562</v>
      </c>
      <c r="I695" s="170">
        <f t="shared" si="166"/>
        <v>1421.5938303341902</v>
      </c>
      <c r="J695" s="170">
        <f t="shared" si="167"/>
        <v>1659</v>
      </c>
      <c r="K695" s="107" t="s">
        <v>664</v>
      </c>
      <c r="L695" s="198"/>
    </row>
    <row r="696" spans="1:12" ht="27.75" thickBot="1" x14ac:dyDescent="0.3">
      <c r="A696" s="254">
        <v>523992.2</v>
      </c>
      <c r="B696" s="57" t="s">
        <v>1</v>
      </c>
      <c r="C696" s="14">
        <v>358</v>
      </c>
      <c r="D696" s="87">
        <v>485</v>
      </c>
      <c r="E696" s="87">
        <v>659.8</v>
      </c>
      <c r="F696" s="178">
        <f t="shared" si="169"/>
        <v>890.73</v>
      </c>
      <c r="G696" s="233">
        <v>1068.5999999999999</v>
      </c>
      <c r="H696" s="178">
        <f t="shared" si="165"/>
        <v>1247.0562</v>
      </c>
      <c r="I696" s="170">
        <f t="shared" si="166"/>
        <v>1421.5938303341902</v>
      </c>
      <c r="J696" s="170">
        <f t="shared" si="167"/>
        <v>1659</v>
      </c>
      <c r="K696" s="107" t="s">
        <v>665</v>
      </c>
      <c r="L696" s="198"/>
    </row>
    <row r="697" spans="1:12" ht="41.25" thickBot="1" x14ac:dyDescent="0.3">
      <c r="A697" s="254">
        <v>523993</v>
      </c>
      <c r="B697" s="57" t="s">
        <v>1</v>
      </c>
      <c r="C697" s="14">
        <v>221</v>
      </c>
      <c r="D697" s="87">
        <f>+C697*$D$1</f>
        <v>299.89999999999998</v>
      </c>
      <c r="E697" s="87">
        <f t="shared" si="164"/>
        <v>407.86399999999998</v>
      </c>
      <c r="F697" s="178">
        <v>550.1</v>
      </c>
      <c r="G697" s="233">
        <v>659.8</v>
      </c>
      <c r="H697" s="178">
        <f t="shared" si="165"/>
        <v>769.98659999999995</v>
      </c>
      <c r="I697" s="170">
        <f t="shared" si="166"/>
        <v>877.46358183376174</v>
      </c>
      <c r="J697" s="170">
        <f t="shared" si="167"/>
        <v>1024</v>
      </c>
      <c r="K697" s="107" t="s">
        <v>666</v>
      </c>
      <c r="L697" s="198"/>
    </row>
    <row r="698" spans="1:12" ht="16.5" thickBot="1" x14ac:dyDescent="0.3">
      <c r="A698" s="254">
        <v>523999.1</v>
      </c>
      <c r="B698" s="57" t="s">
        <v>1</v>
      </c>
      <c r="C698" s="14">
        <v>221</v>
      </c>
      <c r="D698" s="87">
        <f>+C698*$D$1</f>
        <v>299.89999999999998</v>
      </c>
      <c r="E698" s="87">
        <f t="shared" si="164"/>
        <v>407.86399999999998</v>
      </c>
      <c r="F698" s="178">
        <v>550.1</v>
      </c>
      <c r="G698" s="233">
        <v>659.8</v>
      </c>
      <c r="H698" s="178">
        <f t="shared" si="165"/>
        <v>769.98659999999995</v>
      </c>
      <c r="I698" s="170">
        <f t="shared" si="166"/>
        <v>877.46358183376174</v>
      </c>
      <c r="J698" s="170">
        <f t="shared" si="167"/>
        <v>1024</v>
      </c>
      <c r="K698" s="107" t="s">
        <v>667</v>
      </c>
      <c r="L698" s="198"/>
    </row>
    <row r="699" spans="1:12" ht="16.5" thickBot="1" x14ac:dyDescent="0.3">
      <c r="A699" s="254">
        <v>523999.2</v>
      </c>
      <c r="B699" s="57" t="s">
        <v>480</v>
      </c>
      <c r="C699" s="14" t="s">
        <v>480</v>
      </c>
      <c r="D699" s="87">
        <v>0</v>
      </c>
      <c r="E699" s="87">
        <f t="shared" si="164"/>
        <v>0</v>
      </c>
      <c r="F699" s="178">
        <f t="shared" si="169"/>
        <v>0</v>
      </c>
      <c r="G699" s="233"/>
      <c r="H699" s="178">
        <f t="shared" si="165"/>
        <v>0</v>
      </c>
      <c r="I699" s="170">
        <f t="shared" si="166"/>
        <v>0</v>
      </c>
      <c r="J699" s="170">
        <f t="shared" si="167"/>
        <v>0</v>
      </c>
      <c r="K699" s="107" t="s">
        <v>668</v>
      </c>
      <c r="L699" s="198"/>
    </row>
    <row r="700" spans="1:12" ht="27.75" thickBot="1" x14ac:dyDescent="0.3">
      <c r="A700" s="254">
        <v>523999.3</v>
      </c>
      <c r="B700" s="57" t="s">
        <v>1</v>
      </c>
      <c r="C700" s="14">
        <v>180</v>
      </c>
      <c r="D700" s="87">
        <v>244</v>
      </c>
      <c r="E700" s="87">
        <f t="shared" si="164"/>
        <v>331.84000000000003</v>
      </c>
      <c r="F700" s="178">
        <f t="shared" si="169"/>
        <v>447.98400000000009</v>
      </c>
      <c r="G700" s="233">
        <v>537.29999999999995</v>
      </c>
      <c r="H700" s="178">
        <f t="shared" si="165"/>
        <v>627.02909999999997</v>
      </c>
      <c r="I700" s="170">
        <f t="shared" si="166"/>
        <v>714.65295629820048</v>
      </c>
      <c r="J700" s="170">
        <f t="shared" si="167"/>
        <v>834</v>
      </c>
      <c r="K700" s="107" t="s">
        <v>669</v>
      </c>
      <c r="L700" s="198"/>
    </row>
    <row r="701" spans="1:12" ht="16.5" thickBot="1" x14ac:dyDescent="0.3">
      <c r="A701" s="254">
        <v>523999.4</v>
      </c>
      <c r="B701" s="57" t="s">
        <v>1</v>
      </c>
      <c r="C701" s="14">
        <v>180</v>
      </c>
      <c r="D701" s="87">
        <v>244</v>
      </c>
      <c r="E701" s="87">
        <f t="shared" si="164"/>
        <v>331.84000000000003</v>
      </c>
      <c r="F701" s="178">
        <f t="shared" si="169"/>
        <v>447.98400000000009</v>
      </c>
      <c r="G701" s="233">
        <v>537.29999999999995</v>
      </c>
      <c r="H701" s="178">
        <f t="shared" si="165"/>
        <v>627.02909999999997</v>
      </c>
      <c r="I701" s="170">
        <f t="shared" si="166"/>
        <v>714.65295629820048</v>
      </c>
      <c r="J701" s="170">
        <f t="shared" si="167"/>
        <v>834</v>
      </c>
      <c r="K701" s="107" t="s">
        <v>670</v>
      </c>
      <c r="L701" s="198"/>
    </row>
    <row r="702" spans="1:12" ht="27.75" thickBot="1" x14ac:dyDescent="0.3">
      <c r="A702" s="254">
        <v>523999.5</v>
      </c>
      <c r="B702" s="57" t="s">
        <v>1</v>
      </c>
      <c r="C702" s="14">
        <v>180</v>
      </c>
      <c r="D702" s="87">
        <v>244</v>
      </c>
      <c r="E702" s="87">
        <f t="shared" si="164"/>
        <v>331.84000000000003</v>
      </c>
      <c r="F702" s="178">
        <f t="shared" si="169"/>
        <v>447.98400000000009</v>
      </c>
      <c r="G702" s="233">
        <v>537.29999999999995</v>
      </c>
      <c r="H702" s="178">
        <f t="shared" si="165"/>
        <v>627.02909999999997</v>
      </c>
      <c r="I702" s="170">
        <f t="shared" si="166"/>
        <v>714.65295629820048</v>
      </c>
      <c r="J702" s="170">
        <f t="shared" si="167"/>
        <v>834</v>
      </c>
      <c r="K702" s="107" t="s">
        <v>671</v>
      </c>
      <c r="L702" s="198"/>
    </row>
    <row r="703" spans="1:12" ht="27.75" thickBot="1" x14ac:dyDescent="0.3">
      <c r="A703" s="254">
        <v>523999.6</v>
      </c>
      <c r="B703" s="57" t="s">
        <v>1</v>
      </c>
      <c r="C703" s="14">
        <v>180</v>
      </c>
      <c r="D703" s="87">
        <v>244</v>
      </c>
      <c r="E703" s="87">
        <f t="shared" si="164"/>
        <v>331.84000000000003</v>
      </c>
      <c r="F703" s="178">
        <f t="shared" si="169"/>
        <v>447.98400000000009</v>
      </c>
      <c r="G703" s="233">
        <v>537.29999999999995</v>
      </c>
      <c r="H703" s="178">
        <f t="shared" si="165"/>
        <v>627.02909999999997</v>
      </c>
      <c r="I703" s="170">
        <f t="shared" si="166"/>
        <v>714.65295629820048</v>
      </c>
      <c r="J703" s="170">
        <f t="shared" si="167"/>
        <v>834</v>
      </c>
      <c r="K703" s="107" t="s">
        <v>672</v>
      </c>
      <c r="L703" s="198"/>
    </row>
    <row r="704" spans="1:12" ht="27.75" thickBot="1" x14ac:dyDescent="0.3">
      <c r="A704" s="254">
        <v>523999.7</v>
      </c>
      <c r="B704" s="57" t="s">
        <v>1</v>
      </c>
      <c r="C704" s="14">
        <v>180</v>
      </c>
      <c r="D704" s="83">
        <v>244</v>
      </c>
      <c r="E704" s="83">
        <f t="shared" si="164"/>
        <v>331.84000000000003</v>
      </c>
      <c r="F704" s="172">
        <f t="shared" si="169"/>
        <v>447.98400000000009</v>
      </c>
      <c r="G704" s="227">
        <v>537.29999999999995</v>
      </c>
      <c r="H704" s="172">
        <f t="shared" si="165"/>
        <v>627.02909999999997</v>
      </c>
      <c r="I704" s="170">
        <f t="shared" si="166"/>
        <v>714.65295629820048</v>
      </c>
      <c r="J704" s="170">
        <f t="shared" si="167"/>
        <v>834</v>
      </c>
      <c r="K704" s="107" t="s">
        <v>673</v>
      </c>
      <c r="L704" s="198"/>
    </row>
    <row r="705" spans="1:12" ht="27.75" thickBot="1" x14ac:dyDescent="0.3">
      <c r="A705" s="254">
        <v>523999.8</v>
      </c>
      <c r="B705" s="57" t="s">
        <v>1</v>
      </c>
      <c r="C705" s="14">
        <v>221</v>
      </c>
      <c r="D705" s="87">
        <f>+C705*$D$1</f>
        <v>299.89999999999998</v>
      </c>
      <c r="E705" s="87">
        <f t="shared" si="164"/>
        <v>407.86399999999998</v>
      </c>
      <c r="F705" s="178">
        <v>550.1</v>
      </c>
      <c r="G705" s="233">
        <v>659.8</v>
      </c>
      <c r="H705" s="178">
        <f t="shared" si="165"/>
        <v>769.98659999999995</v>
      </c>
      <c r="I705" s="170">
        <f t="shared" si="166"/>
        <v>877.46358183376174</v>
      </c>
      <c r="J705" s="170">
        <f t="shared" si="167"/>
        <v>1024</v>
      </c>
      <c r="K705" s="107" t="s">
        <v>674</v>
      </c>
      <c r="L705" s="198"/>
    </row>
    <row r="706" spans="1:12" ht="27.75" thickBot="1" x14ac:dyDescent="0.3">
      <c r="A706" s="254" t="s">
        <v>977</v>
      </c>
      <c r="B706" s="57" t="s">
        <v>1</v>
      </c>
      <c r="C706" s="14">
        <v>221</v>
      </c>
      <c r="D706" s="87">
        <f>+C706*$D$1</f>
        <v>299.89999999999998</v>
      </c>
      <c r="E706" s="87">
        <f t="shared" si="164"/>
        <v>407.86399999999998</v>
      </c>
      <c r="F706" s="178">
        <v>550.1</v>
      </c>
      <c r="G706" s="233">
        <v>659.8</v>
      </c>
      <c r="H706" s="178">
        <f t="shared" si="165"/>
        <v>769.98659999999995</v>
      </c>
      <c r="I706" s="170">
        <f t="shared" si="166"/>
        <v>877.46358183376174</v>
      </c>
      <c r="J706" s="170">
        <f t="shared" si="167"/>
        <v>1024</v>
      </c>
      <c r="K706" s="107" t="s">
        <v>675</v>
      </c>
      <c r="L706" s="198"/>
    </row>
    <row r="707" spans="1:12" ht="16.5" thickBot="1" x14ac:dyDescent="0.3">
      <c r="A707" s="254" t="s">
        <v>978</v>
      </c>
      <c r="B707" s="57" t="s">
        <v>1</v>
      </c>
      <c r="C707" s="14">
        <v>180</v>
      </c>
      <c r="D707" s="83">
        <v>244</v>
      </c>
      <c r="E707" s="83">
        <f t="shared" si="164"/>
        <v>331.84000000000003</v>
      </c>
      <c r="F707" s="172">
        <f t="shared" si="169"/>
        <v>447.98400000000009</v>
      </c>
      <c r="G707" s="227">
        <v>537.29999999999995</v>
      </c>
      <c r="H707" s="172">
        <f t="shared" si="165"/>
        <v>627.02909999999997</v>
      </c>
      <c r="I707" s="170">
        <f t="shared" si="166"/>
        <v>714.65295629820048</v>
      </c>
      <c r="J707" s="170">
        <f t="shared" si="167"/>
        <v>834</v>
      </c>
      <c r="K707" s="107" t="s">
        <v>676</v>
      </c>
      <c r="L707" s="198"/>
    </row>
    <row r="708" spans="1:12" ht="27.75" thickBot="1" x14ac:dyDescent="0.3">
      <c r="A708" s="254">
        <v>523999.11</v>
      </c>
      <c r="B708" s="57" t="s">
        <v>1</v>
      </c>
      <c r="C708" s="14">
        <v>221</v>
      </c>
      <c r="D708" s="87">
        <f>+C708*$D$1</f>
        <v>299.89999999999998</v>
      </c>
      <c r="E708" s="87">
        <f t="shared" si="164"/>
        <v>407.86399999999998</v>
      </c>
      <c r="F708" s="178">
        <v>550.1</v>
      </c>
      <c r="G708" s="233">
        <v>659.8</v>
      </c>
      <c r="H708" s="178">
        <f t="shared" si="165"/>
        <v>769.98659999999995</v>
      </c>
      <c r="I708" s="170">
        <f t="shared" si="166"/>
        <v>877.46358183376174</v>
      </c>
      <c r="J708" s="170">
        <f t="shared" si="167"/>
        <v>1024</v>
      </c>
      <c r="K708" s="107" t="s">
        <v>677</v>
      </c>
      <c r="L708" s="198"/>
    </row>
    <row r="709" spans="1:12" ht="27.75" thickBot="1" x14ac:dyDescent="0.3">
      <c r="A709" s="254">
        <v>523999.12</v>
      </c>
      <c r="B709" s="57" t="s">
        <v>1</v>
      </c>
      <c r="C709" s="14">
        <v>358</v>
      </c>
      <c r="D709" s="87">
        <v>485</v>
      </c>
      <c r="E709" s="87">
        <v>659.8</v>
      </c>
      <c r="F709" s="178">
        <f t="shared" si="169"/>
        <v>890.73</v>
      </c>
      <c r="G709" s="233">
        <v>1068.5999999999999</v>
      </c>
      <c r="H709" s="178">
        <f t="shared" si="165"/>
        <v>1247.0562</v>
      </c>
      <c r="I709" s="170">
        <f t="shared" si="166"/>
        <v>1421.5938303341902</v>
      </c>
      <c r="J709" s="170">
        <f t="shared" si="167"/>
        <v>1659</v>
      </c>
      <c r="K709" s="107" t="s">
        <v>678</v>
      </c>
      <c r="L709" s="198"/>
    </row>
    <row r="710" spans="1:12" ht="16.5" thickBot="1" x14ac:dyDescent="0.3">
      <c r="A710" s="254">
        <v>523999.13</v>
      </c>
      <c r="B710" s="57" t="s">
        <v>1</v>
      </c>
      <c r="C710" s="14">
        <v>180</v>
      </c>
      <c r="D710" s="83">
        <v>244</v>
      </c>
      <c r="E710" s="83">
        <f t="shared" ref="E710:E769" si="170">+D710*1.36</f>
        <v>331.84000000000003</v>
      </c>
      <c r="F710" s="172">
        <f t="shared" si="169"/>
        <v>447.98400000000009</v>
      </c>
      <c r="G710" s="227">
        <v>537.29999999999995</v>
      </c>
      <c r="H710" s="172">
        <f t="shared" si="165"/>
        <v>627.02909999999997</v>
      </c>
      <c r="I710" s="170">
        <f t="shared" si="166"/>
        <v>714.65295629820048</v>
      </c>
      <c r="J710" s="170">
        <f t="shared" si="167"/>
        <v>834</v>
      </c>
      <c r="K710" s="107" t="s">
        <v>679</v>
      </c>
      <c r="L710" s="198"/>
    </row>
    <row r="711" spans="1:12" ht="16.5" thickBot="1" x14ac:dyDescent="0.3">
      <c r="A711" s="254">
        <v>524000</v>
      </c>
      <c r="B711" s="57" t="s">
        <v>1</v>
      </c>
      <c r="C711" s="14">
        <v>180</v>
      </c>
      <c r="D711" s="83">
        <v>244</v>
      </c>
      <c r="E711" s="83">
        <f t="shared" si="170"/>
        <v>331.84000000000003</v>
      </c>
      <c r="F711" s="172">
        <f t="shared" si="169"/>
        <v>447.98400000000009</v>
      </c>
      <c r="G711" s="227">
        <v>537.29999999999995</v>
      </c>
      <c r="H711" s="172">
        <f t="shared" ref="H711:H772" si="171">G711*1.167</f>
        <v>627.02909999999997</v>
      </c>
      <c r="I711" s="170">
        <f t="shared" si="166"/>
        <v>714.65295629820048</v>
      </c>
      <c r="J711" s="170">
        <f t="shared" si="167"/>
        <v>834</v>
      </c>
      <c r="K711" s="107" t="s">
        <v>680</v>
      </c>
      <c r="L711" s="198"/>
    </row>
    <row r="712" spans="1:12" ht="16.5" thickBot="1" x14ac:dyDescent="0.3">
      <c r="A712" s="254">
        <v>524200</v>
      </c>
      <c r="B712" s="57" t="s">
        <v>124</v>
      </c>
      <c r="C712" s="14">
        <v>180</v>
      </c>
      <c r="D712" s="83">
        <v>244</v>
      </c>
      <c r="E712" s="83">
        <f t="shared" si="170"/>
        <v>331.84000000000003</v>
      </c>
      <c r="F712" s="172">
        <f t="shared" si="169"/>
        <v>447.98400000000009</v>
      </c>
      <c r="G712" s="227">
        <v>537.29999999999995</v>
      </c>
      <c r="H712" s="172">
        <f t="shared" si="171"/>
        <v>627.02909999999997</v>
      </c>
      <c r="I712" s="170">
        <f t="shared" si="166"/>
        <v>714.65295629820048</v>
      </c>
      <c r="J712" s="170">
        <f t="shared" si="167"/>
        <v>834</v>
      </c>
      <c r="K712" s="107" t="s">
        <v>681</v>
      </c>
      <c r="L712" s="198"/>
    </row>
    <row r="713" spans="1:12" ht="27.75" thickBot="1" x14ac:dyDescent="0.3">
      <c r="A713" s="254">
        <v>524910</v>
      </c>
      <c r="B713" s="57" t="s">
        <v>59</v>
      </c>
      <c r="C713" s="14">
        <v>180</v>
      </c>
      <c r="D713" s="83">
        <v>244</v>
      </c>
      <c r="E713" s="83">
        <f t="shared" si="170"/>
        <v>331.84000000000003</v>
      </c>
      <c r="F713" s="172">
        <f t="shared" si="169"/>
        <v>447.98400000000009</v>
      </c>
      <c r="G713" s="227">
        <v>537.29999999999995</v>
      </c>
      <c r="H713" s="172">
        <f t="shared" si="171"/>
        <v>627.02909999999997</v>
      </c>
      <c r="I713" s="170">
        <f t="shared" si="166"/>
        <v>714.65295629820048</v>
      </c>
      <c r="J713" s="170">
        <f t="shared" si="167"/>
        <v>834</v>
      </c>
      <c r="K713" s="107" t="s">
        <v>682</v>
      </c>
      <c r="L713" s="198"/>
    </row>
    <row r="714" spans="1:12" ht="16.5" thickBot="1" x14ac:dyDescent="0.3">
      <c r="A714" s="254">
        <v>524990</v>
      </c>
      <c r="B714" s="57" t="s">
        <v>124</v>
      </c>
      <c r="C714" s="14">
        <v>180</v>
      </c>
      <c r="D714" s="83">
        <v>244</v>
      </c>
      <c r="E714" s="83">
        <f t="shared" si="170"/>
        <v>331.84000000000003</v>
      </c>
      <c r="F714" s="172">
        <f t="shared" si="169"/>
        <v>447.98400000000009</v>
      </c>
      <c r="G714" s="227">
        <v>537.29999999999995</v>
      </c>
      <c r="H714" s="172">
        <f t="shared" si="171"/>
        <v>627.02909999999997</v>
      </c>
      <c r="I714" s="170">
        <f t="shared" ref="I714:I722" si="172">+J714/1.167</f>
        <v>714.65295629820048</v>
      </c>
      <c r="J714" s="170">
        <f t="shared" ref="J714:J722" si="173">ROUND(+H714*(1+$J$1),0)</f>
        <v>834</v>
      </c>
      <c r="K714" s="107" t="s">
        <v>683</v>
      </c>
      <c r="L714" s="198"/>
    </row>
    <row r="715" spans="1:12" ht="27.75" thickBot="1" x14ac:dyDescent="0.3">
      <c r="A715" s="254">
        <v>525000</v>
      </c>
      <c r="B715" s="57" t="s">
        <v>684</v>
      </c>
      <c r="C715" s="14">
        <v>180</v>
      </c>
      <c r="D715" s="83">
        <v>244</v>
      </c>
      <c r="E715" s="83">
        <f t="shared" si="170"/>
        <v>331.84000000000003</v>
      </c>
      <c r="F715" s="172">
        <f t="shared" si="169"/>
        <v>447.98400000000009</v>
      </c>
      <c r="G715" s="227">
        <v>537.29999999999995</v>
      </c>
      <c r="H715" s="172">
        <f t="shared" si="171"/>
        <v>627.02909999999997</v>
      </c>
      <c r="I715" s="170">
        <f t="shared" si="172"/>
        <v>714.65295629820048</v>
      </c>
      <c r="J715" s="170">
        <f t="shared" si="173"/>
        <v>834</v>
      </c>
      <c r="K715" s="107" t="s">
        <v>685</v>
      </c>
      <c r="L715" s="198"/>
    </row>
    <row r="716" spans="1:12" ht="27.75" thickBot="1" x14ac:dyDescent="0.3">
      <c r="A716" s="254">
        <v>525040</v>
      </c>
      <c r="B716" s="57" t="s">
        <v>1</v>
      </c>
      <c r="C716" s="14">
        <v>180</v>
      </c>
      <c r="D716" s="83">
        <v>244</v>
      </c>
      <c r="E716" s="83">
        <f t="shared" si="170"/>
        <v>331.84000000000003</v>
      </c>
      <c r="F716" s="172">
        <f t="shared" si="169"/>
        <v>447.98400000000009</v>
      </c>
      <c r="G716" s="227">
        <v>537.29999999999995</v>
      </c>
      <c r="H716" s="172">
        <f t="shared" si="171"/>
        <v>627.02909999999997</v>
      </c>
      <c r="I716" s="170">
        <f t="shared" si="172"/>
        <v>714.65295629820048</v>
      </c>
      <c r="J716" s="170">
        <f t="shared" si="173"/>
        <v>834</v>
      </c>
      <c r="K716" s="107" t="s">
        <v>686</v>
      </c>
      <c r="L716" s="198"/>
    </row>
    <row r="717" spans="1:12" ht="16.5" thickBot="1" x14ac:dyDescent="0.3">
      <c r="A717" s="254">
        <v>525900</v>
      </c>
      <c r="B717" s="57" t="s">
        <v>1</v>
      </c>
      <c r="C717" s="14">
        <v>180</v>
      </c>
      <c r="D717" s="83">
        <v>244</v>
      </c>
      <c r="E717" s="83">
        <f t="shared" si="170"/>
        <v>331.84000000000003</v>
      </c>
      <c r="F717" s="172">
        <f t="shared" si="169"/>
        <v>447.98400000000009</v>
      </c>
      <c r="G717" s="227">
        <v>537.29999999999995</v>
      </c>
      <c r="H717" s="172">
        <f t="shared" si="171"/>
        <v>627.02909999999997</v>
      </c>
      <c r="I717" s="170">
        <f t="shared" si="172"/>
        <v>714.65295629820048</v>
      </c>
      <c r="J717" s="170">
        <f t="shared" si="173"/>
        <v>834</v>
      </c>
      <c r="K717" s="107" t="s">
        <v>687</v>
      </c>
      <c r="L717" s="198"/>
    </row>
    <row r="718" spans="1:12" ht="16.5" thickBot="1" x14ac:dyDescent="0.3">
      <c r="A718" s="254">
        <v>525900.1</v>
      </c>
      <c r="B718" s="57" t="s">
        <v>393</v>
      </c>
      <c r="C718" s="14">
        <v>300</v>
      </c>
      <c r="D718" s="87">
        <v>407</v>
      </c>
      <c r="E718" s="87">
        <v>553.54999999999995</v>
      </c>
      <c r="F718" s="178">
        <f t="shared" si="169"/>
        <v>747.29250000000002</v>
      </c>
      <c r="G718" s="233">
        <v>896.75099999999998</v>
      </c>
      <c r="H718" s="178">
        <f t="shared" si="171"/>
        <v>1046.508417</v>
      </c>
      <c r="I718" s="170">
        <f t="shared" si="172"/>
        <v>1192.8020565552699</v>
      </c>
      <c r="J718" s="170">
        <f t="shared" si="173"/>
        <v>1392</v>
      </c>
      <c r="K718" s="107" t="s">
        <v>688</v>
      </c>
      <c r="L718" s="198"/>
    </row>
    <row r="719" spans="1:12" ht="27.75" thickBot="1" x14ac:dyDescent="0.3">
      <c r="A719" s="254">
        <v>525900.19999999995</v>
      </c>
      <c r="B719" s="57" t="s">
        <v>1</v>
      </c>
      <c r="C719" s="14">
        <v>221</v>
      </c>
      <c r="D719" s="87">
        <f>+C719*$D$1</f>
        <v>299.89999999999998</v>
      </c>
      <c r="E719" s="87">
        <f t="shared" si="170"/>
        <v>407.86399999999998</v>
      </c>
      <c r="F719" s="178">
        <v>550.1</v>
      </c>
      <c r="G719" s="233">
        <v>659.8</v>
      </c>
      <c r="H719" s="178">
        <f t="shared" si="171"/>
        <v>769.98659999999995</v>
      </c>
      <c r="I719" s="170">
        <f t="shared" si="172"/>
        <v>877.46358183376174</v>
      </c>
      <c r="J719" s="170">
        <f t="shared" si="173"/>
        <v>1024</v>
      </c>
      <c r="K719" s="107" t="s">
        <v>689</v>
      </c>
      <c r="L719" s="198"/>
    </row>
    <row r="720" spans="1:12" ht="16.5" thickBot="1" x14ac:dyDescent="0.3">
      <c r="A720" s="254">
        <v>525900.30000000005</v>
      </c>
      <c r="B720" s="57" t="s">
        <v>1</v>
      </c>
      <c r="C720" s="14">
        <v>180</v>
      </c>
      <c r="D720" s="83">
        <v>244</v>
      </c>
      <c r="E720" s="83">
        <f t="shared" si="170"/>
        <v>331.84000000000003</v>
      </c>
      <c r="F720" s="172">
        <f t="shared" si="169"/>
        <v>447.98400000000009</v>
      </c>
      <c r="G720" s="227">
        <v>537.29999999999995</v>
      </c>
      <c r="H720" s="172">
        <f t="shared" si="171"/>
        <v>627.02909999999997</v>
      </c>
      <c r="I720" s="170">
        <f t="shared" si="172"/>
        <v>714.65295629820048</v>
      </c>
      <c r="J720" s="170">
        <f t="shared" si="173"/>
        <v>834</v>
      </c>
      <c r="K720" s="107" t="s">
        <v>690</v>
      </c>
      <c r="L720" s="198"/>
    </row>
    <row r="721" spans="1:12" ht="16.5" thickBot="1" x14ac:dyDescent="0.3">
      <c r="A721" s="254">
        <v>525901</v>
      </c>
      <c r="B721" s="57" t="s">
        <v>427</v>
      </c>
      <c r="C721" s="14">
        <v>300</v>
      </c>
      <c r="D721" s="87">
        <v>407</v>
      </c>
      <c r="E721" s="87">
        <v>553.54999999999995</v>
      </c>
      <c r="F721" s="178">
        <f t="shared" si="169"/>
        <v>747.29250000000002</v>
      </c>
      <c r="G721" s="233">
        <v>896.75099999999998</v>
      </c>
      <c r="H721" s="178">
        <f t="shared" si="171"/>
        <v>1046.508417</v>
      </c>
      <c r="I721" s="170">
        <f t="shared" si="172"/>
        <v>1192.8020565552699</v>
      </c>
      <c r="J721" s="170">
        <f t="shared" si="173"/>
        <v>1392</v>
      </c>
      <c r="K721" s="107" t="s">
        <v>691</v>
      </c>
      <c r="L721" s="198"/>
    </row>
    <row r="722" spans="1:12" ht="16.5" thickBot="1" x14ac:dyDescent="0.3">
      <c r="A722" s="254">
        <v>525902</v>
      </c>
      <c r="B722" s="57" t="s">
        <v>59</v>
      </c>
      <c r="C722" s="14">
        <v>180</v>
      </c>
      <c r="D722" s="83">
        <v>244</v>
      </c>
      <c r="E722" s="83">
        <f t="shared" si="170"/>
        <v>331.84000000000003</v>
      </c>
      <c r="F722" s="172">
        <f t="shared" si="169"/>
        <v>447.98400000000009</v>
      </c>
      <c r="G722" s="227">
        <v>537.29999999999995</v>
      </c>
      <c r="H722" s="172">
        <f t="shared" si="171"/>
        <v>627.02909999999997</v>
      </c>
      <c r="I722" s="170">
        <f t="shared" si="172"/>
        <v>714.65295629820048</v>
      </c>
      <c r="J722" s="170">
        <f t="shared" si="173"/>
        <v>834</v>
      </c>
      <c r="K722" s="107" t="s">
        <v>692</v>
      </c>
      <c r="L722" s="198"/>
    </row>
    <row r="723" spans="1:12" ht="17.25" thickBot="1" x14ac:dyDescent="0.3">
      <c r="A723" s="111" t="s">
        <v>693</v>
      </c>
      <c r="B723" s="76"/>
      <c r="C723" s="4"/>
      <c r="D723" s="45"/>
      <c r="E723" s="45"/>
      <c r="F723" s="45"/>
      <c r="G723" s="45"/>
      <c r="H723" s="45"/>
      <c r="I723" s="45"/>
      <c r="J723" s="45"/>
      <c r="K723" s="72"/>
      <c r="L723" s="198"/>
    </row>
    <row r="724" spans="1:12" ht="17.25" customHeight="1" thickBot="1" x14ac:dyDescent="0.3">
      <c r="A724" s="73" t="s">
        <v>694</v>
      </c>
      <c r="B724" s="76"/>
      <c r="C724" s="4"/>
      <c r="D724" s="45"/>
      <c r="E724" s="45"/>
      <c r="F724" s="45"/>
      <c r="G724" s="45"/>
      <c r="H724" s="45"/>
      <c r="I724" s="45"/>
      <c r="J724" s="45"/>
      <c r="K724" s="72"/>
      <c r="L724" s="198"/>
    </row>
    <row r="725" spans="1:12" ht="16.5" thickBot="1" x14ac:dyDescent="0.3">
      <c r="A725" s="254">
        <v>601100</v>
      </c>
      <c r="B725" s="57" t="s">
        <v>1</v>
      </c>
      <c r="C725" s="14">
        <v>3536</v>
      </c>
      <c r="D725" s="55">
        <v>4800</v>
      </c>
      <c r="E725" s="55">
        <f t="shared" si="170"/>
        <v>6528.0000000000009</v>
      </c>
      <c r="F725" s="178">
        <f t="shared" si="169"/>
        <v>8812.8000000000011</v>
      </c>
      <c r="G725" s="233">
        <f>+F725*1.2</f>
        <v>10575.36</v>
      </c>
      <c r="H725" s="178">
        <f t="shared" si="171"/>
        <v>12341.44512</v>
      </c>
      <c r="I725" s="170">
        <f t="shared" ref="I725:I761" si="174">+J725/1.167</f>
        <v>14065.124250214225</v>
      </c>
      <c r="J725" s="170">
        <f t="shared" ref="J725:J730" si="175">ROUND(+H725*(1+$J$1),0)</f>
        <v>16414</v>
      </c>
      <c r="K725" s="107" t="s">
        <v>695</v>
      </c>
      <c r="L725" s="198"/>
    </row>
    <row r="726" spans="1:12" ht="16.5" thickBot="1" x14ac:dyDescent="0.3">
      <c r="A726" s="254">
        <v>602110</v>
      </c>
      <c r="B726" s="57" t="s">
        <v>1</v>
      </c>
      <c r="C726" s="14">
        <v>221</v>
      </c>
      <c r="D726" s="87">
        <f>+C726*$D$1</f>
        <v>299.89999999999998</v>
      </c>
      <c r="E726" s="87">
        <f t="shared" si="170"/>
        <v>407.86399999999998</v>
      </c>
      <c r="F726" s="178">
        <v>550.1</v>
      </c>
      <c r="G726" s="233">
        <v>659.8</v>
      </c>
      <c r="H726" s="178">
        <f t="shared" si="171"/>
        <v>769.98659999999995</v>
      </c>
      <c r="I726" s="170">
        <f t="shared" si="174"/>
        <v>877.46358183376174</v>
      </c>
      <c r="J726" s="170">
        <f t="shared" si="175"/>
        <v>1024</v>
      </c>
      <c r="K726" s="107" t="s">
        <v>696</v>
      </c>
      <c r="L726" s="198"/>
    </row>
    <row r="727" spans="1:12" ht="27.75" thickBot="1" x14ac:dyDescent="0.3">
      <c r="A727" s="254">
        <v>602180</v>
      </c>
      <c r="B727" s="57" t="s">
        <v>59</v>
      </c>
      <c r="C727" s="14">
        <v>221</v>
      </c>
      <c r="D727" s="87">
        <f>+C727*$D$1</f>
        <v>299.89999999999998</v>
      </c>
      <c r="E727" s="87">
        <f t="shared" si="170"/>
        <v>407.86399999999998</v>
      </c>
      <c r="F727" s="178">
        <v>550.1</v>
      </c>
      <c r="G727" s="233">
        <v>659.8</v>
      </c>
      <c r="H727" s="178">
        <f t="shared" si="171"/>
        <v>769.98659999999995</v>
      </c>
      <c r="I727" s="170">
        <f t="shared" si="174"/>
        <v>877.46358183376174</v>
      </c>
      <c r="J727" s="170">
        <f t="shared" si="175"/>
        <v>1024</v>
      </c>
      <c r="K727" s="107" t="s">
        <v>697</v>
      </c>
      <c r="L727" s="198"/>
    </row>
    <row r="728" spans="1:12" ht="27.75" thickBot="1" x14ac:dyDescent="0.3">
      <c r="A728" s="254">
        <v>602190</v>
      </c>
      <c r="B728" s="57" t="s">
        <v>1</v>
      </c>
      <c r="C728" s="14">
        <v>358</v>
      </c>
      <c r="D728" s="87">
        <v>485</v>
      </c>
      <c r="E728" s="87">
        <v>659.8</v>
      </c>
      <c r="F728" s="178">
        <f t="shared" si="169"/>
        <v>890.73</v>
      </c>
      <c r="G728" s="233">
        <v>1068.5999999999999</v>
      </c>
      <c r="H728" s="178">
        <f t="shared" si="171"/>
        <v>1247.0562</v>
      </c>
      <c r="I728" s="170">
        <f t="shared" si="174"/>
        <v>1421.5938303341902</v>
      </c>
      <c r="J728" s="170">
        <f t="shared" si="175"/>
        <v>1659</v>
      </c>
      <c r="K728" s="107" t="s">
        <v>698</v>
      </c>
      <c r="L728" s="198"/>
    </row>
    <row r="729" spans="1:12" ht="16.5" thickBot="1" x14ac:dyDescent="0.3">
      <c r="A729" s="254">
        <v>602210.1</v>
      </c>
      <c r="B729" s="57" t="s">
        <v>1</v>
      </c>
      <c r="C729" s="14">
        <v>1651</v>
      </c>
      <c r="D729" s="87">
        <v>2240</v>
      </c>
      <c r="E729" s="87">
        <v>3046.7</v>
      </c>
      <c r="F729" s="178">
        <f t="shared" si="169"/>
        <v>4113.0450000000001</v>
      </c>
      <c r="G729" s="233">
        <v>4935.8</v>
      </c>
      <c r="H729" s="178">
        <f t="shared" si="171"/>
        <v>5760.0786000000007</v>
      </c>
      <c r="I729" s="170">
        <f t="shared" si="174"/>
        <v>6564.6958011996567</v>
      </c>
      <c r="J729" s="170">
        <f t="shared" si="175"/>
        <v>7661</v>
      </c>
      <c r="K729" s="107" t="s">
        <v>699</v>
      </c>
      <c r="L729" s="198"/>
    </row>
    <row r="730" spans="1:12" ht="16.5" thickBot="1" x14ac:dyDescent="0.3">
      <c r="A730" s="254">
        <v>602210.19999999995</v>
      </c>
      <c r="B730" s="57" t="s">
        <v>59</v>
      </c>
      <c r="C730" s="14">
        <v>1651</v>
      </c>
      <c r="D730" s="87">
        <v>2240</v>
      </c>
      <c r="E730" s="87">
        <v>3046.7</v>
      </c>
      <c r="F730" s="178">
        <f t="shared" si="169"/>
        <v>4113.0450000000001</v>
      </c>
      <c r="G730" s="233">
        <v>4935.8</v>
      </c>
      <c r="H730" s="178">
        <f t="shared" si="171"/>
        <v>5760.0786000000007</v>
      </c>
      <c r="I730" s="170">
        <f t="shared" si="174"/>
        <v>6564.6958011996567</v>
      </c>
      <c r="J730" s="170">
        <f t="shared" si="175"/>
        <v>7661</v>
      </c>
      <c r="K730" s="107" t="s">
        <v>700</v>
      </c>
      <c r="L730" s="198"/>
    </row>
    <row r="731" spans="1:12" ht="32.25" thickBot="1" x14ac:dyDescent="0.3">
      <c r="A731" s="254">
        <v>602220</v>
      </c>
      <c r="B731" s="57" t="s">
        <v>1058</v>
      </c>
      <c r="C731" s="14">
        <v>180</v>
      </c>
      <c r="D731" s="83">
        <v>244</v>
      </c>
      <c r="E731" s="83">
        <f t="shared" si="170"/>
        <v>331.84000000000003</v>
      </c>
      <c r="F731" s="224" t="s">
        <v>1050</v>
      </c>
      <c r="G731" s="239" t="str">
        <f>+F731</f>
        <v>16 BAJADAS DE BANDERAS</v>
      </c>
      <c r="H731" s="172"/>
      <c r="I731" s="224" t="s">
        <v>1061</v>
      </c>
      <c r="J731" s="172"/>
      <c r="K731" s="107" t="s">
        <v>701</v>
      </c>
      <c r="L731" s="198"/>
    </row>
    <row r="732" spans="1:12" ht="27.75" thickBot="1" x14ac:dyDescent="0.3">
      <c r="A732" s="254">
        <v>602220.1</v>
      </c>
      <c r="B732" s="57" t="s">
        <v>59</v>
      </c>
      <c r="C732" s="14">
        <v>572</v>
      </c>
      <c r="D732" s="87">
        <v>776</v>
      </c>
      <c r="E732" s="87">
        <v>1055.7</v>
      </c>
      <c r="F732" s="178">
        <f t="shared" si="169"/>
        <v>1425.1950000000002</v>
      </c>
      <c r="G732" s="233">
        <v>1713.8</v>
      </c>
      <c r="H732" s="178">
        <f t="shared" si="171"/>
        <v>2000.0046</v>
      </c>
      <c r="I732" s="170">
        <f t="shared" si="174"/>
        <v>2279.3487574978576</v>
      </c>
      <c r="J732" s="170">
        <f t="shared" ref="J732:J736" si="176">ROUND(+H732*(1+$J$1),0)</f>
        <v>2660</v>
      </c>
      <c r="K732" s="107" t="s">
        <v>702</v>
      </c>
      <c r="L732" s="198"/>
    </row>
    <row r="733" spans="1:12" ht="16.5" thickBot="1" x14ac:dyDescent="0.3">
      <c r="A733" s="254">
        <v>602230</v>
      </c>
      <c r="B733" s="57" t="s">
        <v>1058</v>
      </c>
      <c r="C733" s="14">
        <v>180</v>
      </c>
      <c r="D733" s="83">
        <v>244</v>
      </c>
      <c r="E733" s="83">
        <f t="shared" si="170"/>
        <v>331.84000000000003</v>
      </c>
      <c r="F733" s="172">
        <f t="shared" si="169"/>
        <v>447.98400000000009</v>
      </c>
      <c r="G733" s="227">
        <v>537.29999999999995</v>
      </c>
      <c r="H733" s="172">
        <f t="shared" si="171"/>
        <v>627.02909999999997</v>
      </c>
      <c r="I733" s="170">
        <f t="shared" si="174"/>
        <v>714.65295629820048</v>
      </c>
      <c r="J733" s="170">
        <f t="shared" si="176"/>
        <v>834</v>
      </c>
      <c r="K733" s="107" t="s">
        <v>703</v>
      </c>
      <c r="L733" s="198"/>
    </row>
    <row r="734" spans="1:12" ht="27.75" thickBot="1" x14ac:dyDescent="0.3">
      <c r="A734" s="254">
        <v>602240</v>
      </c>
      <c r="B734" s="57" t="s">
        <v>139</v>
      </c>
      <c r="C734" s="14">
        <v>180</v>
      </c>
      <c r="D734" s="83">
        <v>244</v>
      </c>
      <c r="E734" s="83">
        <f t="shared" si="170"/>
        <v>331.84000000000003</v>
      </c>
      <c r="F734" s="172">
        <f t="shared" si="169"/>
        <v>447.98400000000009</v>
      </c>
      <c r="G734" s="227">
        <v>537.29999999999995</v>
      </c>
      <c r="H734" s="172">
        <f t="shared" si="171"/>
        <v>627.02909999999997</v>
      </c>
      <c r="I734" s="170">
        <f t="shared" si="174"/>
        <v>714.65295629820048</v>
      </c>
      <c r="J734" s="170">
        <f t="shared" si="176"/>
        <v>834</v>
      </c>
      <c r="K734" s="107" t="s">
        <v>704</v>
      </c>
      <c r="L734" s="198"/>
    </row>
    <row r="735" spans="1:12" ht="16.5" thickBot="1" x14ac:dyDescent="0.3">
      <c r="A735" s="254">
        <v>602250</v>
      </c>
      <c r="B735" s="57" t="s">
        <v>59</v>
      </c>
      <c r="C735" s="14">
        <v>1651</v>
      </c>
      <c r="D735" s="87">
        <v>2240</v>
      </c>
      <c r="E735" s="87">
        <v>3046.7</v>
      </c>
      <c r="F735" s="178">
        <f t="shared" si="169"/>
        <v>4113.0450000000001</v>
      </c>
      <c r="G735" s="233">
        <v>4935.8</v>
      </c>
      <c r="H735" s="178">
        <f t="shared" si="171"/>
        <v>5760.0786000000007</v>
      </c>
      <c r="I735" s="170">
        <f t="shared" si="174"/>
        <v>6564.6958011996567</v>
      </c>
      <c r="J735" s="170">
        <f t="shared" si="176"/>
        <v>7661</v>
      </c>
      <c r="K735" s="107" t="s">
        <v>705</v>
      </c>
      <c r="L735" s="198"/>
    </row>
    <row r="736" spans="1:12" ht="16.5" thickBot="1" x14ac:dyDescent="0.3">
      <c r="A736" s="254">
        <v>603100</v>
      </c>
      <c r="B736" s="57" t="s">
        <v>1</v>
      </c>
      <c r="C736" s="14">
        <v>221</v>
      </c>
      <c r="D736" s="87">
        <f>+C736*$D$1</f>
        <v>299.89999999999998</v>
      </c>
      <c r="E736" s="87">
        <f t="shared" si="170"/>
        <v>407.86399999999998</v>
      </c>
      <c r="F736" s="178">
        <v>550.1</v>
      </c>
      <c r="G736" s="233">
        <v>659.8</v>
      </c>
      <c r="H736" s="178">
        <f t="shared" si="171"/>
        <v>769.98659999999995</v>
      </c>
      <c r="I736" s="170">
        <f t="shared" si="174"/>
        <v>877.46358183376174</v>
      </c>
      <c r="J736" s="170">
        <f t="shared" si="176"/>
        <v>1024</v>
      </c>
      <c r="K736" s="107" t="s">
        <v>706</v>
      </c>
      <c r="L736" s="198"/>
    </row>
    <row r="737" spans="1:12" ht="17.25" customHeight="1" thickBot="1" x14ac:dyDescent="0.3">
      <c r="A737" s="73" t="s">
        <v>707</v>
      </c>
      <c r="B737" s="76"/>
      <c r="C737" s="4"/>
      <c r="D737" s="45"/>
      <c r="E737" s="45"/>
      <c r="F737" s="45"/>
      <c r="G737" s="45"/>
      <c r="H737" s="45"/>
      <c r="I737" s="45"/>
      <c r="J737" s="45"/>
      <c r="K737" s="72"/>
      <c r="L737" s="198"/>
    </row>
    <row r="738" spans="1:12" ht="16.5" thickBot="1" x14ac:dyDescent="0.3">
      <c r="A738" s="254">
        <v>622000</v>
      </c>
      <c r="B738" s="57" t="s">
        <v>1</v>
      </c>
      <c r="C738" s="14">
        <v>3536</v>
      </c>
      <c r="D738" s="55">
        <v>4800</v>
      </c>
      <c r="E738" s="55">
        <f t="shared" si="170"/>
        <v>6528.0000000000009</v>
      </c>
      <c r="F738" s="178">
        <f t="shared" si="169"/>
        <v>8812.8000000000011</v>
      </c>
      <c r="G738" s="233">
        <f>+F738*1.2</f>
        <v>10575.36</v>
      </c>
      <c r="H738" s="178">
        <f t="shared" si="171"/>
        <v>12341.44512</v>
      </c>
      <c r="I738" s="170">
        <f t="shared" si="174"/>
        <v>14065.124250214225</v>
      </c>
      <c r="J738" s="170">
        <f t="shared" ref="J738" si="177">ROUND(+H738*(1+$J$1),0)</f>
        <v>16414</v>
      </c>
      <c r="K738" s="107" t="s">
        <v>708</v>
      </c>
      <c r="L738" s="198"/>
    </row>
    <row r="739" spans="1:12" ht="17.25" customHeight="1" thickBot="1" x14ac:dyDescent="0.3">
      <c r="A739" s="73" t="s">
        <v>709</v>
      </c>
      <c r="B739" s="76"/>
      <c r="C739" s="4"/>
      <c r="D739" s="45"/>
      <c r="E739" s="45"/>
      <c r="F739" s="45"/>
      <c r="G739" s="45"/>
      <c r="H739" s="45"/>
      <c r="I739" s="45"/>
      <c r="J739" s="45"/>
      <c r="K739" s="72"/>
      <c r="L739" s="198"/>
    </row>
    <row r="740" spans="1:12" ht="16.5" thickBot="1" x14ac:dyDescent="0.3">
      <c r="A740" s="254">
        <v>632003</v>
      </c>
      <c r="B740" s="57" t="s">
        <v>1</v>
      </c>
      <c r="C740" s="14">
        <v>221</v>
      </c>
      <c r="D740" s="55">
        <f>+C740*$D$1</f>
        <v>299.89999999999998</v>
      </c>
      <c r="E740" s="55">
        <f t="shared" si="170"/>
        <v>407.86399999999998</v>
      </c>
      <c r="F740" s="178">
        <v>550.1</v>
      </c>
      <c r="G740" s="233">
        <v>659.8</v>
      </c>
      <c r="H740" s="178">
        <f t="shared" si="171"/>
        <v>769.98659999999995</v>
      </c>
      <c r="I740" s="170">
        <f t="shared" si="174"/>
        <v>877.46358183376174</v>
      </c>
      <c r="J740" s="170">
        <f t="shared" ref="J740:J747" si="178">ROUND(+H740*(1+$J$1),0)</f>
        <v>1024</v>
      </c>
      <c r="K740" s="107" t="s">
        <v>710</v>
      </c>
      <c r="L740" s="198"/>
    </row>
    <row r="741" spans="1:12" ht="16.5" thickBot="1" x14ac:dyDescent="0.3">
      <c r="A741" s="254">
        <v>632004</v>
      </c>
      <c r="B741" s="57" t="s">
        <v>393</v>
      </c>
      <c r="C741" s="14">
        <v>221</v>
      </c>
      <c r="D741" s="87">
        <f>+C741*$D$1</f>
        <v>299.89999999999998</v>
      </c>
      <c r="E741" s="87">
        <f t="shared" si="170"/>
        <v>407.86399999999998</v>
      </c>
      <c r="F741" s="178">
        <v>550.1</v>
      </c>
      <c r="G741" s="233">
        <v>659.8</v>
      </c>
      <c r="H741" s="178">
        <f t="shared" si="171"/>
        <v>769.98659999999995</v>
      </c>
      <c r="I741" s="170">
        <f t="shared" si="174"/>
        <v>877.46358183376174</v>
      </c>
      <c r="J741" s="170">
        <f t="shared" si="178"/>
        <v>1024</v>
      </c>
      <c r="K741" s="107" t="s">
        <v>711</v>
      </c>
      <c r="L741" s="198"/>
    </row>
    <row r="742" spans="1:12" ht="16.5" thickBot="1" x14ac:dyDescent="0.3">
      <c r="A742" s="254">
        <v>633110</v>
      </c>
      <c r="B742" s="57" t="s">
        <v>1</v>
      </c>
      <c r="C742" s="14">
        <v>3536</v>
      </c>
      <c r="D742" s="87">
        <v>4800</v>
      </c>
      <c r="E742" s="87">
        <f t="shared" si="170"/>
        <v>6528.0000000000009</v>
      </c>
      <c r="F742" s="178">
        <f t="shared" si="169"/>
        <v>8812.8000000000011</v>
      </c>
      <c r="G742" s="233">
        <f>+F742*1.2</f>
        <v>10575.36</v>
      </c>
      <c r="H742" s="178">
        <f t="shared" si="171"/>
        <v>12341.44512</v>
      </c>
      <c r="I742" s="170">
        <f t="shared" si="174"/>
        <v>14065.124250214225</v>
      </c>
      <c r="J742" s="170">
        <f t="shared" si="178"/>
        <v>16414</v>
      </c>
      <c r="K742" s="107" t="s">
        <v>712</v>
      </c>
      <c r="L742" s="198"/>
    </row>
    <row r="743" spans="1:12" ht="27.75" thickBot="1" x14ac:dyDescent="0.3">
      <c r="A743" s="254">
        <v>633190</v>
      </c>
      <c r="B743" s="57" t="s">
        <v>1</v>
      </c>
      <c r="C743" s="14">
        <v>221</v>
      </c>
      <c r="D743" s="87">
        <f>+C743*$D$1</f>
        <v>299.89999999999998</v>
      </c>
      <c r="E743" s="87">
        <f t="shared" si="170"/>
        <v>407.86399999999998</v>
      </c>
      <c r="F743" s="178">
        <v>550.1</v>
      </c>
      <c r="G743" s="233">
        <v>659.8</v>
      </c>
      <c r="H743" s="178">
        <f t="shared" si="171"/>
        <v>769.98659999999995</v>
      </c>
      <c r="I743" s="170">
        <f t="shared" si="174"/>
        <v>877.46358183376174</v>
      </c>
      <c r="J743" s="170">
        <f t="shared" si="178"/>
        <v>1024</v>
      </c>
      <c r="K743" s="107" t="s">
        <v>713</v>
      </c>
      <c r="L743" s="198"/>
    </row>
    <row r="744" spans="1:12" ht="27.75" thickBot="1" x14ac:dyDescent="0.3">
      <c r="A744" s="254">
        <v>633390</v>
      </c>
      <c r="B744" s="57" t="s">
        <v>1</v>
      </c>
      <c r="C744" s="14">
        <v>221</v>
      </c>
      <c r="D744" s="87">
        <f>+C744*$D$1</f>
        <v>299.89999999999998</v>
      </c>
      <c r="E744" s="87">
        <f t="shared" si="170"/>
        <v>407.86399999999998</v>
      </c>
      <c r="F744" s="178">
        <v>550.1</v>
      </c>
      <c r="G744" s="233">
        <v>659.8</v>
      </c>
      <c r="H744" s="178">
        <f t="shared" si="171"/>
        <v>769.98659999999995</v>
      </c>
      <c r="I744" s="170">
        <f t="shared" si="174"/>
        <v>877.46358183376174</v>
      </c>
      <c r="J744" s="170">
        <f t="shared" si="178"/>
        <v>1024</v>
      </c>
      <c r="K744" s="107" t="s">
        <v>714</v>
      </c>
      <c r="L744" s="198"/>
    </row>
    <row r="745" spans="1:12" ht="27.75" thickBot="1" x14ac:dyDescent="0.3">
      <c r="A745" s="254">
        <v>634100</v>
      </c>
      <c r="B745" s="57" t="s">
        <v>393</v>
      </c>
      <c r="C745" s="14">
        <v>221</v>
      </c>
      <c r="D745" s="87">
        <f>+C745*$D$1</f>
        <v>299.89999999999998</v>
      </c>
      <c r="E745" s="87">
        <f t="shared" si="170"/>
        <v>407.86399999999998</v>
      </c>
      <c r="F745" s="178">
        <v>550.1</v>
      </c>
      <c r="G745" s="233">
        <v>659.8</v>
      </c>
      <c r="H745" s="178">
        <f t="shared" si="171"/>
        <v>769.98659999999995</v>
      </c>
      <c r="I745" s="170">
        <f t="shared" si="174"/>
        <v>877.46358183376174</v>
      </c>
      <c r="J745" s="170">
        <f t="shared" si="178"/>
        <v>1024</v>
      </c>
      <c r="K745" s="107" t="s">
        <v>715</v>
      </c>
      <c r="L745" s="198"/>
    </row>
    <row r="746" spans="1:12" ht="27.75" thickBot="1" x14ac:dyDescent="0.3">
      <c r="A746" s="254">
        <v>634110</v>
      </c>
      <c r="B746" s="57" t="s">
        <v>393</v>
      </c>
      <c r="C746" s="14">
        <v>221</v>
      </c>
      <c r="D746" s="87">
        <f>+C746*$D$1</f>
        <v>299.89999999999998</v>
      </c>
      <c r="E746" s="87">
        <f t="shared" si="170"/>
        <v>407.86399999999998</v>
      </c>
      <c r="F746" s="178">
        <v>550.1</v>
      </c>
      <c r="G746" s="233">
        <v>659.8</v>
      </c>
      <c r="H746" s="178">
        <f t="shared" si="171"/>
        <v>769.98659999999995</v>
      </c>
      <c r="I746" s="170">
        <f t="shared" si="174"/>
        <v>877.46358183376174</v>
      </c>
      <c r="J746" s="170">
        <f t="shared" si="178"/>
        <v>1024</v>
      </c>
      <c r="K746" s="107" t="s">
        <v>716</v>
      </c>
      <c r="L746" s="198"/>
    </row>
    <row r="747" spans="1:12" ht="27.75" thickBot="1" x14ac:dyDescent="0.3">
      <c r="A747" s="254">
        <v>635000</v>
      </c>
      <c r="B747" s="57" t="s">
        <v>59</v>
      </c>
      <c r="C747" s="14">
        <v>221</v>
      </c>
      <c r="D747" s="87">
        <f>+C747*$D$1</f>
        <v>299.89999999999998</v>
      </c>
      <c r="E747" s="87">
        <f t="shared" si="170"/>
        <v>407.86399999999998</v>
      </c>
      <c r="F747" s="178">
        <v>550.1</v>
      </c>
      <c r="G747" s="233">
        <v>659.8</v>
      </c>
      <c r="H747" s="178">
        <f t="shared" si="171"/>
        <v>769.98659999999995</v>
      </c>
      <c r="I747" s="170">
        <f t="shared" si="174"/>
        <v>877.46358183376174</v>
      </c>
      <c r="J747" s="170">
        <f t="shared" si="178"/>
        <v>1024</v>
      </c>
      <c r="K747" s="107" t="s">
        <v>717</v>
      </c>
      <c r="L747" s="198"/>
    </row>
    <row r="748" spans="1:12" ht="17.25" customHeight="1" thickBot="1" x14ac:dyDescent="0.3">
      <c r="A748" s="71" t="s">
        <v>718</v>
      </c>
      <c r="B748" s="76"/>
      <c r="C748" s="5"/>
      <c r="D748" s="42"/>
      <c r="E748" s="42"/>
      <c r="F748" s="42"/>
      <c r="G748" s="42"/>
      <c r="H748" s="42"/>
      <c r="I748" s="42"/>
      <c r="J748" s="42"/>
      <c r="K748" s="72"/>
      <c r="L748" s="198"/>
    </row>
    <row r="749" spans="1:12" ht="27.75" thickBot="1" x14ac:dyDescent="0.3">
      <c r="A749" s="254">
        <v>632000.1</v>
      </c>
      <c r="B749" s="57" t="s">
        <v>1</v>
      </c>
      <c r="C749" s="14">
        <v>358</v>
      </c>
      <c r="D749" s="55">
        <v>485</v>
      </c>
      <c r="E749" s="55">
        <v>659.8</v>
      </c>
      <c r="F749" s="178">
        <f t="shared" ref="F749:F811" si="179">+E749*$F$1</f>
        <v>890.73</v>
      </c>
      <c r="G749" s="233">
        <v>1068.5999999999999</v>
      </c>
      <c r="H749" s="178">
        <f t="shared" si="171"/>
        <v>1247.0562</v>
      </c>
      <c r="I749" s="170">
        <f t="shared" si="174"/>
        <v>1421.5938303341902</v>
      </c>
      <c r="J749" s="170">
        <f t="shared" ref="J749:J752" si="180">ROUND(+H749*(1+$J$1),0)</f>
        <v>1659</v>
      </c>
      <c r="K749" s="107" t="s">
        <v>719</v>
      </c>
      <c r="L749" s="198"/>
    </row>
    <row r="750" spans="1:12" ht="27.75" thickBot="1" x14ac:dyDescent="0.3">
      <c r="A750" s="254">
        <v>632000.19999999995</v>
      </c>
      <c r="B750" s="57" t="s">
        <v>1</v>
      </c>
      <c r="C750" s="14">
        <v>358</v>
      </c>
      <c r="D750" s="87">
        <v>485</v>
      </c>
      <c r="E750" s="87">
        <v>659.8</v>
      </c>
      <c r="F750" s="178">
        <f t="shared" si="179"/>
        <v>890.73</v>
      </c>
      <c r="G750" s="233">
        <v>1068.5999999999999</v>
      </c>
      <c r="H750" s="178">
        <f t="shared" si="171"/>
        <v>1247.0562</v>
      </c>
      <c r="I750" s="170">
        <f t="shared" si="174"/>
        <v>1421.5938303341902</v>
      </c>
      <c r="J750" s="170">
        <f t="shared" si="180"/>
        <v>1659</v>
      </c>
      <c r="K750" s="107" t="s">
        <v>720</v>
      </c>
      <c r="L750" s="198"/>
    </row>
    <row r="751" spans="1:12" ht="27.75" thickBot="1" x14ac:dyDescent="0.3">
      <c r="A751" s="254">
        <v>632000.30000000005</v>
      </c>
      <c r="B751" s="57" t="s">
        <v>1</v>
      </c>
      <c r="C751" s="14">
        <v>358</v>
      </c>
      <c r="D751" s="87">
        <v>485</v>
      </c>
      <c r="E751" s="87">
        <v>659.8</v>
      </c>
      <c r="F751" s="178">
        <f t="shared" si="179"/>
        <v>890.73</v>
      </c>
      <c r="G751" s="233">
        <v>1068.5999999999999</v>
      </c>
      <c r="H751" s="178">
        <f t="shared" si="171"/>
        <v>1247.0562</v>
      </c>
      <c r="I751" s="170">
        <f t="shared" si="174"/>
        <v>1421.5938303341902</v>
      </c>
      <c r="J751" s="170">
        <f t="shared" si="180"/>
        <v>1659</v>
      </c>
      <c r="K751" s="107" t="s">
        <v>721</v>
      </c>
      <c r="L751" s="198"/>
    </row>
    <row r="752" spans="1:12" ht="27.75" thickBot="1" x14ac:dyDescent="0.3">
      <c r="A752" s="253">
        <v>632000.4</v>
      </c>
      <c r="B752" s="66" t="s">
        <v>427</v>
      </c>
      <c r="C752" s="17">
        <v>435</v>
      </c>
      <c r="D752" s="87">
        <v>590</v>
      </c>
      <c r="E752" s="87">
        <f t="shared" si="170"/>
        <v>802.40000000000009</v>
      </c>
      <c r="F752" s="179">
        <f t="shared" si="179"/>
        <v>1083.2400000000002</v>
      </c>
      <c r="G752" s="234">
        <v>1299.8880000000001</v>
      </c>
      <c r="H752" s="179">
        <f t="shared" si="171"/>
        <v>1516.9692960000002</v>
      </c>
      <c r="I752" s="170">
        <f t="shared" si="174"/>
        <v>1729.2202227934874</v>
      </c>
      <c r="J752" s="170">
        <f t="shared" si="180"/>
        <v>2018</v>
      </c>
      <c r="K752" s="108" t="s">
        <v>722</v>
      </c>
      <c r="L752" s="198"/>
    </row>
    <row r="753" spans="1:12" ht="17.25" customHeight="1" thickBot="1" x14ac:dyDescent="0.3">
      <c r="A753" s="71" t="s">
        <v>723</v>
      </c>
      <c r="B753" s="76"/>
      <c r="C753" s="5"/>
      <c r="D753" s="42"/>
      <c r="E753" s="42"/>
      <c r="F753" s="42"/>
      <c r="G753" s="42"/>
      <c r="H753" s="42"/>
      <c r="I753" s="42"/>
      <c r="J753" s="42"/>
      <c r="K753" s="72"/>
      <c r="L753" s="198"/>
    </row>
    <row r="754" spans="1:12" ht="17.25" thickBot="1" x14ac:dyDescent="0.3">
      <c r="A754" s="114">
        <v>642010.1</v>
      </c>
      <c r="B754" s="132" t="s">
        <v>480</v>
      </c>
      <c r="C754" s="29" t="s">
        <v>480</v>
      </c>
      <c r="D754" s="54">
        <v>0</v>
      </c>
      <c r="E754" s="54">
        <f t="shared" si="170"/>
        <v>0</v>
      </c>
      <c r="F754" s="183">
        <f t="shared" si="179"/>
        <v>0</v>
      </c>
      <c r="G754" s="240"/>
      <c r="H754" s="183">
        <f t="shared" si="171"/>
        <v>0</v>
      </c>
      <c r="I754" s="170">
        <f t="shared" si="174"/>
        <v>0</v>
      </c>
      <c r="J754" s="170">
        <f t="shared" ref="J754:J761" si="181">ROUND(+H754*(1+$J$1),0)</f>
        <v>0</v>
      </c>
      <c r="K754" s="115" t="s">
        <v>724</v>
      </c>
      <c r="L754" s="198"/>
    </row>
    <row r="755" spans="1:12" ht="17.25" thickBot="1" x14ac:dyDescent="0.3">
      <c r="A755" s="114">
        <v>642020.1</v>
      </c>
      <c r="B755" s="251" t="s">
        <v>1057</v>
      </c>
      <c r="C755" s="16" t="s">
        <v>480</v>
      </c>
      <c r="D755" s="91">
        <v>0</v>
      </c>
      <c r="E755" s="91">
        <f t="shared" si="170"/>
        <v>0</v>
      </c>
      <c r="F755" s="183">
        <f t="shared" si="179"/>
        <v>0</v>
      </c>
      <c r="G755" s="240">
        <v>700.31</v>
      </c>
      <c r="H755" s="183">
        <f t="shared" si="171"/>
        <v>817.26176999999996</v>
      </c>
      <c r="I755" s="170">
        <f t="shared" si="174"/>
        <v>931.44815766923728</v>
      </c>
      <c r="J755" s="170">
        <f t="shared" si="181"/>
        <v>1087</v>
      </c>
      <c r="K755" s="115" t="s">
        <v>725</v>
      </c>
      <c r="L755" s="198"/>
    </row>
    <row r="756" spans="1:12" ht="27.75" thickBot="1" x14ac:dyDescent="0.3">
      <c r="A756" s="114">
        <v>642020.19999999995</v>
      </c>
      <c r="B756" s="132" t="s">
        <v>427</v>
      </c>
      <c r="C756" s="16">
        <v>6500</v>
      </c>
      <c r="D756" s="91">
        <v>8775</v>
      </c>
      <c r="E756" s="91">
        <f t="shared" si="170"/>
        <v>11934</v>
      </c>
      <c r="F756" s="183">
        <f t="shared" si="179"/>
        <v>16110.900000000001</v>
      </c>
      <c r="G756" s="240">
        <v>19333.3</v>
      </c>
      <c r="H756" s="183">
        <f t="shared" si="171"/>
        <v>22561.9611</v>
      </c>
      <c r="I756" s="170">
        <f t="shared" si="174"/>
        <v>25712.93916023993</v>
      </c>
      <c r="J756" s="170">
        <f t="shared" si="181"/>
        <v>30007</v>
      </c>
      <c r="K756" s="115" t="s">
        <v>726</v>
      </c>
      <c r="L756" s="198"/>
    </row>
    <row r="757" spans="1:12" ht="27.75" thickBot="1" x14ac:dyDescent="0.3">
      <c r="A757" s="114">
        <v>642020.5</v>
      </c>
      <c r="B757" s="132" t="s">
        <v>59</v>
      </c>
      <c r="C757" s="16">
        <v>221</v>
      </c>
      <c r="D757" s="91">
        <f>+C757*$D$1</f>
        <v>299.89999999999998</v>
      </c>
      <c r="E757" s="91">
        <f t="shared" si="170"/>
        <v>407.86399999999998</v>
      </c>
      <c r="F757" s="183">
        <v>550.1</v>
      </c>
      <c r="G757" s="240">
        <v>659.8</v>
      </c>
      <c r="H757" s="183">
        <f t="shared" si="171"/>
        <v>769.98659999999995</v>
      </c>
      <c r="I757" s="170">
        <f t="shared" si="174"/>
        <v>877.46358183376174</v>
      </c>
      <c r="J757" s="170">
        <f t="shared" si="181"/>
        <v>1024</v>
      </c>
      <c r="K757" s="115" t="s">
        <v>727</v>
      </c>
      <c r="L757" s="198"/>
    </row>
    <row r="758" spans="1:12" ht="17.25" thickBot="1" x14ac:dyDescent="0.3">
      <c r="A758" s="114">
        <v>642021</v>
      </c>
      <c r="B758" s="132" t="s">
        <v>1</v>
      </c>
      <c r="C758" s="16">
        <v>221</v>
      </c>
      <c r="D758" s="91">
        <f>+C758*$D$1</f>
        <v>299.89999999999998</v>
      </c>
      <c r="E758" s="91">
        <f t="shared" si="170"/>
        <v>407.86399999999998</v>
      </c>
      <c r="F758" s="183">
        <v>550.1</v>
      </c>
      <c r="G758" s="240">
        <v>659.8</v>
      </c>
      <c r="H758" s="183">
        <f t="shared" si="171"/>
        <v>769.98659999999995</v>
      </c>
      <c r="I758" s="170">
        <f t="shared" si="174"/>
        <v>877.46358183376174</v>
      </c>
      <c r="J758" s="170">
        <f t="shared" si="181"/>
        <v>1024</v>
      </c>
      <c r="K758" s="115" t="s">
        <v>728</v>
      </c>
      <c r="L758" s="198"/>
    </row>
    <row r="759" spans="1:12" ht="54.75" thickBot="1" x14ac:dyDescent="0.3">
      <c r="A759" s="114">
        <v>642070</v>
      </c>
      <c r="B759" s="132" t="s">
        <v>393</v>
      </c>
      <c r="C759" s="16">
        <v>1092</v>
      </c>
      <c r="D759" s="91">
        <v>1480</v>
      </c>
      <c r="E759" s="91">
        <v>2013.7</v>
      </c>
      <c r="F759" s="183">
        <f t="shared" si="179"/>
        <v>2718.4950000000003</v>
      </c>
      <c r="G759" s="240">
        <v>3262.1940000000004</v>
      </c>
      <c r="H759" s="183">
        <f t="shared" si="171"/>
        <v>3806.9803980000006</v>
      </c>
      <c r="I759" s="170">
        <f t="shared" si="174"/>
        <v>4338.4747215081406</v>
      </c>
      <c r="J759" s="170">
        <f t="shared" si="181"/>
        <v>5063</v>
      </c>
      <c r="K759" s="115" t="s">
        <v>729</v>
      </c>
      <c r="L759" s="198"/>
    </row>
    <row r="760" spans="1:12" ht="27.75" thickBot="1" x14ac:dyDescent="0.3">
      <c r="A760" s="114">
        <v>642099</v>
      </c>
      <c r="B760" s="132" t="s">
        <v>1003</v>
      </c>
      <c r="C760" s="54">
        <v>429</v>
      </c>
      <c r="D760" s="91">
        <v>575</v>
      </c>
      <c r="E760" s="91">
        <f t="shared" si="170"/>
        <v>782</v>
      </c>
      <c r="F760" s="183">
        <f t="shared" si="179"/>
        <v>1055.7</v>
      </c>
      <c r="G760" s="240">
        <v>1268.2</v>
      </c>
      <c r="H760" s="183">
        <f t="shared" si="171"/>
        <v>1479.9894000000002</v>
      </c>
      <c r="I760" s="170">
        <f t="shared" si="174"/>
        <v>1686.3753213367609</v>
      </c>
      <c r="J760" s="170">
        <f t="shared" si="181"/>
        <v>1968</v>
      </c>
      <c r="K760" s="115" t="s">
        <v>730</v>
      </c>
      <c r="L760" s="198"/>
    </row>
    <row r="761" spans="1:12" ht="27.75" thickBot="1" x14ac:dyDescent="0.3">
      <c r="A761" s="114">
        <v>642010.1</v>
      </c>
      <c r="B761" s="132" t="s">
        <v>1</v>
      </c>
      <c r="C761" s="16">
        <v>429</v>
      </c>
      <c r="D761" s="91">
        <v>575</v>
      </c>
      <c r="E761" s="91">
        <f t="shared" si="170"/>
        <v>782</v>
      </c>
      <c r="F761" s="183">
        <f t="shared" si="179"/>
        <v>1055.7</v>
      </c>
      <c r="G761" s="240">
        <v>1268.2</v>
      </c>
      <c r="H761" s="183">
        <f t="shared" si="171"/>
        <v>1479.9894000000002</v>
      </c>
      <c r="I761" s="170">
        <f t="shared" si="174"/>
        <v>1686.3753213367609</v>
      </c>
      <c r="J761" s="170">
        <f t="shared" si="181"/>
        <v>1968</v>
      </c>
      <c r="K761" s="115" t="s">
        <v>731</v>
      </c>
      <c r="L761" s="198"/>
    </row>
    <row r="762" spans="1:12" ht="17.25" customHeight="1" thickBot="1" x14ac:dyDescent="0.3">
      <c r="A762" s="73" t="s">
        <v>732</v>
      </c>
      <c r="B762" s="76"/>
      <c r="C762" s="4"/>
      <c r="D762" s="45"/>
      <c r="E762" s="45"/>
      <c r="F762" s="45"/>
      <c r="G762" s="45"/>
      <c r="H762" s="45"/>
      <c r="I762" s="45"/>
      <c r="J762" s="45"/>
      <c r="K762" s="72"/>
      <c r="L762" s="198"/>
    </row>
    <row r="763" spans="1:12" ht="17.25" thickBot="1" x14ac:dyDescent="0.3">
      <c r="A763" s="73" t="s">
        <v>733</v>
      </c>
      <c r="B763" s="76"/>
      <c r="C763" s="4"/>
      <c r="D763" s="45"/>
      <c r="E763" s="45"/>
      <c r="F763" s="45"/>
      <c r="G763" s="45"/>
      <c r="H763" s="45"/>
      <c r="I763" s="45"/>
      <c r="J763" s="45"/>
      <c r="K763" s="72"/>
      <c r="L763" s="198"/>
    </row>
    <row r="764" spans="1:12" ht="27.75" thickBot="1" x14ac:dyDescent="0.3">
      <c r="A764" s="114">
        <v>652130</v>
      </c>
      <c r="B764" s="191" t="s">
        <v>1001</v>
      </c>
      <c r="C764" s="54">
        <v>3900</v>
      </c>
      <c r="D764" s="192">
        <v>8820</v>
      </c>
      <c r="E764" s="192">
        <v>12000</v>
      </c>
      <c r="F764" s="193">
        <f t="shared" si="179"/>
        <v>16200.000000000002</v>
      </c>
      <c r="G764" s="241">
        <f>+F764*1.2</f>
        <v>19440</v>
      </c>
      <c r="H764" s="193">
        <f t="shared" si="171"/>
        <v>22686.48</v>
      </c>
      <c r="I764" s="170">
        <f t="shared" ref="I764:I769" si="182">+J764/1.167</f>
        <v>25855.184233076263</v>
      </c>
      <c r="J764" s="170">
        <f t="shared" ref="J764:J769" si="183">ROUND(+H764*(1+$J$1),0)</f>
        <v>30173</v>
      </c>
      <c r="K764" s="194" t="s">
        <v>735</v>
      </c>
      <c r="L764" s="198"/>
    </row>
    <row r="765" spans="1:12" ht="27.75" thickBot="1" x14ac:dyDescent="0.3">
      <c r="A765" s="114">
        <v>652201</v>
      </c>
      <c r="B765" s="133" t="s">
        <v>736</v>
      </c>
      <c r="C765" s="54">
        <v>360</v>
      </c>
      <c r="D765" s="54">
        <v>485</v>
      </c>
      <c r="E765" s="54">
        <v>659.8</v>
      </c>
      <c r="F765" s="184">
        <f t="shared" si="179"/>
        <v>890.73</v>
      </c>
      <c r="G765" s="242">
        <v>1068.5999999999999</v>
      </c>
      <c r="H765" s="184">
        <f t="shared" si="171"/>
        <v>1247.0562</v>
      </c>
      <c r="I765" s="170">
        <f t="shared" si="182"/>
        <v>1421.5938303341902</v>
      </c>
      <c r="J765" s="170">
        <f t="shared" si="183"/>
        <v>1659</v>
      </c>
      <c r="K765" s="116" t="s">
        <v>737</v>
      </c>
      <c r="L765" s="198"/>
    </row>
    <row r="766" spans="1:12" ht="68.25" thickBot="1" x14ac:dyDescent="0.3">
      <c r="A766" s="114">
        <v>652202.1</v>
      </c>
      <c r="B766" s="133" t="s">
        <v>1002</v>
      </c>
      <c r="C766" s="54">
        <v>429</v>
      </c>
      <c r="D766" s="54">
        <v>700</v>
      </c>
      <c r="E766" s="54">
        <f>+D766*1.4</f>
        <v>979.99999999999989</v>
      </c>
      <c r="F766" s="54">
        <f t="shared" si="179"/>
        <v>1323</v>
      </c>
      <c r="G766" s="243">
        <v>1587</v>
      </c>
      <c r="H766" s="54">
        <f t="shared" si="171"/>
        <v>1852.029</v>
      </c>
      <c r="I766" s="170">
        <f t="shared" si="182"/>
        <v>2110.5398457583547</v>
      </c>
      <c r="J766" s="170">
        <f t="shared" si="183"/>
        <v>2463</v>
      </c>
      <c r="K766" s="195" t="s">
        <v>738</v>
      </c>
      <c r="L766" s="200"/>
    </row>
    <row r="767" spans="1:12" ht="27.75" thickBot="1" x14ac:dyDescent="0.3">
      <c r="A767" s="114">
        <v>659890</v>
      </c>
      <c r="B767" s="133" t="str">
        <f>+B766</f>
        <v>46,00‰</v>
      </c>
      <c r="C767" s="54">
        <v>360</v>
      </c>
      <c r="D767" s="54">
        <f>+D766</f>
        <v>700</v>
      </c>
      <c r="E767" s="54">
        <f>+D767*1.4</f>
        <v>979.99999999999989</v>
      </c>
      <c r="F767" s="54">
        <f t="shared" si="179"/>
        <v>1323</v>
      </c>
      <c r="G767" s="243">
        <v>1587</v>
      </c>
      <c r="H767" s="54">
        <f t="shared" si="171"/>
        <v>1852.029</v>
      </c>
      <c r="I767" s="170">
        <f t="shared" si="182"/>
        <v>2110.5398457583547</v>
      </c>
      <c r="J767" s="170">
        <f t="shared" si="183"/>
        <v>2463</v>
      </c>
      <c r="K767" s="195" t="s">
        <v>739</v>
      </c>
      <c r="L767" s="200"/>
    </row>
    <row r="768" spans="1:12" ht="41.25" thickBot="1" x14ac:dyDescent="0.3">
      <c r="A768" s="114">
        <v>659900</v>
      </c>
      <c r="B768" s="132" t="s">
        <v>481</v>
      </c>
      <c r="C768" s="16">
        <v>284</v>
      </c>
      <c r="D768" s="91">
        <v>386</v>
      </c>
      <c r="E768" s="91">
        <v>525.29999999999995</v>
      </c>
      <c r="F768" s="183">
        <f t="shared" si="179"/>
        <v>709.15499999999997</v>
      </c>
      <c r="G768" s="240">
        <v>850.9</v>
      </c>
      <c r="H768" s="183">
        <f t="shared" si="171"/>
        <v>993.00030000000004</v>
      </c>
      <c r="I768" s="170">
        <f t="shared" si="182"/>
        <v>1131.9622964867181</v>
      </c>
      <c r="J768" s="170">
        <f t="shared" si="183"/>
        <v>1321</v>
      </c>
      <c r="K768" s="115" t="s">
        <v>740</v>
      </c>
      <c r="L768" s="198"/>
    </row>
    <row r="769" spans="1:18" ht="41.25" thickBot="1" x14ac:dyDescent="0.3">
      <c r="A769" s="114">
        <v>659908</v>
      </c>
      <c r="B769" s="132" t="s">
        <v>481</v>
      </c>
      <c r="C769" s="16">
        <v>429</v>
      </c>
      <c r="D769" s="91">
        <v>575</v>
      </c>
      <c r="E769" s="91">
        <f t="shared" si="170"/>
        <v>782</v>
      </c>
      <c r="F769" s="183">
        <f t="shared" si="179"/>
        <v>1055.7</v>
      </c>
      <c r="G769" s="240">
        <v>1268.2</v>
      </c>
      <c r="H769" s="183">
        <f t="shared" si="171"/>
        <v>1479.9894000000002</v>
      </c>
      <c r="I769" s="170">
        <f t="shared" si="182"/>
        <v>1686.3753213367609</v>
      </c>
      <c r="J769" s="170">
        <f t="shared" si="183"/>
        <v>1968</v>
      </c>
      <c r="K769" s="115" t="s">
        <v>741</v>
      </c>
      <c r="L769" s="198"/>
    </row>
    <row r="770" spans="1:18" ht="17.25" thickBot="1" x14ac:dyDescent="0.3">
      <c r="A770" s="73" t="s">
        <v>742</v>
      </c>
      <c r="B770" s="134"/>
      <c r="C770" s="7"/>
      <c r="D770" s="48"/>
      <c r="E770" s="48"/>
      <c r="F770" s="48"/>
      <c r="G770" s="48"/>
      <c r="H770" s="48"/>
      <c r="I770" s="48"/>
      <c r="J770" s="48"/>
      <c r="K770" s="117"/>
      <c r="L770" s="198"/>
    </row>
    <row r="771" spans="1:18" ht="27.75" thickBot="1" x14ac:dyDescent="0.3">
      <c r="A771" s="114">
        <v>662020</v>
      </c>
      <c r="B771" s="132" t="s">
        <v>481</v>
      </c>
      <c r="C771" s="16">
        <v>284</v>
      </c>
      <c r="D771" s="54">
        <v>386</v>
      </c>
      <c r="E771" s="54">
        <v>525.29999999999995</v>
      </c>
      <c r="F771" s="183">
        <f t="shared" si="179"/>
        <v>709.15499999999997</v>
      </c>
      <c r="G771" s="240">
        <v>850.9</v>
      </c>
      <c r="H771" s="183">
        <f t="shared" si="171"/>
        <v>993.00030000000004</v>
      </c>
      <c r="I771" s="170">
        <f t="shared" ref="I771:I772" si="184">+J771/1.167</f>
        <v>1131.9622964867181</v>
      </c>
      <c r="J771" s="170">
        <f t="shared" ref="J771:J772" si="185">ROUND(+H771*(1+$J$1),0)</f>
        <v>1321</v>
      </c>
      <c r="K771" s="115" t="s">
        <v>743</v>
      </c>
      <c r="L771" s="198"/>
    </row>
    <row r="772" spans="1:18" ht="27.75" thickBot="1" x14ac:dyDescent="0.3">
      <c r="A772" s="114" t="s">
        <v>989</v>
      </c>
      <c r="B772" s="132" t="s">
        <v>481</v>
      </c>
      <c r="C772" s="16">
        <v>284</v>
      </c>
      <c r="D772" s="54">
        <v>386</v>
      </c>
      <c r="E772" s="91">
        <v>525.29999999999995</v>
      </c>
      <c r="F772" s="183">
        <f t="shared" si="179"/>
        <v>709.15499999999997</v>
      </c>
      <c r="G772" s="240">
        <v>850.9</v>
      </c>
      <c r="H772" s="183">
        <f t="shared" si="171"/>
        <v>993.00030000000004</v>
      </c>
      <c r="I772" s="170">
        <f t="shared" si="184"/>
        <v>1131.9622964867181</v>
      </c>
      <c r="J772" s="170">
        <f t="shared" si="185"/>
        <v>1321</v>
      </c>
      <c r="K772" s="115" t="s">
        <v>990</v>
      </c>
      <c r="L772" s="198"/>
    </row>
    <row r="773" spans="1:18" ht="17.25" customHeight="1" thickBot="1" x14ac:dyDescent="0.3">
      <c r="A773" s="73" t="s">
        <v>744</v>
      </c>
      <c r="B773" s="76"/>
      <c r="C773" s="4"/>
      <c r="D773" s="45"/>
      <c r="E773" s="45"/>
      <c r="F773" s="45"/>
      <c r="G773" s="45"/>
      <c r="H773" s="45"/>
      <c r="I773" s="45"/>
      <c r="J773" s="45"/>
      <c r="K773" s="72"/>
      <c r="L773" s="198"/>
    </row>
    <row r="774" spans="1:18" ht="16.5" customHeight="1" thickBot="1" x14ac:dyDescent="0.3">
      <c r="A774" s="73" t="s">
        <v>745</v>
      </c>
      <c r="B774" s="76"/>
      <c r="C774" s="8"/>
      <c r="D774" s="45"/>
      <c r="E774" s="45"/>
      <c r="F774" s="45"/>
      <c r="G774" s="45"/>
      <c r="H774" s="45"/>
      <c r="I774" s="45"/>
      <c r="J774" s="45"/>
      <c r="K774" s="72"/>
      <c r="L774" s="198"/>
    </row>
    <row r="775" spans="1:18" ht="16.5" thickBot="1" x14ac:dyDescent="0.3">
      <c r="A775" s="254">
        <v>701090.1</v>
      </c>
      <c r="B775" s="66" t="s">
        <v>59</v>
      </c>
      <c r="C775" s="49">
        <v>215</v>
      </c>
      <c r="D775" s="88">
        <v>1150</v>
      </c>
      <c r="E775" s="88">
        <f t="shared" ref="E775:E796" si="186">+D775*1.36</f>
        <v>1564</v>
      </c>
      <c r="F775" s="179">
        <f t="shared" si="179"/>
        <v>2111.4</v>
      </c>
      <c r="G775" s="234">
        <v>2533</v>
      </c>
      <c r="H775" s="179">
        <f t="shared" ref="H775:H839" si="187">G775*1.167</f>
        <v>2956.011</v>
      </c>
      <c r="I775" s="170">
        <f t="shared" ref="I775:I778" si="188">+J775/1.167</f>
        <v>3368.4661525278489</v>
      </c>
      <c r="J775" s="170">
        <f t="shared" ref="J775:J776" si="189">ROUND(+H775*(1+$J$1),0)</f>
        <v>3931</v>
      </c>
      <c r="K775" s="108" t="s">
        <v>746</v>
      </c>
      <c r="L775" s="198"/>
      <c r="Q775" s="20"/>
    </row>
    <row r="776" spans="1:18" ht="27.75" thickBot="1" x14ac:dyDescent="0.3">
      <c r="A776" s="254">
        <v>701090.2</v>
      </c>
      <c r="B776" s="67" t="s">
        <v>59</v>
      </c>
      <c r="C776" s="14">
        <v>215</v>
      </c>
      <c r="D776" s="55">
        <v>290</v>
      </c>
      <c r="E776" s="55">
        <v>395</v>
      </c>
      <c r="F776" s="180">
        <f t="shared" si="179"/>
        <v>533.25</v>
      </c>
      <c r="G776" s="235">
        <v>639.20000000000005</v>
      </c>
      <c r="H776" s="180">
        <f t="shared" si="187"/>
        <v>745.94640000000004</v>
      </c>
      <c r="I776" s="170">
        <f t="shared" si="188"/>
        <v>850.04284490145665</v>
      </c>
      <c r="J776" s="170">
        <f t="shared" si="189"/>
        <v>992</v>
      </c>
      <c r="K776" s="93" t="s">
        <v>747</v>
      </c>
      <c r="L776" s="198"/>
    </row>
    <row r="777" spans="1:18" s="244" customFormat="1" ht="27.75" customHeight="1" thickBot="1" x14ac:dyDescent="0.3">
      <c r="A777" s="275" t="s">
        <v>1055</v>
      </c>
      <c r="B777" s="277" t="s">
        <v>59</v>
      </c>
      <c r="C777" s="236">
        <v>215</v>
      </c>
      <c r="D777" s="236">
        <v>290</v>
      </c>
      <c r="E777" s="256">
        <v>395</v>
      </c>
      <c r="F777" s="233">
        <f t="shared" si="179"/>
        <v>533.25</v>
      </c>
      <c r="G777" s="233">
        <v>171.4</v>
      </c>
      <c r="H777" s="233">
        <f t="shared" si="187"/>
        <v>200.02380000000002</v>
      </c>
      <c r="I777" s="170">
        <f t="shared" si="188"/>
        <v>227.93487574978576</v>
      </c>
      <c r="J777" s="170">
        <f t="shared" ref="J777:J778" si="190">ROUND(+H777*(1+$J$1),0)</f>
        <v>266</v>
      </c>
      <c r="K777" s="279" t="s">
        <v>1056</v>
      </c>
      <c r="L777" s="257"/>
      <c r="O777" s="257"/>
    </row>
    <row r="778" spans="1:18" s="244" customFormat="1" ht="16.5" thickBot="1" x14ac:dyDescent="0.3">
      <c r="A778" s="276"/>
      <c r="B778" s="278"/>
      <c r="C778" s="236"/>
      <c r="D778" s="236"/>
      <c r="E778" s="256"/>
      <c r="F778" s="233"/>
      <c r="G778" s="233">
        <v>639.25</v>
      </c>
      <c r="H778" s="233">
        <f t="shared" si="187"/>
        <v>746.00475000000006</v>
      </c>
      <c r="I778" s="170">
        <f t="shared" si="188"/>
        <v>850.04284490145665</v>
      </c>
      <c r="J778" s="170">
        <f t="shared" si="190"/>
        <v>992</v>
      </c>
      <c r="K778" s="280"/>
      <c r="L778" s="257"/>
      <c r="O778" s="257"/>
    </row>
    <row r="779" spans="1:18" ht="16.5" thickBot="1" x14ac:dyDescent="0.3">
      <c r="A779" s="254" t="s">
        <v>991</v>
      </c>
      <c r="B779" s="57" t="s">
        <v>993</v>
      </c>
      <c r="C779" s="14"/>
      <c r="D779" s="55">
        <v>200</v>
      </c>
      <c r="E779" s="87">
        <v>272.5</v>
      </c>
      <c r="F779" s="178">
        <f t="shared" si="179"/>
        <v>367.875</v>
      </c>
      <c r="G779" s="233">
        <v>441.3</v>
      </c>
      <c r="H779" s="178">
        <f t="shared" si="187"/>
        <v>514.99710000000005</v>
      </c>
      <c r="I779" s="170">
        <f t="shared" ref="I779:I781" si="191">+J779/1.167</f>
        <v>586.97514995715505</v>
      </c>
      <c r="J779" s="170">
        <f t="shared" ref="J779:J781" si="192">ROUND(+H779*(1+$J$1),0)</f>
        <v>685</v>
      </c>
      <c r="K779" s="107" t="s">
        <v>992</v>
      </c>
      <c r="L779" s="198"/>
    </row>
    <row r="780" spans="1:18" ht="16.5" thickBot="1" x14ac:dyDescent="0.3">
      <c r="A780" s="254">
        <v>702000.1</v>
      </c>
      <c r="B780" s="57" t="s">
        <v>59</v>
      </c>
      <c r="C780" s="14">
        <v>1888</v>
      </c>
      <c r="D780" s="87">
        <v>2562</v>
      </c>
      <c r="E780" s="87">
        <f t="shared" si="186"/>
        <v>3484.32</v>
      </c>
      <c r="F780" s="178">
        <f t="shared" si="179"/>
        <v>4703.8320000000003</v>
      </c>
      <c r="G780" s="233">
        <v>5644.4</v>
      </c>
      <c r="H780" s="178">
        <f t="shared" si="187"/>
        <v>6587.0147999999999</v>
      </c>
      <c r="I780" s="170">
        <f t="shared" si="191"/>
        <v>7507.2836332476436</v>
      </c>
      <c r="J780" s="170">
        <f t="shared" si="192"/>
        <v>8761</v>
      </c>
      <c r="K780" s="107" t="s">
        <v>748</v>
      </c>
      <c r="L780" s="198"/>
    </row>
    <row r="781" spans="1:18" ht="16.5" thickBot="1" x14ac:dyDescent="0.3">
      <c r="A781" s="254">
        <v>702000.2</v>
      </c>
      <c r="B781" s="57" t="s">
        <v>427</v>
      </c>
      <c r="C781" s="14">
        <v>215</v>
      </c>
      <c r="D781" s="55">
        <v>290</v>
      </c>
      <c r="E781" s="87">
        <v>395</v>
      </c>
      <c r="F781" s="178">
        <f t="shared" si="179"/>
        <v>533.25</v>
      </c>
      <c r="G781" s="233">
        <v>639.20000000000005</v>
      </c>
      <c r="H781" s="178">
        <f t="shared" si="187"/>
        <v>745.94640000000004</v>
      </c>
      <c r="I781" s="170">
        <f t="shared" si="191"/>
        <v>850.04284490145665</v>
      </c>
      <c r="J781" s="170">
        <f t="shared" si="192"/>
        <v>992</v>
      </c>
      <c r="K781" s="107" t="s">
        <v>749</v>
      </c>
      <c r="L781" s="198"/>
      <c r="R781" s="225"/>
    </row>
    <row r="782" spans="1:18" ht="17.25" customHeight="1" thickBot="1" x14ac:dyDescent="0.3">
      <c r="A782" s="73" t="s">
        <v>750</v>
      </c>
      <c r="B782" s="76"/>
      <c r="C782" s="4"/>
      <c r="D782" s="45"/>
      <c r="E782" s="45"/>
      <c r="F782" s="45"/>
      <c r="G782" s="45"/>
      <c r="H782" s="45"/>
      <c r="I782" s="45"/>
      <c r="J782" s="45"/>
      <c r="K782" s="72"/>
      <c r="L782" s="198"/>
      <c r="R782" s="225"/>
    </row>
    <row r="783" spans="1:18" ht="27.75" thickBot="1" x14ac:dyDescent="0.3">
      <c r="A783" s="253">
        <v>633120.1</v>
      </c>
      <c r="B783" s="66" t="s">
        <v>481</v>
      </c>
      <c r="C783" s="17">
        <v>284</v>
      </c>
      <c r="D783" s="55">
        <v>386</v>
      </c>
      <c r="E783" s="55">
        <v>525.29999999999995</v>
      </c>
      <c r="F783" s="179">
        <f t="shared" si="179"/>
        <v>709.15499999999997</v>
      </c>
      <c r="G783" s="234">
        <v>850.9</v>
      </c>
      <c r="H783" s="179">
        <f t="shared" si="187"/>
        <v>993.00030000000004</v>
      </c>
      <c r="I783" s="170">
        <f t="shared" ref="I783" si="193">+J783/1.167</f>
        <v>1131.9622964867181</v>
      </c>
      <c r="J783" s="170">
        <f t="shared" ref="J783" si="194">ROUND(+H783*(1+$J$1),0)</f>
        <v>1321</v>
      </c>
      <c r="K783" s="108" t="s">
        <v>751</v>
      </c>
      <c r="L783" s="198"/>
    </row>
    <row r="784" spans="1:18" ht="17.25" thickBot="1" x14ac:dyDescent="0.3">
      <c r="A784" s="73" t="s">
        <v>752</v>
      </c>
      <c r="B784" s="76"/>
      <c r="C784" s="4"/>
      <c r="D784" s="45"/>
      <c r="E784" s="45"/>
      <c r="F784" s="45"/>
      <c r="G784" s="45"/>
      <c r="H784" s="45"/>
      <c r="I784" s="45"/>
      <c r="J784" s="45"/>
      <c r="K784" s="72"/>
      <c r="L784" s="198"/>
    </row>
    <row r="785" spans="1:12" ht="27.75" thickBot="1" x14ac:dyDescent="0.3">
      <c r="A785" s="254">
        <v>711100</v>
      </c>
      <c r="B785" s="57" t="s">
        <v>59</v>
      </c>
      <c r="C785" s="14">
        <v>180</v>
      </c>
      <c r="D785" s="56">
        <v>244</v>
      </c>
      <c r="E785" s="56">
        <f t="shared" si="186"/>
        <v>331.84000000000003</v>
      </c>
      <c r="F785" s="172">
        <f t="shared" si="179"/>
        <v>447.98400000000009</v>
      </c>
      <c r="G785" s="227">
        <v>537.29999999999995</v>
      </c>
      <c r="H785" s="172">
        <f t="shared" si="187"/>
        <v>627.02909999999997</v>
      </c>
      <c r="I785" s="170">
        <f t="shared" ref="I785:I796" si="195">+J785/1.167</f>
        <v>714.65295629820048</v>
      </c>
      <c r="J785" s="170">
        <f t="shared" ref="J785:J796" si="196">ROUND(+H785*(1+$J$1),0)</f>
        <v>834</v>
      </c>
      <c r="K785" s="107" t="s">
        <v>753</v>
      </c>
      <c r="L785" s="198"/>
    </row>
    <row r="786" spans="1:12" ht="27.75" thickBot="1" x14ac:dyDescent="0.3">
      <c r="A786" s="254">
        <v>711300</v>
      </c>
      <c r="B786" s="57" t="s">
        <v>124</v>
      </c>
      <c r="C786" s="14">
        <v>180</v>
      </c>
      <c r="D786" s="83">
        <v>244</v>
      </c>
      <c r="E786" s="83">
        <f t="shared" si="186"/>
        <v>331.84000000000003</v>
      </c>
      <c r="F786" s="172">
        <f t="shared" si="179"/>
        <v>447.98400000000009</v>
      </c>
      <c r="G786" s="227">
        <v>537.29999999999995</v>
      </c>
      <c r="H786" s="172">
        <f t="shared" si="187"/>
        <v>627.02909999999997</v>
      </c>
      <c r="I786" s="170">
        <f t="shared" si="195"/>
        <v>714.65295629820048</v>
      </c>
      <c r="J786" s="170">
        <f t="shared" si="196"/>
        <v>834</v>
      </c>
      <c r="K786" s="107" t="s">
        <v>754</v>
      </c>
      <c r="L786" s="198"/>
    </row>
    <row r="787" spans="1:12" ht="16.5" thickBot="1" x14ac:dyDescent="0.3">
      <c r="A787" s="254">
        <v>711400</v>
      </c>
      <c r="B787" s="57" t="s">
        <v>124</v>
      </c>
      <c r="C787" s="14">
        <v>180</v>
      </c>
      <c r="D787" s="83">
        <v>244</v>
      </c>
      <c r="E787" s="83">
        <f t="shared" si="186"/>
        <v>331.84000000000003</v>
      </c>
      <c r="F787" s="172">
        <f t="shared" si="179"/>
        <v>447.98400000000009</v>
      </c>
      <c r="G787" s="227">
        <v>537.29999999999995</v>
      </c>
      <c r="H787" s="172">
        <f t="shared" si="187"/>
        <v>627.02909999999997</v>
      </c>
      <c r="I787" s="170">
        <f t="shared" si="195"/>
        <v>714.65295629820048</v>
      </c>
      <c r="J787" s="170">
        <f t="shared" si="196"/>
        <v>834</v>
      </c>
      <c r="K787" s="107" t="s">
        <v>755</v>
      </c>
      <c r="L787" s="198"/>
    </row>
    <row r="788" spans="1:12" ht="27.75" thickBot="1" x14ac:dyDescent="0.3">
      <c r="A788" s="254">
        <v>712100</v>
      </c>
      <c r="B788" s="57" t="s">
        <v>124</v>
      </c>
      <c r="C788" s="14">
        <v>180</v>
      </c>
      <c r="D788" s="83">
        <v>244</v>
      </c>
      <c r="E788" s="83">
        <f t="shared" si="186"/>
        <v>331.84000000000003</v>
      </c>
      <c r="F788" s="172">
        <f t="shared" si="179"/>
        <v>447.98400000000009</v>
      </c>
      <c r="G788" s="227">
        <v>537.29999999999995</v>
      </c>
      <c r="H788" s="172">
        <f t="shared" si="187"/>
        <v>627.02909999999997</v>
      </c>
      <c r="I788" s="170">
        <f t="shared" si="195"/>
        <v>714.65295629820048</v>
      </c>
      <c r="J788" s="170">
        <f t="shared" si="196"/>
        <v>834</v>
      </c>
      <c r="K788" s="107" t="s">
        <v>756</v>
      </c>
      <c r="L788" s="198"/>
    </row>
    <row r="789" spans="1:12" ht="41.25" thickBot="1" x14ac:dyDescent="0.3">
      <c r="A789" s="254">
        <v>712200</v>
      </c>
      <c r="B789" s="57" t="s">
        <v>59</v>
      </c>
      <c r="C789" s="14">
        <v>180</v>
      </c>
      <c r="D789" s="83">
        <v>244</v>
      </c>
      <c r="E789" s="83">
        <f t="shared" si="186"/>
        <v>331.84000000000003</v>
      </c>
      <c r="F789" s="172">
        <f t="shared" si="179"/>
        <v>447.98400000000009</v>
      </c>
      <c r="G789" s="227">
        <v>537.29999999999995</v>
      </c>
      <c r="H789" s="172">
        <f t="shared" si="187"/>
        <v>627.02909999999997</v>
      </c>
      <c r="I789" s="170">
        <f t="shared" si="195"/>
        <v>714.65295629820048</v>
      </c>
      <c r="J789" s="170">
        <f t="shared" si="196"/>
        <v>834</v>
      </c>
      <c r="K789" s="107" t="s">
        <v>757</v>
      </c>
      <c r="L789" s="198"/>
    </row>
    <row r="790" spans="1:12" ht="27.75" thickBot="1" x14ac:dyDescent="0.3">
      <c r="A790" s="254">
        <v>712300</v>
      </c>
      <c r="B790" s="57" t="s">
        <v>59</v>
      </c>
      <c r="C790" s="14">
        <v>286</v>
      </c>
      <c r="D790" s="87">
        <v>386</v>
      </c>
      <c r="E790" s="87">
        <v>525.29999999999995</v>
      </c>
      <c r="F790" s="178">
        <f t="shared" si="179"/>
        <v>709.15499999999997</v>
      </c>
      <c r="G790" s="233">
        <v>850.9</v>
      </c>
      <c r="H790" s="178">
        <f t="shared" si="187"/>
        <v>993.00030000000004</v>
      </c>
      <c r="I790" s="170">
        <f t="shared" si="195"/>
        <v>1131.9622964867181</v>
      </c>
      <c r="J790" s="170">
        <f t="shared" si="196"/>
        <v>1321</v>
      </c>
      <c r="K790" s="107" t="s">
        <v>758</v>
      </c>
      <c r="L790" s="198"/>
    </row>
    <row r="791" spans="1:12" ht="27.75" thickBot="1" x14ac:dyDescent="0.3">
      <c r="A791" s="254">
        <v>712902</v>
      </c>
      <c r="B791" s="57" t="s">
        <v>124</v>
      </c>
      <c r="C791" s="14">
        <v>180</v>
      </c>
      <c r="D791" s="83">
        <v>244</v>
      </c>
      <c r="E791" s="83">
        <f t="shared" si="186"/>
        <v>331.84000000000003</v>
      </c>
      <c r="F791" s="172">
        <f t="shared" si="179"/>
        <v>447.98400000000009</v>
      </c>
      <c r="G791" s="227">
        <v>537.29999999999995</v>
      </c>
      <c r="H791" s="172">
        <f t="shared" si="187"/>
        <v>627.02909999999997</v>
      </c>
      <c r="I791" s="170">
        <f t="shared" si="195"/>
        <v>714.65295629820048</v>
      </c>
      <c r="J791" s="170">
        <f t="shared" si="196"/>
        <v>834</v>
      </c>
      <c r="K791" s="107" t="s">
        <v>759</v>
      </c>
      <c r="L791" s="198"/>
    </row>
    <row r="792" spans="1:12" ht="27.75" thickBot="1" x14ac:dyDescent="0.3">
      <c r="A792" s="254">
        <v>712909.1</v>
      </c>
      <c r="B792" s="57" t="s">
        <v>124</v>
      </c>
      <c r="C792" s="14">
        <v>180</v>
      </c>
      <c r="D792" s="83">
        <v>244</v>
      </c>
      <c r="E792" s="83">
        <f t="shared" si="186"/>
        <v>331.84000000000003</v>
      </c>
      <c r="F792" s="172">
        <f t="shared" si="179"/>
        <v>447.98400000000009</v>
      </c>
      <c r="G792" s="227">
        <v>537.29999999999995</v>
      </c>
      <c r="H792" s="172">
        <f t="shared" si="187"/>
        <v>627.02909999999997</v>
      </c>
      <c r="I792" s="170">
        <f t="shared" si="195"/>
        <v>714.65295629820048</v>
      </c>
      <c r="J792" s="170">
        <f t="shared" si="196"/>
        <v>834</v>
      </c>
      <c r="K792" s="107" t="s">
        <v>760</v>
      </c>
      <c r="L792" s="198"/>
    </row>
    <row r="793" spans="1:12" ht="27.75" thickBot="1" x14ac:dyDescent="0.3">
      <c r="A793" s="254">
        <v>712909.2</v>
      </c>
      <c r="B793" s="57" t="s">
        <v>124</v>
      </c>
      <c r="C793" s="14">
        <v>180</v>
      </c>
      <c r="D793" s="83">
        <v>244</v>
      </c>
      <c r="E793" s="83">
        <f t="shared" si="186"/>
        <v>331.84000000000003</v>
      </c>
      <c r="F793" s="172">
        <f t="shared" si="179"/>
        <v>447.98400000000009</v>
      </c>
      <c r="G793" s="227">
        <v>537.29999999999995</v>
      </c>
      <c r="H793" s="172">
        <f t="shared" si="187"/>
        <v>627.02909999999997</v>
      </c>
      <c r="I793" s="170">
        <f t="shared" si="195"/>
        <v>714.65295629820048</v>
      </c>
      <c r="J793" s="170">
        <f t="shared" si="196"/>
        <v>834</v>
      </c>
      <c r="K793" s="107" t="s">
        <v>761</v>
      </c>
      <c r="L793" s="198"/>
    </row>
    <row r="794" spans="1:12" ht="27.75" thickBot="1" x14ac:dyDescent="0.3">
      <c r="A794" s="254">
        <v>713001</v>
      </c>
      <c r="B794" s="57" t="s">
        <v>124</v>
      </c>
      <c r="C794" s="14">
        <v>180</v>
      </c>
      <c r="D794" s="83">
        <v>244</v>
      </c>
      <c r="E794" s="83">
        <f t="shared" si="186"/>
        <v>331.84000000000003</v>
      </c>
      <c r="F794" s="172">
        <f t="shared" si="179"/>
        <v>447.98400000000009</v>
      </c>
      <c r="G794" s="227">
        <v>537.29999999999995</v>
      </c>
      <c r="H794" s="172">
        <f t="shared" si="187"/>
        <v>627.02909999999997</v>
      </c>
      <c r="I794" s="170">
        <f t="shared" si="195"/>
        <v>714.65295629820048</v>
      </c>
      <c r="J794" s="170">
        <f t="shared" si="196"/>
        <v>834</v>
      </c>
      <c r="K794" s="107" t="s">
        <v>762</v>
      </c>
      <c r="L794" s="198"/>
    </row>
    <row r="795" spans="1:12" ht="16.5" thickBot="1" x14ac:dyDescent="0.3">
      <c r="A795" s="254">
        <v>713009.1</v>
      </c>
      <c r="B795" s="57" t="s">
        <v>124</v>
      </c>
      <c r="C795" s="14">
        <v>180</v>
      </c>
      <c r="D795" s="83">
        <v>244</v>
      </c>
      <c r="E795" s="83">
        <f t="shared" si="186"/>
        <v>331.84000000000003</v>
      </c>
      <c r="F795" s="172">
        <f t="shared" si="179"/>
        <v>447.98400000000009</v>
      </c>
      <c r="G795" s="227">
        <v>537.29999999999995</v>
      </c>
      <c r="H795" s="172">
        <f t="shared" si="187"/>
        <v>627.02909999999997</v>
      </c>
      <c r="I795" s="170">
        <f t="shared" si="195"/>
        <v>714.65295629820048</v>
      </c>
      <c r="J795" s="170">
        <f t="shared" si="196"/>
        <v>834</v>
      </c>
      <c r="K795" s="107" t="s">
        <v>763</v>
      </c>
      <c r="L795" s="198"/>
    </row>
    <row r="796" spans="1:12" ht="27.75" thickBot="1" x14ac:dyDescent="0.3">
      <c r="A796" s="254">
        <v>713009.2</v>
      </c>
      <c r="B796" s="57" t="s">
        <v>124</v>
      </c>
      <c r="C796" s="14">
        <v>180</v>
      </c>
      <c r="D796" s="83">
        <v>244</v>
      </c>
      <c r="E796" s="83">
        <f t="shared" si="186"/>
        <v>331.84000000000003</v>
      </c>
      <c r="F796" s="172">
        <f t="shared" si="179"/>
        <v>447.98400000000009</v>
      </c>
      <c r="G796" s="227">
        <v>537.29999999999995</v>
      </c>
      <c r="H796" s="172">
        <f t="shared" si="187"/>
        <v>627.02909999999997</v>
      </c>
      <c r="I796" s="170">
        <f t="shared" si="195"/>
        <v>714.65295629820048</v>
      </c>
      <c r="J796" s="170">
        <f t="shared" si="196"/>
        <v>834</v>
      </c>
      <c r="K796" s="107" t="s">
        <v>764</v>
      </c>
      <c r="L796" s="198"/>
    </row>
    <row r="797" spans="1:12" ht="32.25" customHeight="1" thickBot="1" x14ac:dyDescent="0.3">
      <c r="A797" s="110" t="s">
        <v>765</v>
      </c>
      <c r="B797" s="45"/>
      <c r="C797" s="45"/>
      <c r="D797" s="45"/>
      <c r="E797" s="45"/>
      <c r="F797" s="45"/>
      <c r="G797" s="45"/>
      <c r="H797" s="45"/>
      <c r="I797" s="45"/>
      <c r="J797" s="45"/>
      <c r="K797" s="190"/>
      <c r="L797" s="198"/>
    </row>
    <row r="798" spans="1:12" ht="17.25" thickBot="1" x14ac:dyDescent="0.3">
      <c r="A798" s="114">
        <v>743002</v>
      </c>
      <c r="B798" s="132" t="s">
        <v>393</v>
      </c>
      <c r="C798" s="16">
        <v>215</v>
      </c>
      <c r="D798" s="55">
        <v>290</v>
      </c>
      <c r="E798" s="55">
        <v>395</v>
      </c>
      <c r="F798" s="178">
        <f t="shared" si="179"/>
        <v>533.25</v>
      </c>
      <c r="G798" s="233">
        <v>639.20000000000005</v>
      </c>
      <c r="H798" s="178">
        <f t="shared" si="187"/>
        <v>745.94640000000004</v>
      </c>
      <c r="I798" s="170">
        <f t="shared" ref="I798:I811" si="197">+J798/1.167</f>
        <v>850.04284490145665</v>
      </c>
      <c r="J798" s="170">
        <f t="shared" ref="J798:J811" si="198">ROUND(+H798*(1+$J$1),0)</f>
        <v>992</v>
      </c>
      <c r="K798" s="115" t="s">
        <v>766</v>
      </c>
      <c r="L798" s="198"/>
    </row>
    <row r="799" spans="1:12" ht="17.25" thickBot="1" x14ac:dyDescent="0.3">
      <c r="A799" s="114">
        <v>743009</v>
      </c>
      <c r="B799" s="132" t="s">
        <v>130</v>
      </c>
      <c r="C799" s="16">
        <v>215</v>
      </c>
      <c r="D799" s="55">
        <v>290</v>
      </c>
      <c r="E799" s="87">
        <v>395</v>
      </c>
      <c r="F799" s="178">
        <f t="shared" si="179"/>
        <v>533.25</v>
      </c>
      <c r="G799" s="233">
        <v>639.20000000000005</v>
      </c>
      <c r="H799" s="178">
        <f t="shared" si="187"/>
        <v>745.94640000000004</v>
      </c>
      <c r="I799" s="170">
        <f t="shared" si="197"/>
        <v>850.04284490145665</v>
      </c>
      <c r="J799" s="170">
        <f t="shared" si="198"/>
        <v>992</v>
      </c>
      <c r="K799" s="115" t="s">
        <v>1038</v>
      </c>
      <c r="L799" s="198"/>
    </row>
    <row r="800" spans="1:12" ht="27.75" thickBot="1" x14ac:dyDescent="0.3">
      <c r="A800" s="114">
        <v>749210</v>
      </c>
      <c r="B800" s="132" t="s">
        <v>393</v>
      </c>
      <c r="C800" s="49">
        <v>1000</v>
      </c>
      <c r="D800" s="87">
        <v>1000</v>
      </c>
      <c r="E800" s="87">
        <f t="shared" ref="E800:E822" si="199">+D800*1.36</f>
        <v>1360</v>
      </c>
      <c r="F800" s="178">
        <f t="shared" si="179"/>
        <v>1836.0000000000002</v>
      </c>
      <c r="G800" s="233">
        <v>2204</v>
      </c>
      <c r="H800" s="178">
        <f t="shared" si="187"/>
        <v>2572.0680000000002</v>
      </c>
      <c r="I800" s="170">
        <f t="shared" si="197"/>
        <v>2931.4481576692374</v>
      </c>
      <c r="J800" s="170">
        <f t="shared" si="198"/>
        <v>3421</v>
      </c>
      <c r="K800" s="115" t="s">
        <v>924</v>
      </c>
      <c r="L800" s="198"/>
    </row>
    <row r="801" spans="1:12" ht="17.25" thickBot="1" x14ac:dyDescent="0.3">
      <c r="A801" s="114">
        <v>749290</v>
      </c>
      <c r="B801" s="132" t="s">
        <v>767</v>
      </c>
      <c r="C801" s="16">
        <v>430</v>
      </c>
      <c r="D801" s="91">
        <v>584</v>
      </c>
      <c r="E801" s="91">
        <v>795.2</v>
      </c>
      <c r="F801" s="183">
        <f t="shared" si="179"/>
        <v>1073.5200000000002</v>
      </c>
      <c r="G801" s="240">
        <v>1288.8</v>
      </c>
      <c r="H801" s="183">
        <f t="shared" si="187"/>
        <v>1504.0296000000001</v>
      </c>
      <c r="I801" s="170">
        <f t="shared" si="197"/>
        <v>1713.796058269066</v>
      </c>
      <c r="J801" s="170">
        <f t="shared" si="198"/>
        <v>2000</v>
      </c>
      <c r="K801" s="115" t="s">
        <v>768</v>
      </c>
      <c r="L801" s="198"/>
    </row>
    <row r="802" spans="1:12" ht="17.25" thickBot="1" x14ac:dyDescent="0.3">
      <c r="A802" s="114">
        <v>749300</v>
      </c>
      <c r="B802" s="132" t="s">
        <v>767</v>
      </c>
      <c r="C802" s="16">
        <v>215</v>
      </c>
      <c r="D802" s="55">
        <v>290</v>
      </c>
      <c r="E802" s="87">
        <v>395</v>
      </c>
      <c r="F802" s="178">
        <f t="shared" si="179"/>
        <v>533.25</v>
      </c>
      <c r="G802" s="233">
        <v>639.20000000000005</v>
      </c>
      <c r="H802" s="178">
        <f t="shared" si="187"/>
        <v>745.94640000000004</v>
      </c>
      <c r="I802" s="170">
        <f t="shared" si="197"/>
        <v>850.04284490145665</v>
      </c>
      <c r="J802" s="170">
        <f t="shared" si="198"/>
        <v>992</v>
      </c>
      <c r="K802" s="115" t="s">
        <v>769</v>
      </c>
      <c r="L802" s="198"/>
    </row>
    <row r="803" spans="1:12" ht="17.25" thickBot="1" x14ac:dyDescent="0.3">
      <c r="A803" s="114">
        <v>749400.1</v>
      </c>
      <c r="B803" s="132" t="s">
        <v>130</v>
      </c>
      <c r="C803" s="16">
        <v>340</v>
      </c>
      <c r="D803" s="91">
        <v>460</v>
      </c>
      <c r="E803" s="91">
        <f t="shared" si="199"/>
        <v>625.6</v>
      </c>
      <c r="F803" s="183">
        <f t="shared" si="179"/>
        <v>844.56000000000006</v>
      </c>
      <c r="G803" s="240">
        <v>1013.7</v>
      </c>
      <c r="H803" s="183">
        <f t="shared" si="187"/>
        <v>1182.9879000000001</v>
      </c>
      <c r="I803" s="170">
        <f t="shared" si="197"/>
        <v>1347.9005998286204</v>
      </c>
      <c r="J803" s="170">
        <f t="shared" si="198"/>
        <v>1573</v>
      </c>
      <c r="K803" s="115" t="s">
        <v>770</v>
      </c>
      <c r="L803" s="198"/>
    </row>
    <row r="804" spans="1:12" ht="17.25" thickBot="1" x14ac:dyDescent="0.3">
      <c r="A804" s="114">
        <v>749400.2</v>
      </c>
      <c r="B804" s="132" t="s">
        <v>130</v>
      </c>
      <c r="C804" s="16">
        <v>340</v>
      </c>
      <c r="D804" s="91">
        <v>460</v>
      </c>
      <c r="E804" s="91">
        <f t="shared" si="199"/>
        <v>625.6</v>
      </c>
      <c r="F804" s="183">
        <f t="shared" si="179"/>
        <v>844.56000000000006</v>
      </c>
      <c r="G804" s="240">
        <v>1013.7</v>
      </c>
      <c r="H804" s="183">
        <f t="shared" si="187"/>
        <v>1182.9879000000001</v>
      </c>
      <c r="I804" s="170">
        <f t="shared" si="197"/>
        <v>1347.9005998286204</v>
      </c>
      <c r="J804" s="170">
        <f t="shared" si="198"/>
        <v>1573</v>
      </c>
      <c r="K804" s="115" t="s">
        <v>771</v>
      </c>
      <c r="L804" s="198"/>
    </row>
    <row r="805" spans="1:12" ht="17.25" thickBot="1" x14ac:dyDescent="0.3">
      <c r="A805" s="114">
        <v>749600</v>
      </c>
      <c r="B805" s="132" t="s">
        <v>684</v>
      </c>
      <c r="C805" s="16">
        <v>215</v>
      </c>
      <c r="D805" s="55">
        <v>290</v>
      </c>
      <c r="E805" s="87">
        <v>395</v>
      </c>
      <c r="F805" s="178">
        <f t="shared" si="179"/>
        <v>533.25</v>
      </c>
      <c r="G805" s="233">
        <v>639.20000000000005</v>
      </c>
      <c r="H805" s="178">
        <f t="shared" si="187"/>
        <v>745.94640000000004</v>
      </c>
      <c r="I805" s="170">
        <f t="shared" si="197"/>
        <v>850.04284490145665</v>
      </c>
      <c r="J805" s="170">
        <f t="shared" si="198"/>
        <v>992</v>
      </c>
      <c r="K805" s="115" t="s">
        <v>772</v>
      </c>
      <c r="L805" s="198"/>
    </row>
    <row r="806" spans="1:12" ht="41.25" thickBot="1" x14ac:dyDescent="0.3">
      <c r="A806" s="114">
        <v>749700</v>
      </c>
      <c r="B806" s="132" t="s">
        <v>393</v>
      </c>
      <c r="C806" s="16">
        <v>430</v>
      </c>
      <c r="D806" s="91">
        <v>584</v>
      </c>
      <c r="E806" s="91">
        <v>795.2</v>
      </c>
      <c r="F806" s="183">
        <f t="shared" si="179"/>
        <v>1073.5200000000002</v>
      </c>
      <c r="G806" s="240">
        <v>1288.8</v>
      </c>
      <c r="H806" s="183">
        <f t="shared" si="187"/>
        <v>1504.0296000000001</v>
      </c>
      <c r="I806" s="170">
        <f t="shared" si="197"/>
        <v>1713.796058269066</v>
      </c>
      <c r="J806" s="170">
        <f t="shared" si="198"/>
        <v>2000</v>
      </c>
      <c r="K806" s="115" t="s">
        <v>773</v>
      </c>
      <c r="L806" s="198"/>
    </row>
    <row r="807" spans="1:12" ht="27.75" thickBot="1" x14ac:dyDescent="0.3">
      <c r="A807" s="114">
        <v>749800</v>
      </c>
      <c r="B807" s="132" t="s">
        <v>767</v>
      </c>
      <c r="C807" s="16">
        <v>221</v>
      </c>
      <c r="D807" s="91">
        <f>+C807*$D$1</f>
        <v>299.89999999999998</v>
      </c>
      <c r="E807" s="91">
        <f t="shared" si="199"/>
        <v>407.86399999999998</v>
      </c>
      <c r="F807" s="183">
        <v>550.1</v>
      </c>
      <c r="G807" s="240">
        <v>659.8</v>
      </c>
      <c r="H807" s="183">
        <f t="shared" si="187"/>
        <v>769.98659999999995</v>
      </c>
      <c r="I807" s="170">
        <f t="shared" si="197"/>
        <v>877.46358183376174</v>
      </c>
      <c r="J807" s="170">
        <f t="shared" si="198"/>
        <v>1024</v>
      </c>
      <c r="K807" s="115" t="s">
        <v>774</v>
      </c>
      <c r="L807" s="198"/>
    </row>
    <row r="808" spans="1:12" ht="17.25" thickBot="1" x14ac:dyDescent="0.3">
      <c r="A808" s="114">
        <v>749910</v>
      </c>
      <c r="B808" s="132" t="s">
        <v>393</v>
      </c>
      <c r="C808" s="16">
        <v>430</v>
      </c>
      <c r="D808" s="91">
        <v>584</v>
      </c>
      <c r="E808" s="91">
        <v>795.2</v>
      </c>
      <c r="F808" s="183">
        <f t="shared" si="179"/>
        <v>1073.5200000000002</v>
      </c>
      <c r="G808" s="240">
        <v>1288.8</v>
      </c>
      <c r="H808" s="183">
        <f t="shared" si="187"/>
        <v>1504.0296000000001</v>
      </c>
      <c r="I808" s="170">
        <f t="shared" si="197"/>
        <v>1713.796058269066</v>
      </c>
      <c r="J808" s="170">
        <f t="shared" si="198"/>
        <v>2000</v>
      </c>
      <c r="K808" s="115" t="s">
        <v>775</v>
      </c>
      <c r="L808" s="198"/>
    </row>
    <row r="809" spans="1:12" ht="122.25" thickBot="1" x14ac:dyDescent="0.3">
      <c r="A809" s="114">
        <v>749930</v>
      </c>
      <c r="B809" s="132" t="s">
        <v>427</v>
      </c>
      <c r="C809" s="16">
        <v>430</v>
      </c>
      <c r="D809" s="91">
        <v>584</v>
      </c>
      <c r="E809" s="91">
        <v>795.2</v>
      </c>
      <c r="F809" s="183">
        <f t="shared" si="179"/>
        <v>1073.5200000000002</v>
      </c>
      <c r="G809" s="240">
        <v>1288.8</v>
      </c>
      <c r="H809" s="183">
        <f t="shared" si="187"/>
        <v>1504.0296000000001</v>
      </c>
      <c r="I809" s="170">
        <f t="shared" si="197"/>
        <v>1713.796058269066</v>
      </c>
      <c r="J809" s="170">
        <f t="shared" si="198"/>
        <v>2000</v>
      </c>
      <c r="K809" s="115" t="s">
        <v>776</v>
      </c>
      <c r="L809" s="198"/>
    </row>
    <row r="810" spans="1:12" ht="27.75" thickBot="1" x14ac:dyDescent="0.3">
      <c r="A810" s="114">
        <v>911000</v>
      </c>
      <c r="B810" s="132" t="s">
        <v>767</v>
      </c>
      <c r="C810" s="16">
        <v>430</v>
      </c>
      <c r="D810" s="91">
        <v>584</v>
      </c>
      <c r="E810" s="91">
        <v>795.2</v>
      </c>
      <c r="F810" s="183">
        <f t="shared" si="179"/>
        <v>1073.5200000000002</v>
      </c>
      <c r="G810" s="240">
        <v>1288.8</v>
      </c>
      <c r="H810" s="183">
        <f t="shared" si="187"/>
        <v>1504.0296000000001</v>
      </c>
      <c r="I810" s="170">
        <f t="shared" si="197"/>
        <v>1713.796058269066</v>
      </c>
      <c r="J810" s="170">
        <f t="shared" si="198"/>
        <v>2000</v>
      </c>
      <c r="K810" s="115" t="s">
        <v>777</v>
      </c>
      <c r="L810" s="198"/>
    </row>
    <row r="811" spans="1:12" ht="41.25" thickBot="1" x14ac:dyDescent="0.3">
      <c r="A811" s="114">
        <v>911001</v>
      </c>
      <c r="B811" s="132" t="s">
        <v>767</v>
      </c>
      <c r="C811" s="16">
        <v>390</v>
      </c>
      <c r="D811" s="91">
        <v>530</v>
      </c>
      <c r="E811" s="91">
        <v>721.5</v>
      </c>
      <c r="F811" s="183">
        <f t="shared" si="179"/>
        <v>974.02500000000009</v>
      </c>
      <c r="G811" s="240">
        <v>1168.8300000000002</v>
      </c>
      <c r="H811" s="183">
        <f t="shared" si="187"/>
        <v>1364.0246100000002</v>
      </c>
      <c r="I811" s="170">
        <f t="shared" si="197"/>
        <v>1554.4130248500428</v>
      </c>
      <c r="J811" s="170">
        <f t="shared" si="198"/>
        <v>1814</v>
      </c>
      <c r="K811" s="115" t="s">
        <v>778</v>
      </c>
      <c r="L811" s="198"/>
    </row>
    <row r="812" spans="1:12" ht="17.25" thickBot="1" x14ac:dyDescent="0.3">
      <c r="A812" s="73" t="s">
        <v>779</v>
      </c>
      <c r="B812" s="76"/>
      <c r="C812" s="4"/>
      <c r="D812" s="45"/>
      <c r="E812" s="45"/>
      <c r="F812" s="45"/>
      <c r="G812" s="45"/>
      <c r="H812" s="45"/>
      <c r="I812" s="45"/>
      <c r="J812" s="45"/>
      <c r="K812" s="72"/>
      <c r="L812" s="198"/>
    </row>
    <row r="813" spans="1:12" ht="17.25" thickBot="1" x14ac:dyDescent="0.3">
      <c r="A813" s="110" t="s">
        <v>780</v>
      </c>
      <c r="B813" s="76"/>
      <c r="C813" s="4"/>
      <c r="D813" s="45"/>
      <c r="E813" s="45"/>
      <c r="F813" s="45"/>
      <c r="G813" s="45"/>
      <c r="H813" s="45"/>
      <c r="I813" s="45"/>
      <c r="J813" s="45"/>
      <c r="K813" s="72"/>
      <c r="L813" s="198"/>
    </row>
    <row r="814" spans="1:12" ht="27.75" thickBot="1" x14ac:dyDescent="0.3">
      <c r="A814" s="254">
        <v>526100</v>
      </c>
      <c r="B814" s="57" t="s">
        <v>1</v>
      </c>
      <c r="C814" s="14">
        <v>120</v>
      </c>
      <c r="D814" s="55">
        <v>165</v>
      </c>
      <c r="E814" s="55">
        <v>224.5</v>
      </c>
      <c r="F814" s="178">
        <f t="shared" ref="F814:F880" si="200">+E814*$F$1</f>
        <v>303.07500000000005</v>
      </c>
      <c r="G814" s="233">
        <v>363.3</v>
      </c>
      <c r="H814" s="178">
        <f t="shared" si="187"/>
        <v>423.97110000000004</v>
      </c>
      <c r="I814" s="170">
        <f t="shared" ref="I814:I822" si="201">+J814/1.167</f>
        <v>483.29048843187661</v>
      </c>
      <c r="J814" s="170">
        <f t="shared" ref="J814:J822" si="202">ROUND(+H814*(1+$J$1),0)</f>
        <v>564</v>
      </c>
      <c r="K814" s="107" t="s">
        <v>781</v>
      </c>
      <c r="L814" s="198"/>
    </row>
    <row r="815" spans="1:12" ht="27.75" thickBot="1" x14ac:dyDescent="0.3">
      <c r="A815" s="254">
        <v>526200</v>
      </c>
      <c r="B815" s="57" t="s">
        <v>1</v>
      </c>
      <c r="C815" s="14">
        <v>180</v>
      </c>
      <c r="D815" s="83">
        <v>244</v>
      </c>
      <c r="E815" s="83">
        <f t="shared" si="199"/>
        <v>331.84000000000003</v>
      </c>
      <c r="F815" s="172">
        <f t="shared" si="200"/>
        <v>447.98400000000009</v>
      </c>
      <c r="G815" s="227">
        <v>537.29999999999995</v>
      </c>
      <c r="H815" s="172">
        <f t="shared" si="187"/>
        <v>627.02909999999997</v>
      </c>
      <c r="I815" s="170">
        <f t="shared" si="201"/>
        <v>714.65295629820048</v>
      </c>
      <c r="J815" s="170">
        <f t="shared" si="202"/>
        <v>834</v>
      </c>
      <c r="K815" s="107" t="s">
        <v>782</v>
      </c>
      <c r="L815" s="198"/>
    </row>
    <row r="816" spans="1:12" ht="16.5" thickBot="1" x14ac:dyDescent="0.3">
      <c r="A816" s="254">
        <v>526201</v>
      </c>
      <c r="B816" s="57" t="s">
        <v>1</v>
      </c>
      <c r="C816" s="14">
        <v>180</v>
      </c>
      <c r="D816" s="83">
        <v>244</v>
      </c>
      <c r="E816" s="83">
        <f t="shared" si="199"/>
        <v>331.84000000000003</v>
      </c>
      <c r="F816" s="172">
        <f t="shared" si="200"/>
        <v>447.98400000000009</v>
      </c>
      <c r="G816" s="227">
        <v>537.29999999999995</v>
      </c>
      <c r="H816" s="172">
        <f t="shared" si="187"/>
        <v>627.02909999999997</v>
      </c>
      <c r="I816" s="170">
        <f t="shared" si="201"/>
        <v>714.65295629820048</v>
      </c>
      <c r="J816" s="170">
        <f t="shared" si="202"/>
        <v>834</v>
      </c>
      <c r="K816" s="107" t="s">
        <v>783</v>
      </c>
      <c r="L816" s="198"/>
    </row>
    <row r="817" spans="1:12" ht="16.5" thickBot="1" x14ac:dyDescent="0.3">
      <c r="A817" s="254">
        <v>526901</v>
      </c>
      <c r="B817" s="57" t="s">
        <v>1</v>
      </c>
      <c r="C817" s="14">
        <v>180</v>
      </c>
      <c r="D817" s="83">
        <v>244</v>
      </c>
      <c r="E817" s="83">
        <f t="shared" si="199"/>
        <v>331.84000000000003</v>
      </c>
      <c r="F817" s="172">
        <f t="shared" si="200"/>
        <v>447.98400000000009</v>
      </c>
      <c r="G817" s="227">
        <v>537.29999999999995</v>
      </c>
      <c r="H817" s="172">
        <f t="shared" si="187"/>
        <v>627.02909999999997</v>
      </c>
      <c r="I817" s="170">
        <f t="shared" si="201"/>
        <v>714.65295629820048</v>
      </c>
      <c r="J817" s="170">
        <f t="shared" si="202"/>
        <v>834</v>
      </c>
      <c r="K817" s="107" t="s">
        <v>784</v>
      </c>
      <c r="L817" s="198"/>
    </row>
    <row r="818" spans="1:12" ht="16.5" thickBot="1" x14ac:dyDescent="0.3">
      <c r="A818" s="254">
        <v>526909.1</v>
      </c>
      <c r="B818" s="57" t="s">
        <v>1</v>
      </c>
      <c r="C818" s="14">
        <v>180</v>
      </c>
      <c r="D818" s="83">
        <v>244</v>
      </c>
      <c r="E818" s="83">
        <f t="shared" si="199"/>
        <v>331.84000000000003</v>
      </c>
      <c r="F818" s="172">
        <f t="shared" si="200"/>
        <v>447.98400000000009</v>
      </c>
      <c r="G818" s="227">
        <v>537.29999999999995</v>
      </c>
      <c r="H818" s="172">
        <f t="shared" si="187"/>
        <v>627.02909999999997</v>
      </c>
      <c r="I818" s="170">
        <f t="shared" si="201"/>
        <v>714.65295629820048</v>
      </c>
      <c r="J818" s="170">
        <f t="shared" si="202"/>
        <v>834</v>
      </c>
      <c r="K818" s="107" t="s">
        <v>785</v>
      </c>
      <c r="L818" s="198"/>
    </row>
    <row r="819" spans="1:12" ht="27.75" thickBot="1" x14ac:dyDescent="0.3">
      <c r="A819" s="254">
        <v>526909.19999999995</v>
      </c>
      <c r="B819" s="57" t="s">
        <v>1</v>
      </c>
      <c r="C819" s="14">
        <v>180</v>
      </c>
      <c r="D819" s="83">
        <v>244</v>
      </c>
      <c r="E819" s="83">
        <f t="shared" si="199"/>
        <v>331.84000000000003</v>
      </c>
      <c r="F819" s="172">
        <f t="shared" si="200"/>
        <v>447.98400000000009</v>
      </c>
      <c r="G819" s="227">
        <v>537.29999999999995</v>
      </c>
      <c r="H819" s="172">
        <f t="shared" si="187"/>
        <v>627.02909999999997</v>
      </c>
      <c r="I819" s="170">
        <f t="shared" si="201"/>
        <v>714.65295629820048</v>
      </c>
      <c r="J819" s="170">
        <f t="shared" si="202"/>
        <v>834</v>
      </c>
      <c r="K819" s="107" t="s">
        <v>786</v>
      </c>
      <c r="L819" s="198"/>
    </row>
    <row r="820" spans="1:12" ht="27.75" thickBot="1" x14ac:dyDescent="0.3">
      <c r="A820" s="254">
        <v>526909.30000000005</v>
      </c>
      <c r="B820" s="57" t="s">
        <v>1</v>
      </c>
      <c r="C820" s="14">
        <v>180</v>
      </c>
      <c r="D820" s="83">
        <v>244</v>
      </c>
      <c r="E820" s="83">
        <f t="shared" si="199"/>
        <v>331.84000000000003</v>
      </c>
      <c r="F820" s="172">
        <f t="shared" si="200"/>
        <v>447.98400000000009</v>
      </c>
      <c r="G820" s="227">
        <v>537.29999999999995</v>
      </c>
      <c r="H820" s="172">
        <f t="shared" si="187"/>
        <v>627.02909999999997</v>
      </c>
      <c r="I820" s="170">
        <f t="shared" si="201"/>
        <v>714.65295629820048</v>
      </c>
      <c r="J820" s="170">
        <f t="shared" si="202"/>
        <v>834</v>
      </c>
      <c r="K820" s="107" t="s">
        <v>787</v>
      </c>
      <c r="L820" s="198"/>
    </row>
    <row r="821" spans="1:12" ht="16.5" thickBot="1" x14ac:dyDescent="0.3">
      <c r="A821" s="254">
        <v>526909.4</v>
      </c>
      <c r="B821" s="57" t="s">
        <v>1</v>
      </c>
      <c r="C821" s="14">
        <v>180</v>
      </c>
      <c r="D821" s="83">
        <v>244</v>
      </c>
      <c r="E821" s="83">
        <f t="shared" si="199"/>
        <v>331.84000000000003</v>
      </c>
      <c r="F821" s="172">
        <f t="shared" si="200"/>
        <v>447.98400000000009</v>
      </c>
      <c r="G821" s="227">
        <v>537.29999999999995</v>
      </c>
      <c r="H821" s="172">
        <f t="shared" si="187"/>
        <v>627.02909999999997</v>
      </c>
      <c r="I821" s="170">
        <f t="shared" si="201"/>
        <v>714.65295629820048</v>
      </c>
      <c r="J821" s="170">
        <f t="shared" si="202"/>
        <v>834</v>
      </c>
      <c r="K821" s="107" t="s">
        <v>788</v>
      </c>
      <c r="L821" s="198"/>
    </row>
    <row r="822" spans="1:12" ht="16.5" thickBot="1" x14ac:dyDescent="0.3">
      <c r="A822" s="253">
        <v>526909.5</v>
      </c>
      <c r="B822" s="66" t="s">
        <v>1</v>
      </c>
      <c r="C822" s="17">
        <v>180</v>
      </c>
      <c r="D822" s="150">
        <v>244</v>
      </c>
      <c r="E822" s="150">
        <f t="shared" si="199"/>
        <v>331.84000000000003</v>
      </c>
      <c r="F822" s="176">
        <f t="shared" si="200"/>
        <v>447.98400000000009</v>
      </c>
      <c r="G822" s="231">
        <v>537.29999999999995</v>
      </c>
      <c r="H822" s="176">
        <f t="shared" si="187"/>
        <v>627.02909999999997</v>
      </c>
      <c r="I822" s="170">
        <f t="shared" si="201"/>
        <v>714.65295629820048</v>
      </c>
      <c r="J822" s="170">
        <f t="shared" si="202"/>
        <v>834</v>
      </c>
      <c r="K822" s="108" t="s">
        <v>789</v>
      </c>
      <c r="L822" s="198"/>
    </row>
    <row r="823" spans="1:12" ht="16.5" x14ac:dyDescent="0.25">
      <c r="A823" s="211" t="s">
        <v>1024</v>
      </c>
      <c r="B823" s="43"/>
      <c r="C823" s="43"/>
      <c r="D823" s="43"/>
      <c r="E823" s="43"/>
      <c r="F823" s="43"/>
      <c r="G823" s="43"/>
      <c r="H823" s="43"/>
      <c r="I823" s="43"/>
      <c r="J823" s="43"/>
      <c r="K823" s="197"/>
      <c r="L823" s="198"/>
    </row>
    <row r="824" spans="1:12" ht="17.25" thickBot="1" x14ac:dyDescent="0.3">
      <c r="A824" s="204" t="s">
        <v>1025</v>
      </c>
      <c r="B824" s="44"/>
      <c r="C824" s="44"/>
      <c r="D824" s="44"/>
      <c r="E824" s="44"/>
      <c r="F824" s="44"/>
      <c r="G824" s="44"/>
      <c r="H824" s="44"/>
      <c r="I824" s="44"/>
      <c r="J824" s="44"/>
      <c r="K824" s="210"/>
      <c r="L824" s="220"/>
    </row>
    <row r="825" spans="1:12" ht="16.5" thickBot="1" x14ac:dyDescent="0.3">
      <c r="A825" s="254">
        <v>551210</v>
      </c>
      <c r="B825" s="57" t="s">
        <v>790</v>
      </c>
      <c r="C825" s="26">
        <v>1360</v>
      </c>
      <c r="D825" s="87">
        <v>1845</v>
      </c>
      <c r="E825" s="87">
        <v>2510</v>
      </c>
      <c r="F825" s="178">
        <f t="shared" si="200"/>
        <v>3388.5</v>
      </c>
      <c r="G825" s="233">
        <v>4066</v>
      </c>
      <c r="H825" s="178">
        <f t="shared" si="187"/>
        <v>4745.0219999999999</v>
      </c>
      <c r="I825" s="170">
        <f t="shared" ref="I825:I836" si="203">+J825/1.167</f>
        <v>5407.8834618680376</v>
      </c>
      <c r="J825" s="170">
        <f t="shared" ref="J825:J836" si="204">ROUND(+H825*(1+$J$1),0)</f>
        <v>6311</v>
      </c>
      <c r="K825" s="107" t="s">
        <v>791</v>
      </c>
      <c r="L825" s="221"/>
    </row>
    <row r="826" spans="1:12" ht="16.5" thickBot="1" x14ac:dyDescent="0.3">
      <c r="A826" s="254">
        <v>551222.1</v>
      </c>
      <c r="B826" s="57" t="s">
        <v>393</v>
      </c>
      <c r="C826" s="14">
        <v>1580</v>
      </c>
      <c r="D826" s="87">
        <v>2144</v>
      </c>
      <c r="E826" s="87">
        <v>2916</v>
      </c>
      <c r="F826" s="178">
        <f t="shared" si="200"/>
        <v>3936.6000000000004</v>
      </c>
      <c r="G826" s="233">
        <v>4723.3</v>
      </c>
      <c r="H826" s="178">
        <f t="shared" si="187"/>
        <v>5512.0911000000006</v>
      </c>
      <c r="I826" s="170">
        <f t="shared" si="203"/>
        <v>6281.9194515852614</v>
      </c>
      <c r="J826" s="170">
        <f t="shared" si="204"/>
        <v>7331</v>
      </c>
      <c r="K826" s="107" t="s">
        <v>1043</v>
      </c>
      <c r="L826" s="221"/>
    </row>
    <row r="827" spans="1:12" ht="16.5" thickBot="1" x14ac:dyDescent="0.3">
      <c r="A827" s="254">
        <v>551222.19999999995</v>
      </c>
      <c r="B827" s="57" t="s">
        <v>393</v>
      </c>
      <c r="C827" s="14">
        <v>908</v>
      </c>
      <c r="D827" s="87">
        <v>1230</v>
      </c>
      <c r="E827" s="87">
        <v>1673</v>
      </c>
      <c r="F827" s="178">
        <f t="shared" si="200"/>
        <v>2258.5500000000002</v>
      </c>
      <c r="G827" s="233">
        <v>2710.4</v>
      </c>
      <c r="H827" s="178">
        <f t="shared" si="187"/>
        <v>3163.0368000000003</v>
      </c>
      <c r="I827" s="170">
        <f t="shared" si="203"/>
        <v>3604.9700085689801</v>
      </c>
      <c r="J827" s="170">
        <f t="shared" si="204"/>
        <v>4207</v>
      </c>
      <c r="K827" s="107" t="s">
        <v>792</v>
      </c>
      <c r="L827" s="221"/>
    </row>
    <row r="828" spans="1:12" ht="16.5" thickBot="1" x14ac:dyDescent="0.3">
      <c r="A828" s="254">
        <v>551222.30000000005</v>
      </c>
      <c r="B828" s="57" t="s">
        <v>59</v>
      </c>
      <c r="C828" s="14">
        <v>430</v>
      </c>
      <c r="D828" s="87">
        <v>584</v>
      </c>
      <c r="E828" s="87">
        <v>795.2</v>
      </c>
      <c r="F828" s="178">
        <f t="shared" si="200"/>
        <v>1073.5200000000002</v>
      </c>
      <c r="G828" s="233">
        <v>1288.8</v>
      </c>
      <c r="H828" s="178">
        <f t="shared" si="187"/>
        <v>1504.0296000000001</v>
      </c>
      <c r="I828" s="170">
        <f t="shared" si="203"/>
        <v>1713.796058269066</v>
      </c>
      <c r="J828" s="170">
        <f t="shared" si="204"/>
        <v>2000</v>
      </c>
      <c r="K828" s="107" t="s">
        <v>1044</v>
      </c>
      <c r="L828" s="221"/>
    </row>
    <row r="829" spans="1:12" ht="16.5" thickBot="1" x14ac:dyDescent="0.3">
      <c r="A829" s="254">
        <v>551222.4</v>
      </c>
      <c r="B829" s="57" t="s">
        <v>59</v>
      </c>
      <c r="C829" s="14">
        <v>340</v>
      </c>
      <c r="D829" s="87">
        <v>460</v>
      </c>
      <c r="E829" s="87">
        <f t="shared" ref="E829:E836" si="205">+D829*1.36</f>
        <v>625.6</v>
      </c>
      <c r="F829" s="178">
        <f t="shared" si="200"/>
        <v>844.56000000000006</v>
      </c>
      <c r="G829" s="233">
        <v>1013.7</v>
      </c>
      <c r="H829" s="178">
        <f t="shared" si="187"/>
        <v>1182.9879000000001</v>
      </c>
      <c r="I829" s="170">
        <f t="shared" si="203"/>
        <v>1347.9005998286204</v>
      </c>
      <c r="J829" s="170">
        <f t="shared" si="204"/>
        <v>1573</v>
      </c>
      <c r="K829" s="107" t="s">
        <v>793</v>
      </c>
      <c r="L829" s="221"/>
    </row>
    <row r="830" spans="1:12" ht="16.5" thickBot="1" x14ac:dyDescent="0.3">
      <c r="A830" s="254">
        <v>551222.5</v>
      </c>
      <c r="B830" s="57" t="s">
        <v>59</v>
      </c>
      <c r="C830" s="14">
        <v>221</v>
      </c>
      <c r="D830" s="87">
        <f>+C830*$D$1</f>
        <v>299.89999999999998</v>
      </c>
      <c r="E830" s="87">
        <f t="shared" si="205"/>
        <v>407.86399999999998</v>
      </c>
      <c r="F830" s="178">
        <v>550.1</v>
      </c>
      <c r="G830" s="233">
        <v>659.8</v>
      </c>
      <c r="H830" s="178">
        <f t="shared" si="187"/>
        <v>769.98659999999995</v>
      </c>
      <c r="I830" s="170">
        <f t="shared" si="203"/>
        <v>877.46358183376174</v>
      </c>
      <c r="J830" s="170">
        <f t="shared" si="204"/>
        <v>1024</v>
      </c>
      <c r="K830" s="107" t="s">
        <v>794</v>
      </c>
      <c r="L830" s="221"/>
    </row>
    <row r="831" spans="1:12" ht="16.5" thickBot="1" x14ac:dyDescent="0.3">
      <c r="A831" s="254">
        <v>551222.6</v>
      </c>
      <c r="B831" s="57" t="s">
        <v>59</v>
      </c>
      <c r="C831" s="14">
        <v>221</v>
      </c>
      <c r="D831" s="87">
        <f>+C831*$D$1</f>
        <v>299.89999999999998</v>
      </c>
      <c r="E831" s="87">
        <f t="shared" si="205"/>
        <v>407.86399999999998</v>
      </c>
      <c r="F831" s="178">
        <v>550.1</v>
      </c>
      <c r="G831" s="233">
        <v>659.8</v>
      </c>
      <c r="H831" s="178">
        <f t="shared" si="187"/>
        <v>769.98659999999995</v>
      </c>
      <c r="I831" s="170">
        <f t="shared" si="203"/>
        <v>877.46358183376174</v>
      </c>
      <c r="J831" s="170">
        <f t="shared" si="204"/>
        <v>1024</v>
      </c>
      <c r="K831" s="107" t="s">
        <v>795</v>
      </c>
      <c r="L831" s="221"/>
    </row>
    <row r="832" spans="1:12" ht="16.5" thickBot="1" x14ac:dyDescent="0.3">
      <c r="A832" s="254">
        <v>551229.1</v>
      </c>
      <c r="B832" s="57" t="s">
        <v>59</v>
      </c>
      <c r="C832" s="14">
        <v>430</v>
      </c>
      <c r="D832" s="87">
        <v>584</v>
      </c>
      <c r="E832" s="87">
        <v>795.2</v>
      </c>
      <c r="F832" s="178">
        <f t="shared" si="200"/>
        <v>1073.5200000000002</v>
      </c>
      <c r="G832" s="233">
        <v>1288.8</v>
      </c>
      <c r="H832" s="178">
        <f t="shared" si="187"/>
        <v>1504.0296000000001</v>
      </c>
      <c r="I832" s="170">
        <f t="shared" si="203"/>
        <v>1713.796058269066</v>
      </c>
      <c r="J832" s="170">
        <f t="shared" si="204"/>
        <v>2000</v>
      </c>
      <c r="K832" s="107" t="s">
        <v>796</v>
      </c>
      <c r="L832" s="221"/>
    </row>
    <row r="833" spans="1:12" ht="16.5" thickBot="1" x14ac:dyDescent="0.3">
      <c r="A833" s="254">
        <v>551229.19999999995</v>
      </c>
      <c r="B833" s="57" t="s">
        <v>59</v>
      </c>
      <c r="C833" s="14">
        <v>340</v>
      </c>
      <c r="D833" s="87">
        <v>460</v>
      </c>
      <c r="E833" s="87">
        <f t="shared" si="205"/>
        <v>625.6</v>
      </c>
      <c r="F833" s="178">
        <f t="shared" si="200"/>
        <v>844.56000000000006</v>
      </c>
      <c r="G833" s="233">
        <v>1013.7</v>
      </c>
      <c r="H833" s="178">
        <f t="shared" si="187"/>
        <v>1182.9879000000001</v>
      </c>
      <c r="I833" s="170">
        <f t="shared" si="203"/>
        <v>1347.9005998286204</v>
      </c>
      <c r="J833" s="170">
        <f t="shared" si="204"/>
        <v>1573</v>
      </c>
      <c r="K833" s="107" t="s">
        <v>797</v>
      </c>
      <c r="L833" s="221"/>
    </row>
    <row r="834" spans="1:12" ht="27.75" thickBot="1" x14ac:dyDescent="0.3">
      <c r="A834" s="254">
        <v>551229.30000000005</v>
      </c>
      <c r="B834" s="57" t="s">
        <v>59</v>
      </c>
      <c r="C834" s="14">
        <v>221</v>
      </c>
      <c r="D834" s="87">
        <f>+C834*$D$1</f>
        <v>299.89999999999998</v>
      </c>
      <c r="E834" s="87">
        <f t="shared" si="205"/>
        <v>407.86399999999998</v>
      </c>
      <c r="F834" s="178">
        <v>550.1</v>
      </c>
      <c r="G834" s="233">
        <v>659.8</v>
      </c>
      <c r="H834" s="178">
        <f t="shared" si="187"/>
        <v>769.98659999999995</v>
      </c>
      <c r="I834" s="170">
        <f t="shared" si="203"/>
        <v>877.46358183376174</v>
      </c>
      <c r="J834" s="170">
        <f t="shared" si="204"/>
        <v>1024</v>
      </c>
      <c r="K834" s="107" t="s">
        <v>798</v>
      </c>
      <c r="L834" s="221"/>
    </row>
    <row r="835" spans="1:12" ht="27.75" thickBot="1" x14ac:dyDescent="0.3">
      <c r="A835" s="253">
        <v>551229.4</v>
      </c>
      <c r="B835" s="66" t="s">
        <v>59</v>
      </c>
      <c r="C835" s="17">
        <v>221</v>
      </c>
      <c r="D835" s="159">
        <f>+C835*$D$1</f>
        <v>299.89999999999998</v>
      </c>
      <c r="E835" s="159">
        <f t="shared" si="205"/>
        <v>407.86399999999998</v>
      </c>
      <c r="F835" s="179">
        <v>550.1</v>
      </c>
      <c r="G835" s="234">
        <v>659.8</v>
      </c>
      <c r="H835" s="179">
        <f t="shared" si="187"/>
        <v>769.98659999999995</v>
      </c>
      <c r="I835" s="170">
        <f t="shared" si="203"/>
        <v>877.46358183376174</v>
      </c>
      <c r="J835" s="170">
        <f t="shared" si="204"/>
        <v>1024</v>
      </c>
      <c r="K835" s="108" t="s">
        <v>1045</v>
      </c>
      <c r="L835" s="221"/>
    </row>
    <row r="836" spans="1:12" ht="16.5" thickBot="1" x14ac:dyDescent="0.3">
      <c r="A836" s="68" t="s">
        <v>1046</v>
      </c>
      <c r="B836" s="223" t="s">
        <v>59</v>
      </c>
      <c r="C836" s="14">
        <v>221</v>
      </c>
      <c r="D836" s="55">
        <f>+C836*$D$1</f>
        <v>299.89999999999998</v>
      </c>
      <c r="E836" s="55">
        <f t="shared" si="205"/>
        <v>407.86399999999998</v>
      </c>
      <c r="F836" s="180">
        <v>550.1</v>
      </c>
      <c r="G836" s="235">
        <v>659.8</v>
      </c>
      <c r="H836" s="180">
        <f t="shared" si="187"/>
        <v>769.98659999999995</v>
      </c>
      <c r="I836" s="170">
        <f t="shared" si="203"/>
        <v>877.46358183376174</v>
      </c>
      <c r="J836" s="170">
        <f t="shared" si="204"/>
        <v>1024</v>
      </c>
      <c r="K836" s="93" t="s">
        <v>1047</v>
      </c>
      <c r="L836" s="221"/>
    </row>
    <row r="837" spans="1:12" ht="16.5" x14ac:dyDescent="0.25">
      <c r="A837" s="196" t="s">
        <v>1026</v>
      </c>
      <c r="B837" s="43"/>
      <c r="C837" s="43"/>
      <c r="D837" s="43"/>
      <c r="E837" s="43"/>
      <c r="F837" s="43"/>
      <c r="G837" s="43"/>
      <c r="H837" s="43"/>
      <c r="I837" s="43"/>
      <c r="J837" s="43"/>
      <c r="K837" s="197"/>
      <c r="L837" s="198"/>
    </row>
    <row r="838" spans="1:12" ht="17.25" thickBot="1" x14ac:dyDescent="0.3">
      <c r="A838" s="189" t="s">
        <v>1027</v>
      </c>
      <c r="B838" s="44"/>
      <c r="C838" s="44"/>
      <c r="D838" s="44"/>
      <c r="E838" s="44"/>
      <c r="F838" s="44"/>
      <c r="G838" s="44"/>
      <c r="H838" s="44"/>
      <c r="I838" s="44"/>
      <c r="J838" s="44"/>
      <c r="K838" s="210"/>
      <c r="L838" s="198"/>
    </row>
    <row r="839" spans="1:12" ht="54.75" thickBot="1" x14ac:dyDescent="0.3">
      <c r="A839" s="254">
        <v>552114.1</v>
      </c>
      <c r="B839" s="57" t="s">
        <v>124</v>
      </c>
      <c r="C839" s="26">
        <v>215</v>
      </c>
      <c r="D839" s="87">
        <v>290</v>
      </c>
      <c r="E839" s="87">
        <v>395</v>
      </c>
      <c r="F839" s="178">
        <f t="shared" si="200"/>
        <v>533.25</v>
      </c>
      <c r="G839" s="233">
        <v>639.20000000000005</v>
      </c>
      <c r="H839" s="178">
        <f t="shared" si="187"/>
        <v>745.94640000000004</v>
      </c>
      <c r="I839" s="170">
        <f t="shared" ref="I839:I852" si="206">+J839/1.167</f>
        <v>850.04284490145665</v>
      </c>
      <c r="J839" s="170">
        <f t="shared" ref="J839:J852" si="207">ROUND(+H839*(1+$J$1),0)</f>
        <v>992</v>
      </c>
      <c r="K839" s="107" t="s">
        <v>799</v>
      </c>
      <c r="L839" s="198"/>
    </row>
    <row r="840" spans="1:12" ht="54.75" thickBot="1" x14ac:dyDescent="0.3">
      <c r="A840" s="254">
        <v>552114.19999999995</v>
      </c>
      <c r="B840" s="67" t="s">
        <v>124</v>
      </c>
      <c r="C840" s="14">
        <v>286</v>
      </c>
      <c r="D840" s="55">
        <v>386</v>
      </c>
      <c r="E840" s="55">
        <v>525.29999999999995</v>
      </c>
      <c r="F840" s="180">
        <f t="shared" si="200"/>
        <v>709.15499999999997</v>
      </c>
      <c r="G840" s="235">
        <v>850.9</v>
      </c>
      <c r="H840" s="180">
        <f t="shared" ref="H840:H903" si="208">G840*1.167</f>
        <v>993.00030000000004</v>
      </c>
      <c r="I840" s="170">
        <f t="shared" si="206"/>
        <v>1131.9622964867181</v>
      </c>
      <c r="J840" s="170">
        <f t="shared" si="207"/>
        <v>1321</v>
      </c>
      <c r="K840" s="93" t="s">
        <v>800</v>
      </c>
      <c r="L840" s="198"/>
    </row>
    <row r="841" spans="1:12" ht="54.75" thickBot="1" x14ac:dyDescent="0.3">
      <c r="A841" s="254">
        <v>552114.30000000005</v>
      </c>
      <c r="B841" s="57" t="s">
        <v>124</v>
      </c>
      <c r="C841" s="14">
        <v>358</v>
      </c>
      <c r="D841" s="87">
        <v>485</v>
      </c>
      <c r="E841" s="87">
        <v>659.8</v>
      </c>
      <c r="F841" s="178">
        <f t="shared" si="200"/>
        <v>890.73</v>
      </c>
      <c r="G841" s="233">
        <v>1068.5999999999999</v>
      </c>
      <c r="H841" s="178">
        <f t="shared" si="208"/>
        <v>1247.0562</v>
      </c>
      <c r="I841" s="170">
        <f t="shared" si="206"/>
        <v>1421.5938303341902</v>
      </c>
      <c r="J841" s="170">
        <f t="shared" si="207"/>
        <v>1659</v>
      </c>
      <c r="K841" s="107" t="s">
        <v>801</v>
      </c>
      <c r="L841" s="198"/>
    </row>
    <row r="842" spans="1:12" ht="54.75" thickBot="1" x14ac:dyDescent="0.3">
      <c r="A842" s="254">
        <v>552114.4</v>
      </c>
      <c r="B842" s="57" t="s">
        <v>124</v>
      </c>
      <c r="C842" s="14">
        <v>425</v>
      </c>
      <c r="D842" s="87">
        <v>575</v>
      </c>
      <c r="E842" s="87">
        <f t="shared" ref="E842:E888" si="209">+D842*1.36</f>
        <v>782</v>
      </c>
      <c r="F842" s="178">
        <f t="shared" si="200"/>
        <v>1055.7</v>
      </c>
      <c r="G842" s="233">
        <v>1268.2</v>
      </c>
      <c r="H842" s="178">
        <f t="shared" si="208"/>
        <v>1479.9894000000002</v>
      </c>
      <c r="I842" s="170">
        <f t="shared" si="206"/>
        <v>1686.3753213367609</v>
      </c>
      <c r="J842" s="170">
        <f t="shared" si="207"/>
        <v>1968</v>
      </c>
      <c r="K842" s="107" t="s">
        <v>802</v>
      </c>
      <c r="L842" s="198"/>
    </row>
    <row r="843" spans="1:12" ht="16.5" thickBot="1" x14ac:dyDescent="0.3">
      <c r="A843" s="254">
        <v>552114.5</v>
      </c>
      <c r="B843" s="57" t="s">
        <v>124</v>
      </c>
      <c r="C843" s="14">
        <v>425</v>
      </c>
      <c r="D843" s="87">
        <v>575</v>
      </c>
      <c r="E843" s="87">
        <f t="shared" si="209"/>
        <v>782</v>
      </c>
      <c r="F843" s="178">
        <f t="shared" si="200"/>
        <v>1055.7</v>
      </c>
      <c r="G843" s="233">
        <v>1268.2</v>
      </c>
      <c r="H843" s="178">
        <f t="shared" si="208"/>
        <v>1479.9894000000002</v>
      </c>
      <c r="I843" s="170">
        <f t="shared" si="206"/>
        <v>1686.3753213367609</v>
      </c>
      <c r="J843" s="170">
        <f t="shared" si="207"/>
        <v>1968</v>
      </c>
      <c r="K843" s="107" t="s">
        <v>803</v>
      </c>
      <c r="L843" s="198"/>
    </row>
    <row r="844" spans="1:12" ht="16.5" thickBot="1" x14ac:dyDescent="0.3">
      <c r="A844" s="254">
        <v>552114.6</v>
      </c>
      <c r="B844" s="57" t="s">
        <v>124</v>
      </c>
      <c r="C844" s="14">
        <v>358</v>
      </c>
      <c r="D844" s="87">
        <v>485</v>
      </c>
      <c r="E844" s="87">
        <v>659.8</v>
      </c>
      <c r="F844" s="178">
        <f t="shared" si="200"/>
        <v>890.73</v>
      </c>
      <c r="G844" s="233">
        <v>1068.5999999999999</v>
      </c>
      <c r="H844" s="178">
        <f t="shared" si="208"/>
        <v>1247.0562</v>
      </c>
      <c r="I844" s="170">
        <f t="shared" si="206"/>
        <v>1421.5938303341902</v>
      </c>
      <c r="J844" s="170">
        <f t="shared" si="207"/>
        <v>1659</v>
      </c>
      <c r="K844" s="107" t="s">
        <v>804</v>
      </c>
      <c r="L844" s="198"/>
    </row>
    <row r="845" spans="1:12" ht="16.5" thickBot="1" x14ac:dyDescent="0.3">
      <c r="A845" s="254">
        <v>552114.69999999995</v>
      </c>
      <c r="B845" s="57" t="s">
        <v>124</v>
      </c>
      <c r="C845" s="14">
        <v>215</v>
      </c>
      <c r="D845" s="55">
        <v>290</v>
      </c>
      <c r="E845" s="87">
        <v>395</v>
      </c>
      <c r="F845" s="178">
        <f t="shared" si="200"/>
        <v>533.25</v>
      </c>
      <c r="G845" s="233">
        <v>639.20000000000005</v>
      </c>
      <c r="H845" s="178">
        <f t="shared" si="208"/>
        <v>745.94640000000004</v>
      </c>
      <c r="I845" s="170">
        <f t="shared" si="206"/>
        <v>850.04284490145665</v>
      </c>
      <c r="J845" s="170">
        <f t="shared" si="207"/>
        <v>992</v>
      </c>
      <c r="K845" s="107" t="s">
        <v>805</v>
      </c>
      <c r="L845" s="198"/>
    </row>
    <row r="846" spans="1:12" ht="16.5" thickBot="1" x14ac:dyDescent="0.3">
      <c r="A846" s="254">
        <v>552114.80000000005</v>
      </c>
      <c r="B846" s="57" t="s">
        <v>124</v>
      </c>
      <c r="C846" s="14">
        <v>358</v>
      </c>
      <c r="D846" s="87">
        <v>485</v>
      </c>
      <c r="E846" s="87">
        <v>659.8</v>
      </c>
      <c r="F846" s="178">
        <f t="shared" si="200"/>
        <v>890.73</v>
      </c>
      <c r="G846" s="233">
        <v>1068.5999999999999</v>
      </c>
      <c r="H846" s="178">
        <f t="shared" si="208"/>
        <v>1247.0562</v>
      </c>
      <c r="I846" s="170">
        <f t="shared" si="206"/>
        <v>1421.5938303341902</v>
      </c>
      <c r="J846" s="170">
        <f t="shared" si="207"/>
        <v>1659</v>
      </c>
      <c r="K846" s="107" t="s">
        <v>806</v>
      </c>
      <c r="L846" s="198"/>
    </row>
    <row r="847" spans="1:12" ht="16.5" thickBot="1" x14ac:dyDescent="0.3">
      <c r="A847" s="254">
        <v>552114.9</v>
      </c>
      <c r="B847" s="57" t="s">
        <v>124</v>
      </c>
      <c r="C847" s="14">
        <v>215</v>
      </c>
      <c r="D847" s="55">
        <v>290</v>
      </c>
      <c r="E847" s="87">
        <v>395</v>
      </c>
      <c r="F847" s="178">
        <f t="shared" si="200"/>
        <v>533.25</v>
      </c>
      <c r="G847" s="233">
        <v>639.20000000000005</v>
      </c>
      <c r="H847" s="178">
        <f t="shared" si="208"/>
        <v>745.94640000000004</v>
      </c>
      <c r="I847" s="170">
        <f t="shared" si="206"/>
        <v>850.04284490145665</v>
      </c>
      <c r="J847" s="170">
        <f t="shared" si="207"/>
        <v>992</v>
      </c>
      <c r="K847" s="107" t="s">
        <v>807</v>
      </c>
      <c r="L847" s="198"/>
    </row>
    <row r="848" spans="1:12" ht="16.5" thickBot="1" x14ac:dyDescent="0.3">
      <c r="A848" s="254">
        <v>552120</v>
      </c>
      <c r="B848" s="57" t="s">
        <v>1</v>
      </c>
      <c r="C848" s="14">
        <v>180</v>
      </c>
      <c r="D848" s="83">
        <v>244</v>
      </c>
      <c r="E848" s="83">
        <f t="shared" si="209"/>
        <v>331.84000000000003</v>
      </c>
      <c r="F848" s="172">
        <f t="shared" si="200"/>
        <v>447.98400000000009</v>
      </c>
      <c r="G848" s="227">
        <v>537.29999999999995</v>
      </c>
      <c r="H848" s="172">
        <f t="shared" si="208"/>
        <v>627.02909999999997</v>
      </c>
      <c r="I848" s="170">
        <f t="shared" si="206"/>
        <v>714.65295629820048</v>
      </c>
      <c r="J848" s="170">
        <f t="shared" si="207"/>
        <v>834</v>
      </c>
      <c r="K848" s="107" t="s">
        <v>808</v>
      </c>
      <c r="L848" s="198"/>
    </row>
    <row r="849" spans="1:12" ht="68.25" thickBot="1" x14ac:dyDescent="0.3">
      <c r="A849" s="254">
        <v>552210</v>
      </c>
      <c r="B849" s="57" t="s">
        <v>59</v>
      </c>
      <c r="C849" s="14">
        <v>180</v>
      </c>
      <c r="D849" s="83">
        <v>244</v>
      </c>
      <c r="E849" s="83">
        <f t="shared" si="209"/>
        <v>331.84000000000003</v>
      </c>
      <c r="F849" s="172">
        <f t="shared" si="200"/>
        <v>447.98400000000009</v>
      </c>
      <c r="G849" s="227">
        <v>537.29999999999995</v>
      </c>
      <c r="H849" s="172">
        <f t="shared" si="208"/>
        <v>627.02909999999997</v>
      </c>
      <c r="I849" s="170">
        <f t="shared" si="206"/>
        <v>714.65295629820048</v>
      </c>
      <c r="J849" s="170">
        <f t="shared" si="207"/>
        <v>834</v>
      </c>
      <c r="K849" s="107" t="s">
        <v>809</v>
      </c>
      <c r="L849" s="198"/>
    </row>
    <row r="850" spans="1:12" ht="27.75" thickBot="1" x14ac:dyDescent="0.3">
      <c r="A850" s="254">
        <v>552290.30000000005</v>
      </c>
      <c r="B850" s="57" t="s">
        <v>124</v>
      </c>
      <c r="C850" s="14">
        <v>180</v>
      </c>
      <c r="D850" s="83">
        <v>244</v>
      </c>
      <c r="E850" s="83">
        <f t="shared" si="209"/>
        <v>331.84000000000003</v>
      </c>
      <c r="F850" s="172">
        <f t="shared" si="200"/>
        <v>447.98400000000009</v>
      </c>
      <c r="G850" s="227">
        <v>537.29999999999995</v>
      </c>
      <c r="H850" s="172">
        <f t="shared" si="208"/>
        <v>627.02909999999997</v>
      </c>
      <c r="I850" s="170">
        <f t="shared" si="206"/>
        <v>714.65295629820048</v>
      </c>
      <c r="J850" s="170">
        <f t="shared" si="207"/>
        <v>834</v>
      </c>
      <c r="K850" s="107" t="s">
        <v>810</v>
      </c>
      <c r="L850" s="198"/>
    </row>
    <row r="851" spans="1:12" ht="27.75" thickBot="1" x14ac:dyDescent="0.3">
      <c r="A851" s="254">
        <v>701010.1</v>
      </c>
      <c r="B851" s="57" t="s">
        <v>124</v>
      </c>
      <c r="C851" s="14">
        <v>220</v>
      </c>
      <c r="D851" s="87">
        <v>299.89999999999998</v>
      </c>
      <c r="E851" s="87">
        <f t="shared" si="209"/>
        <v>407.86399999999998</v>
      </c>
      <c r="F851" s="178">
        <v>550.1</v>
      </c>
      <c r="G851" s="233">
        <v>659.8</v>
      </c>
      <c r="H851" s="178">
        <f t="shared" si="208"/>
        <v>769.98659999999995</v>
      </c>
      <c r="I851" s="170">
        <f t="shared" si="206"/>
        <v>877.46358183376174</v>
      </c>
      <c r="J851" s="170">
        <f t="shared" si="207"/>
        <v>1024</v>
      </c>
      <c r="K851" s="107" t="s">
        <v>811</v>
      </c>
      <c r="L851" s="198"/>
    </row>
    <row r="852" spans="1:12" ht="27.75" thickBot="1" x14ac:dyDescent="0.3">
      <c r="A852" s="254">
        <v>701010.2</v>
      </c>
      <c r="B852" s="57" t="s">
        <v>1</v>
      </c>
      <c r="C852" s="14">
        <v>220</v>
      </c>
      <c r="D852" s="87">
        <v>299.89999999999998</v>
      </c>
      <c r="E852" s="87">
        <f t="shared" si="209"/>
        <v>407.86399999999998</v>
      </c>
      <c r="F852" s="178">
        <v>550.1</v>
      </c>
      <c r="G852" s="233">
        <v>659.8</v>
      </c>
      <c r="H852" s="178">
        <f t="shared" si="208"/>
        <v>769.98659999999995</v>
      </c>
      <c r="I852" s="170">
        <f t="shared" si="206"/>
        <v>877.46358183376174</v>
      </c>
      <c r="J852" s="170">
        <f t="shared" si="207"/>
        <v>1024</v>
      </c>
      <c r="K852" s="107" t="s">
        <v>812</v>
      </c>
      <c r="L852" s="198"/>
    </row>
    <row r="853" spans="1:12" ht="17.25" customHeight="1" thickBot="1" x14ac:dyDescent="0.3">
      <c r="A853" s="73" t="s">
        <v>813</v>
      </c>
      <c r="B853" s="76"/>
      <c r="C853" s="4"/>
      <c r="D853" s="45"/>
      <c r="E853" s="45"/>
      <c r="F853" s="45"/>
      <c r="G853" s="45"/>
      <c r="H853" s="45"/>
      <c r="I853" s="45"/>
      <c r="J853" s="45"/>
      <c r="K853" s="72"/>
      <c r="L853" s="198"/>
    </row>
    <row r="854" spans="1:12" ht="16.5" thickBot="1" x14ac:dyDescent="0.3">
      <c r="A854" s="254">
        <v>801000</v>
      </c>
      <c r="B854" s="57" t="s">
        <v>1</v>
      </c>
      <c r="C854" s="14">
        <v>180</v>
      </c>
      <c r="D854" s="56">
        <v>244</v>
      </c>
      <c r="E854" s="56">
        <f t="shared" si="209"/>
        <v>331.84000000000003</v>
      </c>
      <c r="F854" s="172">
        <f t="shared" si="200"/>
        <v>447.98400000000009</v>
      </c>
      <c r="G854" s="227">
        <v>537.29999999999995</v>
      </c>
      <c r="H854" s="172">
        <f t="shared" si="208"/>
        <v>627.02909999999997</v>
      </c>
      <c r="I854" s="170">
        <f t="shared" ref="I854:I869" si="210">+J854/1.167</f>
        <v>714.65295629820048</v>
      </c>
      <c r="J854" s="170">
        <f t="shared" ref="J854:J869" si="211">ROUND(+H854*(1+$J$1),0)</f>
        <v>834</v>
      </c>
      <c r="K854" s="107" t="s">
        <v>814</v>
      </c>
      <c r="L854" s="198"/>
    </row>
    <row r="855" spans="1:12" ht="16.5" thickBot="1" x14ac:dyDescent="0.3">
      <c r="A855" s="254">
        <v>801000.1</v>
      </c>
      <c r="B855" s="57" t="s">
        <v>1</v>
      </c>
      <c r="C855" s="14">
        <v>180</v>
      </c>
      <c r="D855" s="83">
        <v>244</v>
      </c>
      <c r="E855" s="83">
        <f t="shared" si="209"/>
        <v>331.84000000000003</v>
      </c>
      <c r="F855" s="172">
        <f t="shared" si="200"/>
        <v>447.98400000000009</v>
      </c>
      <c r="G855" s="227">
        <v>537.29999999999995</v>
      </c>
      <c r="H855" s="172">
        <f t="shared" si="208"/>
        <v>627.02909999999997</v>
      </c>
      <c r="I855" s="170">
        <f t="shared" si="210"/>
        <v>714.65295629820048</v>
      </c>
      <c r="J855" s="170">
        <f t="shared" si="211"/>
        <v>834</v>
      </c>
      <c r="K855" s="107" t="s">
        <v>815</v>
      </c>
      <c r="L855" s="198"/>
    </row>
    <row r="856" spans="1:12" ht="16.5" thickBot="1" x14ac:dyDescent="0.3">
      <c r="A856" s="254">
        <v>801000.2</v>
      </c>
      <c r="B856" s="57" t="s">
        <v>1</v>
      </c>
      <c r="C856" s="14">
        <v>180</v>
      </c>
      <c r="D856" s="83">
        <v>244</v>
      </c>
      <c r="E856" s="83">
        <f t="shared" si="209"/>
        <v>331.84000000000003</v>
      </c>
      <c r="F856" s="172">
        <f t="shared" si="200"/>
        <v>447.98400000000009</v>
      </c>
      <c r="G856" s="227">
        <v>537.29999999999995</v>
      </c>
      <c r="H856" s="172">
        <f t="shared" si="208"/>
        <v>627.02909999999997</v>
      </c>
      <c r="I856" s="170">
        <f t="shared" si="210"/>
        <v>714.65295629820048</v>
      </c>
      <c r="J856" s="170">
        <f t="shared" si="211"/>
        <v>834</v>
      </c>
      <c r="K856" s="107" t="s">
        <v>816</v>
      </c>
      <c r="L856" s="198"/>
    </row>
    <row r="857" spans="1:12" ht="27.75" thickBot="1" x14ac:dyDescent="0.3">
      <c r="A857" s="254">
        <v>801000.3</v>
      </c>
      <c r="B857" s="57" t="s">
        <v>1</v>
      </c>
      <c r="C857" s="14">
        <v>180</v>
      </c>
      <c r="D857" s="83">
        <v>244</v>
      </c>
      <c r="E857" s="83">
        <f t="shared" si="209"/>
        <v>331.84000000000003</v>
      </c>
      <c r="F857" s="172">
        <f t="shared" si="200"/>
        <v>447.98400000000009</v>
      </c>
      <c r="G857" s="227">
        <v>537.29999999999995</v>
      </c>
      <c r="H857" s="172">
        <f t="shared" si="208"/>
        <v>627.02909999999997</v>
      </c>
      <c r="I857" s="170">
        <f t="shared" si="210"/>
        <v>714.65295629820048</v>
      </c>
      <c r="J857" s="170">
        <f t="shared" si="211"/>
        <v>834</v>
      </c>
      <c r="K857" s="107" t="s">
        <v>817</v>
      </c>
      <c r="L857" s="198"/>
    </row>
    <row r="858" spans="1:12" ht="16.5" thickBot="1" x14ac:dyDescent="0.3">
      <c r="A858" s="254">
        <v>801000.4</v>
      </c>
      <c r="B858" s="57" t="s">
        <v>1</v>
      </c>
      <c r="C858" s="14">
        <v>180</v>
      </c>
      <c r="D858" s="83">
        <v>244</v>
      </c>
      <c r="E858" s="83">
        <f t="shared" si="209"/>
        <v>331.84000000000003</v>
      </c>
      <c r="F858" s="172">
        <f t="shared" si="200"/>
        <v>447.98400000000009</v>
      </c>
      <c r="G858" s="227">
        <v>537.29999999999995</v>
      </c>
      <c r="H858" s="172">
        <f t="shared" si="208"/>
        <v>627.02909999999997</v>
      </c>
      <c r="I858" s="170">
        <f t="shared" si="210"/>
        <v>714.65295629820048</v>
      </c>
      <c r="J858" s="170">
        <f t="shared" si="211"/>
        <v>834</v>
      </c>
      <c r="K858" s="107" t="s">
        <v>818</v>
      </c>
      <c r="L858" s="198"/>
    </row>
    <row r="859" spans="1:12" ht="16.5" thickBot="1" x14ac:dyDescent="0.3">
      <c r="A859" s="254">
        <v>801040</v>
      </c>
      <c r="B859" s="57" t="s">
        <v>1</v>
      </c>
      <c r="C859" s="14">
        <v>180</v>
      </c>
      <c r="D859" s="83">
        <v>244</v>
      </c>
      <c r="E859" s="83">
        <f t="shared" si="209"/>
        <v>331.84000000000003</v>
      </c>
      <c r="F859" s="172">
        <f t="shared" si="200"/>
        <v>447.98400000000009</v>
      </c>
      <c r="G859" s="227">
        <v>537.29999999999995</v>
      </c>
      <c r="H859" s="172">
        <f t="shared" si="208"/>
        <v>627.02909999999997</v>
      </c>
      <c r="I859" s="170">
        <f t="shared" si="210"/>
        <v>714.65295629820048</v>
      </c>
      <c r="J859" s="170">
        <f t="shared" si="211"/>
        <v>834</v>
      </c>
      <c r="K859" s="107" t="s">
        <v>819</v>
      </c>
      <c r="L859" s="198"/>
    </row>
    <row r="860" spans="1:12" ht="16.5" thickBot="1" x14ac:dyDescent="0.3">
      <c r="A860" s="254">
        <v>801090</v>
      </c>
      <c r="B860" s="57" t="s">
        <v>1</v>
      </c>
      <c r="C860" s="14">
        <v>180</v>
      </c>
      <c r="D860" s="83">
        <v>244</v>
      </c>
      <c r="E860" s="83">
        <f t="shared" si="209"/>
        <v>331.84000000000003</v>
      </c>
      <c r="F860" s="172">
        <f t="shared" si="200"/>
        <v>447.98400000000009</v>
      </c>
      <c r="G860" s="227">
        <v>537.29999999999995</v>
      </c>
      <c r="H860" s="172">
        <f t="shared" si="208"/>
        <v>627.02909999999997</v>
      </c>
      <c r="I860" s="170">
        <f t="shared" si="210"/>
        <v>714.65295629820048</v>
      </c>
      <c r="J860" s="170">
        <f t="shared" si="211"/>
        <v>834</v>
      </c>
      <c r="K860" s="107" t="s">
        <v>820</v>
      </c>
      <c r="L860" s="198"/>
    </row>
    <row r="861" spans="1:12" ht="27.75" thickBot="1" x14ac:dyDescent="0.3">
      <c r="A861" s="254">
        <v>802100.1</v>
      </c>
      <c r="B861" s="57" t="s">
        <v>1</v>
      </c>
      <c r="C861" s="14">
        <v>180</v>
      </c>
      <c r="D861" s="83">
        <v>244</v>
      </c>
      <c r="E861" s="83">
        <f t="shared" si="209"/>
        <v>331.84000000000003</v>
      </c>
      <c r="F861" s="172">
        <f t="shared" si="200"/>
        <v>447.98400000000009</v>
      </c>
      <c r="G861" s="227">
        <v>537.29999999999995</v>
      </c>
      <c r="H861" s="172">
        <f t="shared" si="208"/>
        <v>627.02909999999997</v>
      </c>
      <c r="I861" s="170">
        <f t="shared" si="210"/>
        <v>714.65295629820048</v>
      </c>
      <c r="J861" s="170">
        <f t="shared" si="211"/>
        <v>834</v>
      </c>
      <c r="K861" s="107" t="s">
        <v>821</v>
      </c>
      <c r="L861" s="198"/>
    </row>
    <row r="862" spans="1:12" ht="16.5" thickBot="1" x14ac:dyDescent="0.3">
      <c r="A862" s="254">
        <v>802100.2</v>
      </c>
      <c r="B862" s="57" t="s">
        <v>1</v>
      </c>
      <c r="C862" s="14">
        <v>180</v>
      </c>
      <c r="D862" s="83">
        <v>244</v>
      </c>
      <c r="E862" s="83">
        <f t="shared" si="209"/>
        <v>331.84000000000003</v>
      </c>
      <c r="F862" s="172">
        <f t="shared" si="200"/>
        <v>447.98400000000009</v>
      </c>
      <c r="G862" s="227">
        <v>537.29999999999995</v>
      </c>
      <c r="H862" s="172">
        <f t="shared" si="208"/>
        <v>627.02909999999997</v>
      </c>
      <c r="I862" s="170">
        <f t="shared" si="210"/>
        <v>714.65295629820048</v>
      </c>
      <c r="J862" s="170">
        <f t="shared" si="211"/>
        <v>834</v>
      </c>
      <c r="K862" s="107" t="s">
        <v>822</v>
      </c>
      <c r="L862" s="198"/>
    </row>
    <row r="863" spans="1:12" ht="16.5" thickBot="1" x14ac:dyDescent="0.3">
      <c r="A863" s="254">
        <v>803200</v>
      </c>
      <c r="B863" s="57" t="s">
        <v>1</v>
      </c>
      <c r="C863" s="14">
        <v>180</v>
      </c>
      <c r="D863" s="83">
        <v>244</v>
      </c>
      <c r="E863" s="83">
        <f t="shared" si="209"/>
        <v>331.84000000000003</v>
      </c>
      <c r="F863" s="172">
        <f t="shared" si="200"/>
        <v>447.98400000000009</v>
      </c>
      <c r="G863" s="227">
        <v>537.29999999999995</v>
      </c>
      <c r="H863" s="172">
        <f t="shared" si="208"/>
        <v>627.02909999999997</v>
      </c>
      <c r="I863" s="170">
        <f t="shared" si="210"/>
        <v>714.65295629820048</v>
      </c>
      <c r="J863" s="170">
        <f t="shared" si="211"/>
        <v>834</v>
      </c>
      <c r="K863" s="107" t="s">
        <v>823</v>
      </c>
      <c r="L863" s="198"/>
    </row>
    <row r="864" spans="1:12" ht="16.5" thickBot="1" x14ac:dyDescent="0.3">
      <c r="A864" s="254">
        <v>809000.1</v>
      </c>
      <c r="B864" s="57" t="s">
        <v>1</v>
      </c>
      <c r="C864" s="14">
        <v>180</v>
      </c>
      <c r="D864" s="83">
        <v>244</v>
      </c>
      <c r="E864" s="83">
        <f t="shared" si="209"/>
        <v>331.84000000000003</v>
      </c>
      <c r="F864" s="172">
        <f t="shared" si="200"/>
        <v>447.98400000000009</v>
      </c>
      <c r="G864" s="227">
        <v>537.29999999999995</v>
      </c>
      <c r="H864" s="172">
        <f t="shared" si="208"/>
        <v>627.02909999999997</v>
      </c>
      <c r="I864" s="170">
        <f t="shared" si="210"/>
        <v>714.65295629820048</v>
      </c>
      <c r="J864" s="170">
        <f t="shared" si="211"/>
        <v>834</v>
      </c>
      <c r="K864" s="107" t="s">
        <v>824</v>
      </c>
      <c r="L864" s="198"/>
    </row>
    <row r="865" spans="1:14" ht="16.5" thickBot="1" x14ac:dyDescent="0.3">
      <c r="A865" s="254">
        <v>809000.2</v>
      </c>
      <c r="B865" s="57" t="s">
        <v>1</v>
      </c>
      <c r="C865" s="14">
        <v>180</v>
      </c>
      <c r="D865" s="83">
        <v>244</v>
      </c>
      <c r="E865" s="83">
        <f t="shared" si="209"/>
        <v>331.84000000000003</v>
      </c>
      <c r="F865" s="172">
        <f t="shared" si="200"/>
        <v>447.98400000000009</v>
      </c>
      <c r="G865" s="227">
        <v>537.29999999999995</v>
      </c>
      <c r="H865" s="172">
        <f t="shared" si="208"/>
        <v>627.02909999999997</v>
      </c>
      <c r="I865" s="170">
        <f t="shared" si="210"/>
        <v>714.65295629820048</v>
      </c>
      <c r="J865" s="170">
        <f t="shared" si="211"/>
        <v>834</v>
      </c>
      <c r="K865" s="107" t="s">
        <v>825</v>
      </c>
      <c r="L865" s="198"/>
    </row>
    <row r="866" spans="1:14" ht="16.5" thickBot="1" x14ac:dyDescent="0.3">
      <c r="A866" s="254">
        <v>809000.3</v>
      </c>
      <c r="B866" s="57" t="s">
        <v>1</v>
      </c>
      <c r="C866" s="14">
        <v>180</v>
      </c>
      <c r="D866" s="83">
        <v>244</v>
      </c>
      <c r="E866" s="83">
        <f t="shared" si="209"/>
        <v>331.84000000000003</v>
      </c>
      <c r="F866" s="172">
        <f t="shared" si="200"/>
        <v>447.98400000000009</v>
      </c>
      <c r="G866" s="227">
        <v>537.29999999999995</v>
      </c>
      <c r="H866" s="172">
        <f t="shared" si="208"/>
        <v>627.02909999999997</v>
      </c>
      <c r="I866" s="170">
        <f t="shared" si="210"/>
        <v>714.65295629820048</v>
      </c>
      <c r="J866" s="170">
        <f t="shared" si="211"/>
        <v>834</v>
      </c>
      <c r="K866" s="107" t="s">
        <v>826</v>
      </c>
      <c r="L866" s="198"/>
    </row>
    <row r="867" spans="1:14" ht="16.5" thickBot="1" x14ac:dyDescent="0.3">
      <c r="A867" s="254">
        <v>809000.4</v>
      </c>
      <c r="B867" s="57" t="s">
        <v>1</v>
      </c>
      <c r="C867" s="14">
        <v>180</v>
      </c>
      <c r="D867" s="83">
        <v>244</v>
      </c>
      <c r="E867" s="83">
        <f t="shared" si="209"/>
        <v>331.84000000000003</v>
      </c>
      <c r="F867" s="172">
        <f t="shared" si="200"/>
        <v>447.98400000000009</v>
      </c>
      <c r="G867" s="227">
        <v>537.29999999999995</v>
      </c>
      <c r="H867" s="172">
        <f t="shared" si="208"/>
        <v>627.02909999999997</v>
      </c>
      <c r="I867" s="170">
        <f t="shared" si="210"/>
        <v>714.65295629820048</v>
      </c>
      <c r="J867" s="170">
        <f t="shared" si="211"/>
        <v>834</v>
      </c>
      <c r="K867" s="107" t="s">
        <v>827</v>
      </c>
      <c r="L867" s="198"/>
    </row>
    <row r="868" spans="1:14" ht="16.5" thickBot="1" x14ac:dyDescent="0.3">
      <c r="A868" s="254">
        <v>809000.5</v>
      </c>
      <c r="B868" s="57" t="s">
        <v>1</v>
      </c>
      <c r="C868" s="14">
        <v>180</v>
      </c>
      <c r="D868" s="83">
        <v>244</v>
      </c>
      <c r="E868" s="83">
        <f t="shared" si="209"/>
        <v>331.84000000000003</v>
      </c>
      <c r="F868" s="172">
        <f t="shared" si="200"/>
        <v>447.98400000000009</v>
      </c>
      <c r="G868" s="227">
        <v>537.29999999999995</v>
      </c>
      <c r="H868" s="172">
        <f t="shared" si="208"/>
        <v>627.02909999999997</v>
      </c>
      <c r="I868" s="170">
        <f t="shared" si="210"/>
        <v>714.65295629820048</v>
      </c>
      <c r="J868" s="170">
        <f t="shared" si="211"/>
        <v>834</v>
      </c>
      <c r="K868" s="107" t="s">
        <v>828</v>
      </c>
      <c r="L868" s="198"/>
    </row>
    <row r="869" spans="1:14" ht="54.75" thickBot="1" x14ac:dyDescent="0.3">
      <c r="A869" s="254">
        <v>809050</v>
      </c>
      <c r="B869" s="57" t="s">
        <v>59</v>
      </c>
      <c r="C869" s="14">
        <v>180</v>
      </c>
      <c r="D869" s="83">
        <v>244</v>
      </c>
      <c r="E869" s="83">
        <f t="shared" si="209"/>
        <v>331.84000000000003</v>
      </c>
      <c r="F869" s="172">
        <f t="shared" si="200"/>
        <v>447.98400000000009</v>
      </c>
      <c r="G869" s="227">
        <v>537.29999999999995</v>
      </c>
      <c r="H869" s="172">
        <f t="shared" si="208"/>
        <v>627.02909999999997</v>
      </c>
      <c r="I869" s="170">
        <f t="shared" si="210"/>
        <v>714.65295629820048</v>
      </c>
      <c r="J869" s="170">
        <f t="shared" si="211"/>
        <v>834</v>
      </c>
      <c r="K869" s="118" t="s">
        <v>829</v>
      </c>
      <c r="L869" s="198"/>
    </row>
    <row r="870" spans="1:14" ht="33" customHeight="1" thickBot="1" x14ac:dyDescent="0.3">
      <c r="A870" s="73" t="s">
        <v>830</v>
      </c>
      <c r="B870" s="76"/>
      <c r="C870" s="4"/>
      <c r="D870" s="45"/>
      <c r="E870" s="45"/>
      <c r="F870" s="45"/>
      <c r="G870" s="45"/>
      <c r="H870" s="45"/>
      <c r="I870" s="45"/>
      <c r="J870" s="45"/>
      <c r="K870" s="72"/>
      <c r="L870" s="198"/>
    </row>
    <row r="871" spans="1:14" ht="16.5" thickBot="1" x14ac:dyDescent="0.3">
      <c r="A871" s="254">
        <v>851110</v>
      </c>
      <c r="B871" s="57" t="s">
        <v>1</v>
      </c>
      <c r="C871" s="14">
        <v>180</v>
      </c>
      <c r="D871" s="56">
        <v>244</v>
      </c>
      <c r="E871" s="56">
        <f t="shared" si="209"/>
        <v>331.84000000000003</v>
      </c>
      <c r="F871" s="172">
        <f t="shared" si="200"/>
        <v>447.98400000000009</v>
      </c>
      <c r="G871" s="227">
        <v>537.29999999999995</v>
      </c>
      <c r="H871" s="172">
        <f t="shared" si="208"/>
        <v>627.02909999999997</v>
      </c>
      <c r="I871" s="170">
        <f t="shared" ref="I871:I884" si="212">+J871/1.167</f>
        <v>714.65295629820048</v>
      </c>
      <c r="J871" s="170">
        <f t="shared" ref="J871:J884" si="213">ROUND(+H871*(1+$J$1),0)</f>
        <v>834</v>
      </c>
      <c r="K871" s="107" t="s">
        <v>831</v>
      </c>
      <c r="L871" s="198"/>
    </row>
    <row r="872" spans="1:14" ht="16.5" thickBot="1" x14ac:dyDescent="0.3">
      <c r="A872" s="254">
        <v>851120.1</v>
      </c>
      <c r="B872" s="57" t="s">
        <v>1</v>
      </c>
      <c r="C872" s="55">
        <v>160</v>
      </c>
      <c r="D872" s="87">
        <v>218</v>
      </c>
      <c r="E872" s="87">
        <f t="shared" si="209"/>
        <v>296.48</v>
      </c>
      <c r="F872" s="178">
        <v>630</v>
      </c>
      <c r="G872" s="233">
        <v>756.6</v>
      </c>
      <c r="H872" s="178">
        <f t="shared" si="208"/>
        <v>882.95220000000006</v>
      </c>
      <c r="I872" s="170">
        <f t="shared" si="212"/>
        <v>1005.9982862039417</v>
      </c>
      <c r="J872" s="170">
        <f t="shared" si="213"/>
        <v>1174</v>
      </c>
      <c r="K872" s="107" t="s">
        <v>832</v>
      </c>
      <c r="L872" s="198"/>
      <c r="N872" s="52"/>
    </row>
    <row r="873" spans="1:14" ht="81.75" thickBot="1" x14ac:dyDescent="0.3">
      <c r="A873" s="254">
        <v>851120.2</v>
      </c>
      <c r="B873" s="57" t="s">
        <v>1</v>
      </c>
      <c r="C873" s="14">
        <v>180</v>
      </c>
      <c r="D873" s="83">
        <v>244</v>
      </c>
      <c r="E873" s="83">
        <f t="shared" si="209"/>
        <v>331.84000000000003</v>
      </c>
      <c r="F873" s="172">
        <f t="shared" si="200"/>
        <v>447.98400000000009</v>
      </c>
      <c r="G873" s="227">
        <v>537.29999999999995</v>
      </c>
      <c r="H873" s="172">
        <f t="shared" si="208"/>
        <v>627.02909999999997</v>
      </c>
      <c r="I873" s="170">
        <f t="shared" si="212"/>
        <v>714.65295629820048</v>
      </c>
      <c r="J873" s="170">
        <f t="shared" si="213"/>
        <v>834</v>
      </c>
      <c r="K873" s="107" t="s">
        <v>833</v>
      </c>
      <c r="L873" s="198"/>
    </row>
    <row r="874" spans="1:14" ht="27.75" thickBot="1" x14ac:dyDescent="0.3">
      <c r="A874" s="254" t="s">
        <v>1007</v>
      </c>
      <c r="B874" s="57" t="s">
        <v>1</v>
      </c>
      <c r="C874" s="55">
        <v>160</v>
      </c>
      <c r="D874" s="87">
        <v>218</v>
      </c>
      <c r="E874" s="87">
        <f t="shared" si="209"/>
        <v>296.48</v>
      </c>
      <c r="F874" s="178">
        <f t="shared" si="200"/>
        <v>400.24800000000005</v>
      </c>
      <c r="G874" s="233">
        <v>479.9</v>
      </c>
      <c r="H874" s="178">
        <f t="shared" si="208"/>
        <v>560.04330000000004</v>
      </c>
      <c r="I874" s="170">
        <f t="shared" si="212"/>
        <v>638.38903170522701</v>
      </c>
      <c r="J874" s="170">
        <f t="shared" si="213"/>
        <v>745</v>
      </c>
      <c r="K874" s="107" t="s">
        <v>834</v>
      </c>
      <c r="L874" s="198"/>
    </row>
    <row r="875" spans="1:14" ht="16.5" thickBot="1" x14ac:dyDescent="0.3">
      <c r="A875" s="254">
        <v>851190</v>
      </c>
      <c r="B875" s="57" t="s">
        <v>1</v>
      </c>
      <c r="C875" s="14">
        <v>180</v>
      </c>
      <c r="D875" s="83">
        <v>244</v>
      </c>
      <c r="E875" s="83">
        <f t="shared" si="209"/>
        <v>331.84000000000003</v>
      </c>
      <c r="F875" s="172">
        <f t="shared" si="200"/>
        <v>447.98400000000009</v>
      </c>
      <c r="G875" s="227">
        <v>537.29999999999995</v>
      </c>
      <c r="H875" s="172">
        <f t="shared" si="208"/>
        <v>627.02909999999997</v>
      </c>
      <c r="I875" s="170">
        <f t="shared" si="212"/>
        <v>714.65295629820048</v>
      </c>
      <c r="J875" s="170">
        <f t="shared" si="213"/>
        <v>834</v>
      </c>
      <c r="K875" s="107" t="s">
        <v>835</v>
      </c>
      <c r="L875" s="198"/>
    </row>
    <row r="876" spans="1:14" ht="122.25" thickBot="1" x14ac:dyDescent="0.3">
      <c r="A876" s="254">
        <v>851210</v>
      </c>
      <c r="B876" s="57" t="s">
        <v>1</v>
      </c>
      <c r="C876" s="14">
        <v>180</v>
      </c>
      <c r="D876" s="83">
        <v>244</v>
      </c>
      <c r="E876" s="83">
        <f t="shared" si="209"/>
        <v>331.84000000000003</v>
      </c>
      <c r="F876" s="172">
        <f t="shared" si="200"/>
        <v>447.98400000000009</v>
      </c>
      <c r="G876" s="227">
        <v>537.29999999999995</v>
      </c>
      <c r="H876" s="172">
        <f t="shared" si="208"/>
        <v>627.02909999999997</v>
      </c>
      <c r="I876" s="170">
        <f t="shared" si="212"/>
        <v>714.65295629820048</v>
      </c>
      <c r="J876" s="170">
        <f t="shared" si="213"/>
        <v>834</v>
      </c>
      <c r="K876" s="107" t="s">
        <v>836</v>
      </c>
      <c r="L876" s="198"/>
    </row>
    <row r="877" spans="1:14" ht="81.75" thickBot="1" x14ac:dyDescent="0.3">
      <c r="A877" s="254">
        <v>851220</v>
      </c>
      <c r="B877" s="57" t="s">
        <v>1</v>
      </c>
      <c r="C877" s="14">
        <v>180</v>
      </c>
      <c r="D877" s="83">
        <v>244</v>
      </c>
      <c r="E877" s="83">
        <f t="shared" si="209"/>
        <v>331.84000000000003</v>
      </c>
      <c r="F877" s="172">
        <f t="shared" si="200"/>
        <v>447.98400000000009</v>
      </c>
      <c r="G877" s="227">
        <v>537.29999999999995</v>
      </c>
      <c r="H877" s="172">
        <f t="shared" si="208"/>
        <v>627.02909999999997</v>
      </c>
      <c r="I877" s="170">
        <f t="shared" si="212"/>
        <v>714.65295629820048</v>
      </c>
      <c r="J877" s="170">
        <f t="shared" si="213"/>
        <v>834</v>
      </c>
      <c r="K877" s="107" t="s">
        <v>837</v>
      </c>
      <c r="L877" s="198"/>
    </row>
    <row r="878" spans="1:14" ht="16.5" thickBot="1" x14ac:dyDescent="0.3">
      <c r="A878" s="254">
        <v>851300</v>
      </c>
      <c r="B878" s="57" t="s">
        <v>1</v>
      </c>
      <c r="C878" s="14">
        <v>180</v>
      </c>
      <c r="D878" s="87">
        <v>244</v>
      </c>
      <c r="E878" s="87">
        <f t="shared" si="209"/>
        <v>331.84000000000003</v>
      </c>
      <c r="F878" s="178">
        <f t="shared" si="200"/>
        <v>447.98400000000009</v>
      </c>
      <c r="G878" s="233">
        <v>537.29999999999995</v>
      </c>
      <c r="H878" s="178">
        <f t="shared" si="208"/>
        <v>627.02909999999997</v>
      </c>
      <c r="I878" s="170">
        <f t="shared" si="212"/>
        <v>714.65295629820048</v>
      </c>
      <c r="J878" s="170">
        <f t="shared" si="213"/>
        <v>834</v>
      </c>
      <c r="K878" s="107" t="s">
        <v>838</v>
      </c>
      <c r="L878" s="198"/>
    </row>
    <row r="879" spans="1:14" ht="16.5" thickBot="1" x14ac:dyDescent="0.3">
      <c r="A879" s="254">
        <v>851300.1</v>
      </c>
      <c r="B879" s="57" t="s">
        <v>1</v>
      </c>
      <c r="C879" s="14">
        <v>180</v>
      </c>
      <c r="D879" s="83">
        <v>244</v>
      </c>
      <c r="E879" s="83">
        <f t="shared" si="209"/>
        <v>331.84000000000003</v>
      </c>
      <c r="F879" s="172">
        <f t="shared" si="200"/>
        <v>447.98400000000009</v>
      </c>
      <c r="G879" s="227">
        <v>537.29999999999995</v>
      </c>
      <c r="H879" s="172">
        <f t="shared" si="208"/>
        <v>627.02909999999997</v>
      </c>
      <c r="I879" s="170">
        <f t="shared" si="212"/>
        <v>714.65295629820048</v>
      </c>
      <c r="J879" s="170">
        <f t="shared" si="213"/>
        <v>834</v>
      </c>
      <c r="K879" s="107" t="s">
        <v>839</v>
      </c>
      <c r="L879" s="198"/>
    </row>
    <row r="880" spans="1:14" ht="81.75" thickBot="1" x14ac:dyDescent="0.3">
      <c r="A880" s="254">
        <v>851400</v>
      </c>
      <c r="B880" s="57" t="s">
        <v>1</v>
      </c>
      <c r="C880" s="14">
        <v>180</v>
      </c>
      <c r="D880" s="83">
        <v>244</v>
      </c>
      <c r="E880" s="83">
        <f t="shared" si="209"/>
        <v>331.84000000000003</v>
      </c>
      <c r="F880" s="172">
        <f t="shared" si="200"/>
        <v>447.98400000000009</v>
      </c>
      <c r="G880" s="227">
        <v>537.29999999999995</v>
      </c>
      <c r="H880" s="172">
        <f t="shared" si="208"/>
        <v>627.02909999999997</v>
      </c>
      <c r="I880" s="170">
        <f t="shared" si="212"/>
        <v>714.65295629820048</v>
      </c>
      <c r="J880" s="170">
        <f t="shared" si="213"/>
        <v>834</v>
      </c>
      <c r="K880" s="107" t="s">
        <v>840</v>
      </c>
      <c r="L880" s="198"/>
    </row>
    <row r="881" spans="1:12" ht="95.25" thickBot="1" x14ac:dyDescent="0.3">
      <c r="A881" s="254">
        <v>851500</v>
      </c>
      <c r="B881" s="57" t="s">
        <v>1</v>
      </c>
      <c r="C881" s="14">
        <v>180</v>
      </c>
      <c r="D881" s="83">
        <v>244</v>
      </c>
      <c r="E881" s="83">
        <f t="shared" si="209"/>
        <v>331.84000000000003</v>
      </c>
      <c r="F881" s="172">
        <f t="shared" ref="F881:F945" si="214">+E881*$F$1</f>
        <v>447.98400000000009</v>
      </c>
      <c r="G881" s="227">
        <v>537.29999999999995</v>
      </c>
      <c r="H881" s="172">
        <f t="shared" si="208"/>
        <v>627.02909999999997</v>
      </c>
      <c r="I881" s="170">
        <f t="shared" si="212"/>
        <v>714.65295629820048</v>
      </c>
      <c r="J881" s="170">
        <f t="shared" si="213"/>
        <v>834</v>
      </c>
      <c r="K881" s="107" t="s">
        <v>841</v>
      </c>
      <c r="L881" s="198"/>
    </row>
    <row r="882" spans="1:12" ht="16.5" thickBot="1" x14ac:dyDescent="0.3">
      <c r="A882" s="254">
        <v>851600</v>
      </c>
      <c r="B882" s="57" t="s">
        <v>1</v>
      </c>
      <c r="C882" s="14">
        <v>180</v>
      </c>
      <c r="D882" s="83">
        <v>244</v>
      </c>
      <c r="E882" s="83">
        <f t="shared" si="209"/>
        <v>331.84000000000003</v>
      </c>
      <c r="F882" s="172">
        <f t="shared" si="214"/>
        <v>447.98400000000009</v>
      </c>
      <c r="G882" s="227">
        <v>537.29999999999995</v>
      </c>
      <c r="H882" s="172">
        <f t="shared" si="208"/>
        <v>627.02909999999997</v>
      </c>
      <c r="I882" s="170">
        <f t="shared" si="212"/>
        <v>714.65295629820048</v>
      </c>
      <c r="J882" s="170">
        <f t="shared" si="213"/>
        <v>834</v>
      </c>
      <c r="K882" s="107" t="s">
        <v>842</v>
      </c>
      <c r="L882" s="198"/>
    </row>
    <row r="883" spans="1:12" ht="27.75" thickBot="1" x14ac:dyDescent="0.3">
      <c r="A883" s="254">
        <v>851700.1</v>
      </c>
      <c r="B883" s="57" t="s">
        <v>1</v>
      </c>
      <c r="C883" s="14">
        <v>0</v>
      </c>
      <c r="D883" s="87">
        <f>+C883*$D$1</f>
        <v>0</v>
      </c>
      <c r="E883" s="87">
        <f t="shared" si="209"/>
        <v>0</v>
      </c>
      <c r="F883" s="178">
        <f t="shared" si="214"/>
        <v>0</v>
      </c>
      <c r="G883" s="233">
        <v>0</v>
      </c>
      <c r="H883" s="178">
        <f t="shared" si="208"/>
        <v>0</v>
      </c>
      <c r="I883" s="170">
        <f t="shared" si="212"/>
        <v>0</v>
      </c>
      <c r="J883" s="170">
        <f t="shared" si="213"/>
        <v>0</v>
      </c>
      <c r="K883" s="107" t="s">
        <v>843</v>
      </c>
      <c r="L883" s="198"/>
    </row>
    <row r="884" spans="1:12" ht="27.75" thickBot="1" x14ac:dyDescent="0.3">
      <c r="A884" s="254">
        <v>851900</v>
      </c>
      <c r="B884" s="57" t="s">
        <v>1</v>
      </c>
      <c r="C884" s="14">
        <v>180</v>
      </c>
      <c r="D884" s="83">
        <v>244</v>
      </c>
      <c r="E884" s="83">
        <f t="shared" si="209"/>
        <v>331.84000000000003</v>
      </c>
      <c r="F884" s="172">
        <f t="shared" si="214"/>
        <v>447.98400000000009</v>
      </c>
      <c r="G884" s="227">
        <v>537.29999999999995</v>
      </c>
      <c r="H884" s="172">
        <f t="shared" si="208"/>
        <v>627.02909999999997</v>
      </c>
      <c r="I884" s="170">
        <f t="shared" si="212"/>
        <v>714.65295629820048</v>
      </c>
      <c r="J884" s="170">
        <f t="shared" si="213"/>
        <v>834</v>
      </c>
      <c r="K884" s="107" t="s">
        <v>844</v>
      </c>
      <c r="L884" s="198"/>
    </row>
    <row r="885" spans="1:12" ht="17.25" customHeight="1" thickBot="1" x14ac:dyDescent="0.3">
      <c r="A885" s="73" t="s">
        <v>845</v>
      </c>
      <c r="B885" s="76"/>
      <c r="C885" s="4"/>
      <c r="D885" s="45"/>
      <c r="E885" s="45"/>
      <c r="F885" s="45"/>
      <c r="G885" s="45"/>
      <c r="H885" s="45"/>
      <c r="I885" s="45"/>
      <c r="J885" s="45"/>
      <c r="K885" s="72"/>
      <c r="L885" s="198"/>
    </row>
    <row r="886" spans="1:12" ht="68.25" thickBot="1" x14ac:dyDescent="0.3">
      <c r="A886" s="254">
        <v>900010.1</v>
      </c>
      <c r="B886" s="66" t="s">
        <v>1</v>
      </c>
      <c r="C886" s="14">
        <v>180</v>
      </c>
      <c r="D886" s="56">
        <v>244</v>
      </c>
      <c r="E886" s="56">
        <f t="shared" si="209"/>
        <v>331.84000000000003</v>
      </c>
      <c r="F886" s="56">
        <f t="shared" si="214"/>
        <v>447.98400000000009</v>
      </c>
      <c r="G886" s="232">
        <v>537.29999999999995</v>
      </c>
      <c r="H886" s="177">
        <f t="shared" si="208"/>
        <v>627.02909999999997</v>
      </c>
      <c r="I886" s="170">
        <f t="shared" ref="I886:I889" si="215">+J886/1.167</f>
        <v>714.65295629820048</v>
      </c>
      <c r="J886" s="170">
        <f t="shared" ref="J886:J889" si="216">ROUND(+H886*(1+$J$1),0)</f>
        <v>834</v>
      </c>
      <c r="K886" s="108" t="s">
        <v>846</v>
      </c>
      <c r="L886" s="198"/>
    </row>
    <row r="887" spans="1:12" ht="54.75" thickBot="1" x14ac:dyDescent="0.3">
      <c r="A887" s="254">
        <v>900010.2</v>
      </c>
      <c r="B887" s="67" t="s">
        <v>1</v>
      </c>
      <c r="C887" s="14">
        <v>180</v>
      </c>
      <c r="D887" s="83">
        <v>244</v>
      </c>
      <c r="E887" s="83">
        <f t="shared" si="209"/>
        <v>331.84000000000003</v>
      </c>
      <c r="F887" s="172">
        <f t="shared" si="214"/>
        <v>447.98400000000009</v>
      </c>
      <c r="G887" s="227">
        <v>537.29999999999995</v>
      </c>
      <c r="H887" s="172">
        <f t="shared" si="208"/>
        <v>627.02909999999997</v>
      </c>
      <c r="I887" s="170">
        <f t="shared" si="215"/>
        <v>714.65295629820048</v>
      </c>
      <c r="J887" s="170">
        <f t="shared" si="216"/>
        <v>834</v>
      </c>
      <c r="K887" s="93" t="s">
        <v>847</v>
      </c>
      <c r="L887" s="198"/>
    </row>
    <row r="888" spans="1:12" ht="27.75" thickBot="1" x14ac:dyDescent="0.3">
      <c r="A888" s="254">
        <v>900020</v>
      </c>
      <c r="B888" s="57" t="s">
        <v>1</v>
      </c>
      <c r="C888" s="14">
        <v>180</v>
      </c>
      <c r="D888" s="83">
        <v>244</v>
      </c>
      <c r="E888" s="83">
        <f t="shared" si="209"/>
        <v>331.84000000000003</v>
      </c>
      <c r="F888" s="172">
        <f t="shared" si="214"/>
        <v>447.98400000000009</v>
      </c>
      <c r="G888" s="227">
        <v>537.29999999999995</v>
      </c>
      <c r="H888" s="172">
        <f t="shared" si="208"/>
        <v>627.02909999999997</v>
      </c>
      <c r="I888" s="170">
        <f t="shared" si="215"/>
        <v>714.65295629820048</v>
      </c>
      <c r="J888" s="170">
        <f t="shared" si="216"/>
        <v>834</v>
      </c>
      <c r="K888" s="107" t="s">
        <v>848</v>
      </c>
      <c r="L888" s="198"/>
    </row>
    <row r="889" spans="1:12" ht="16.5" thickBot="1" x14ac:dyDescent="0.3">
      <c r="A889" s="253">
        <v>900090</v>
      </c>
      <c r="B889" s="66" t="s">
        <v>1</v>
      </c>
      <c r="C889" s="17">
        <v>180</v>
      </c>
      <c r="D889" s="150">
        <v>244</v>
      </c>
      <c r="E889" s="150"/>
      <c r="F889" s="176">
        <f t="shared" si="214"/>
        <v>0</v>
      </c>
      <c r="G889" s="231">
        <v>0</v>
      </c>
      <c r="H889" s="176">
        <f t="shared" si="208"/>
        <v>0</v>
      </c>
      <c r="I889" s="170">
        <f t="shared" si="215"/>
        <v>0</v>
      </c>
      <c r="J889" s="170">
        <f t="shared" si="216"/>
        <v>0</v>
      </c>
      <c r="K889" s="108" t="s">
        <v>849</v>
      </c>
      <c r="L889" s="198"/>
    </row>
    <row r="890" spans="1:12" ht="16.5" x14ac:dyDescent="0.25">
      <c r="A890" s="196" t="s">
        <v>1028</v>
      </c>
      <c r="B890" s="43"/>
      <c r="C890" s="27"/>
      <c r="D890" s="43"/>
      <c r="E890" s="43"/>
      <c r="F890" s="43"/>
      <c r="G890" s="43"/>
      <c r="H890" s="43"/>
      <c r="I890" s="43"/>
      <c r="J890" s="43"/>
      <c r="K890" s="197"/>
      <c r="L890" s="198"/>
    </row>
    <row r="891" spans="1:12" ht="17.25" thickBot="1" x14ac:dyDescent="0.3">
      <c r="A891" s="189" t="s">
        <v>1029</v>
      </c>
      <c r="B891" s="44"/>
      <c r="C891" s="9"/>
      <c r="D891" s="44"/>
      <c r="E891" s="44"/>
      <c r="F891" s="44"/>
      <c r="G891" s="44"/>
      <c r="H891" s="44"/>
      <c r="I891" s="44"/>
      <c r="J891" s="44"/>
      <c r="K891" s="210"/>
      <c r="L891" s="198"/>
    </row>
    <row r="892" spans="1:12" ht="16.5" thickBot="1" x14ac:dyDescent="0.3">
      <c r="A892" s="254">
        <v>713009.3</v>
      </c>
      <c r="B892" s="57" t="s">
        <v>1</v>
      </c>
      <c r="C892" s="26">
        <v>180</v>
      </c>
      <c r="D892" s="83">
        <v>244</v>
      </c>
      <c r="E892" s="83">
        <f t="shared" ref="E892:E937" si="217">+D892*1.36</f>
        <v>331.84000000000003</v>
      </c>
      <c r="F892" s="172">
        <f t="shared" si="214"/>
        <v>447.98400000000009</v>
      </c>
      <c r="G892" s="227">
        <v>537.29999999999995</v>
      </c>
      <c r="H892" s="172">
        <f t="shared" si="208"/>
        <v>627.02909999999997</v>
      </c>
      <c r="I892" s="170">
        <f t="shared" ref="I892:I901" si="218">+J892/1.167</f>
        <v>714.65295629820048</v>
      </c>
      <c r="J892" s="170">
        <f t="shared" ref="J892:J901" si="219">ROUND(+H892*(1+$J$1),0)</f>
        <v>834</v>
      </c>
      <c r="K892" s="107" t="s">
        <v>850</v>
      </c>
      <c r="L892" s="198"/>
    </row>
    <row r="893" spans="1:12" ht="27.75" thickBot="1" x14ac:dyDescent="0.3">
      <c r="A893" s="254">
        <v>921110</v>
      </c>
      <c r="B893" s="57" t="s">
        <v>1</v>
      </c>
      <c r="C893" s="14">
        <v>708</v>
      </c>
      <c r="D893" s="87">
        <v>960</v>
      </c>
      <c r="E893" s="87">
        <v>1305.9000000000001</v>
      </c>
      <c r="F893" s="178">
        <f t="shared" si="214"/>
        <v>1762.9650000000001</v>
      </c>
      <c r="G893" s="233">
        <v>2115.6999999999998</v>
      </c>
      <c r="H893" s="178">
        <f t="shared" si="208"/>
        <v>2469.0218999999997</v>
      </c>
      <c r="I893" s="170">
        <f t="shared" si="218"/>
        <v>2814.0531276778061</v>
      </c>
      <c r="J893" s="170">
        <f t="shared" si="219"/>
        <v>3284</v>
      </c>
      <c r="K893" s="107" t="s">
        <v>851</v>
      </c>
      <c r="L893" s="198"/>
    </row>
    <row r="894" spans="1:12" ht="27.75" thickBot="1" x14ac:dyDescent="0.3">
      <c r="A894" s="254">
        <v>921120</v>
      </c>
      <c r="B894" s="57" t="s">
        <v>1</v>
      </c>
      <c r="C894" s="14">
        <v>708</v>
      </c>
      <c r="D894" s="87">
        <v>960</v>
      </c>
      <c r="E894" s="87">
        <v>1305.9000000000001</v>
      </c>
      <c r="F894" s="178">
        <f t="shared" si="214"/>
        <v>1762.9650000000001</v>
      </c>
      <c r="G894" s="233">
        <v>2115.6999999999998</v>
      </c>
      <c r="H894" s="178">
        <f t="shared" si="208"/>
        <v>2469.0218999999997</v>
      </c>
      <c r="I894" s="170">
        <f t="shared" si="218"/>
        <v>2814.0531276778061</v>
      </c>
      <c r="J894" s="170">
        <f t="shared" si="219"/>
        <v>3284</v>
      </c>
      <c r="K894" s="107" t="s">
        <v>852</v>
      </c>
      <c r="L894" s="198"/>
    </row>
    <row r="895" spans="1:12" ht="16.5" thickBot="1" x14ac:dyDescent="0.3">
      <c r="A895" s="254">
        <v>921130</v>
      </c>
      <c r="B895" s="57" t="s">
        <v>1</v>
      </c>
      <c r="C895" s="14">
        <v>708</v>
      </c>
      <c r="D895" s="87">
        <v>960</v>
      </c>
      <c r="E895" s="87">
        <v>1305.9000000000001</v>
      </c>
      <c r="F895" s="178">
        <f t="shared" si="214"/>
        <v>1762.9650000000001</v>
      </c>
      <c r="G895" s="233">
        <v>2115.6999999999998</v>
      </c>
      <c r="H895" s="178">
        <f t="shared" si="208"/>
        <v>2469.0218999999997</v>
      </c>
      <c r="I895" s="170">
        <f t="shared" si="218"/>
        <v>2814.0531276778061</v>
      </c>
      <c r="J895" s="170">
        <f t="shared" si="219"/>
        <v>3284</v>
      </c>
      <c r="K895" s="107" t="s">
        <v>853</v>
      </c>
      <c r="L895" s="198"/>
    </row>
    <row r="896" spans="1:12" ht="27.75" thickBot="1" x14ac:dyDescent="0.3">
      <c r="A896" s="254">
        <v>921200.1</v>
      </c>
      <c r="B896" s="57" t="s">
        <v>393</v>
      </c>
      <c r="C896" s="14">
        <v>708</v>
      </c>
      <c r="D896" s="87">
        <v>960</v>
      </c>
      <c r="E896" s="87">
        <v>1305.9000000000001</v>
      </c>
      <c r="F896" s="178">
        <f t="shared" si="214"/>
        <v>1762.9650000000001</v>
      </c>
      <c r="G896" s="233">
        <v>2115.6999999999998</v>
      </c>
      <c r="H896" s="178">
        <f t="shared" si="208"/>
        <v>2469.0218999999997</v>
      </c>
      <c r="I896" s="170">
        <f t="shared" si="218"/>
        <v>2814.0531276778061</v>
      </c>
      <c r="J896" s="170">
        <f t="shared" si="219"/>
        <v>3284</v>
      </c>
      <c r="K896" s="107" t="s">
        <v>854</v>
      </c>
      <c r="L896" s="198"/>
    </row>
    <row r="897" spans="1:12" ht="27.75" thickBot="1" x14ac:dyDescent="0.3">
      <c r="A897" s="254">
        <v>921200.2</v>
      </c>
      <c r="B897" s="57" t="s">
        <v>767</v>
      </c>
      <c r="C897" s="14">
        <v>708</v>
      </c>
      <c r="D897" s="87">
        <v>960</v>
      </c>
      <c r="E897" s="87">
        <v>1305.9000000000001</v>
      </c>
      <c r="F897" s="178">
        <f t="shared" si="214"/>
        <v>1762.9650000000001</v>
      </c>
      <c r="G897" s="233">
        <v>2115.6999999999998</v>
      </c>
      <c r="H897" s="178">
        <f t="shared" si="208"/>
        <v>2469.0218999999997</v>
      </c>
      <c r="I897" s="170">
        <f t="shared" si="218"/>
        <v>2814.0531276778061</v>
      </c>
      <c r="J897" s="170">
        <f t="shared" si="219"/>
        <v>3284</v>
      </c>
      <c r="K897" s="107" t="s">
        <v>855</v>
      </c>
      <c r="L897" s="198"/>
    </row>
    <row r="898" spans="1:12" ht="16.5" thickBot="1" x14ac:dyDescent="0.3">
      <c r="A898" s="254">
        <v>921220</v>
      </c>
      <c r="B898" s="57" t="s">
        <v>139</v>
      </c>
      <c r="C898" s="14">
        <v>215</v>
      </c>
      <c r="D898" s="55">
        <v>290</v>
      </c>
      <c r="E898" s="87">
        <v>395</v>
      </c>
      <c r="F898" s="178">
        <f t="shared" si="214"/>
        <v>533.25</v>
      </c>
      <c r="G898" s="233">
        <v>639.20000000000005</v>
      </c>
      <c r="H898" s="178">
        <f t="shared" si="208"/>
        <v>745.94640000000004</v>
      </c>
      <c r="I898" s="170">
        <f t="shared" si="218"/>
        <v>850.04284490145665</v>
      </c>
      <c r="J898" s="170">
        <f t="shared" si="219"/>
        <v>992</v>
      </c>
      <c r="K898" s="107" t="s">
        <v>856</v>
      </c>
      <c r="L898" s="198"/>
    </row>
    <row r="899" spans="1:12" ht="16.5" thickBot="1" x14ac:dyDescent="0.3">
      <c r="A899" s="254">
        <v>921410</v>
      </c>
      <c r="B899" s="57" t="s">
        <v>59</v>
      </c>
      <c r="C899" s="14">
        <v>120</v>
      </c>
      <c r="D899" s="87">
        <v>165</v>
      </c>
      <c r="E899" s="87">
        <v>224.5</v>
      </c>
      <c r="F899" s="178">
        <f t="shared" si="214"/>
        <v>303.07500000000005</v>
      </c>
      <c r="G899" s="233">
        <v>363.3</v>
      </c>
      <c r="H899" s="178">
        <f t="shared" si="208"/>
        <v>423.97110000000004</v>
      </c>
      <c r="I899" s="170">
        <f t="shared" si="218"/>
        <v>483.29048843187661</v>
      </c>
      <c r="J899" s="170">
        <f t="shared" si="219"/>
        <v>564</v>
      </c>
      <c r="K899" s="107" t="s">
        <v>857</v>
      </c>
      <c r="L899" s="198"/>
    </row>
    <row r="900" spans="1:12" ht="16.5" thickBot="1" x14ac:dyDescent="0.3">
      <c r="A900" s="254">
        <v>921420</v>
      </c>
      <c r="B900" s="57" t="s">
        <v>1</v>
      </c>
      <c r="C900" s="14">
        <v>120</v>
      </c>
      <c r="D900" s="87">
        <v>165</v>
      </c>
      <c r="E900" s="87">
        <v>224.5</v>
      </c>
      <c r="F900" s="178">
        <f t="shared" si="214"/>
        <v>303.07500000000005</v>
      </c>
      <c r="G900" s="233">
        <v>363.3</v>
      </c>
      <c r="H900" s="178">
        <f t="shared" si="208"/>
        <v>423.97110000000004</v>
      </c>
      <c r="I900" s="170">
        <f t="shared" si="218"/>
        <v>483.29048843187661</v>
      </c>
      <c r="J900" s="170">
        <f t="shared" si="219"/>
        <v>564</v>
      </c>
      <c r="K900" s="107" t="s">
        <v>858</v>
      </c>
      <c r="L900" s="198"/>
    </row>
    <row r="901" spans="1:12" ht="27.75" thickBot="1" x14ac:dyDescent="0.3">
      <c r="A901" s="68">
        <v>921430</v>
      </c>
      <c r="B901" s="67" t="s">
        <v>1</v>
      </c>
      <c r="C901" s="14">
        <v>120</v>
      </c>
      <c r="D901" s="55">
        <v>165</v>
      </c>
      <c r="E901" s="55">
        <v>224.5</v>
      </c>
      <c r="F901" s="180">
        <f t="shared" si="214"/>
        <v>303.07500000000005</v>
      </c>
      <c r="G901" s="235">
        <v>363.3</v>
      </c>
      <c r="H901" s="180">
        <f t="shared" si="208"/>
        <v>423.97110000000004</v>
      </c>
      <c r="I901" s="170">
        <f t="shared" si="218"/>
        <v>483.29048843187661</v>
      </c>
      <c r="J901" s="170">
        <f t="shared" si="219"/>
        <v>564</v>
      </c>
      <c r="K901" s="93" t="s">
        <v>859</v>
      </c>
      <c r="L901" s="198"/>
    </row>
    <row r="902" spans="1:12" ht="17.25" thickBot="1" x14ac:dyDescent="0.3">
      <c r="A902" s="119" t="s">
        <v>860</v>
      </c>
      <c r="B902" s="165"/>
      <c r="C902" s="9"/>
      <c r="D902" s="44"/>
      <c r="E902" s="44"/>
      <c r="F902" s="44"/>
      <c r="G902" s="44"/>
      <c r="H902" s="44"/>
      <c r="I902" s="44"/>
      <c r="J902" s="44"/>
      <c r="K902" s="120"/>
      <c r="L902" s="198"/>
    </row>
    <row r="903" spans="1:12" ht="16.5" thickBot="1" x14ac:dyDescent="0.3">
      <c r="A903" s="254">
        <v>921981</v>
      </c>
      <c r="B903" s="57" t="s">
        <v>59</v>
      </c>
      <c r="C903" s="14">
        <v>215</v>
      </c>
      <c r="D903" s="55">
        <v>290</v>
      </c>
      <c r="E903" s="55">
        <v>395</v>
      </c>
      <c r="F903" s="178">
        <f t="shared" si="214"/>
        <v>533.25</v>
      </c>
      <c r="G903" s="233">
        <v>639.20000000000005</v>
      </c>
      <c r="H903" s="178">
        <f t="shared" si="208"/>
        <v>745.94640000000004</v>
      </c>
      <c r="I903" s="170">
        <f t="shared" ref="I903:I937" si="220">+J903/1.167</f>
        <v>850.04284490145665</v>
      </c>
      <c r="J903" s="170">
        <f t="shared" ref="J903:J937" si="221">ROUND(+H903*(1+$J$1),0)</f>
        <v>992</v>
      </c>
      <c r="K903" s="107" t="s">
        <v>861</v>
      </c>
      <c r="L903" s="198"/>
    </row>
    <row r="904" spans="1:12" ht="16.5" thickBot="1" x14ac:dyDescent="0.3">
      <c r="A904" s="254">
        <v>921982</v>
      </c>
      <c r="B904" s="57" t="s">
        <v>59</v>
      </c>
      <c r="C904" s="14">
        <v>180</v>
      </c>
      <c r="D904" s="83">
        <v>244</v>
      </c>
      <c r="E904" s="83">
        <f t="shared" si="217"/>
        <v>331.84000000000003</v>
      </c>
      <c r="F904" s="172">
        <f t="shared" si="214"/>
        <v>447.98400000000009</v>
      </c>
      <c r="G904" s="227">
        <v>537.29999999999995</v>
      </c>
      <c r="H904" s="172">
        <f t="shared" ref="H904:H966" si="222">G904*1.167</f>
        <v>627.02909999999997</v>
      </c>
      <c r="I904" s="170">
        <f t="shared" si="220"/>
        <v>714.65295629820048</v>
      </c>
      <c r="J904" s="170">
        <f t="shared" si="221"/>
        <v>834</v>
      </c>
      <c r="K904" s="107" t="s">
        <v>862</v>
      </c>
      <c r="L904" s="198"/>
    </row>
    <row r="905" spans="1:12" ht="27.75" thickBot="1" x14ac:dyDescent="0.3">
      <c r="A905" s="254">
        <v>921983</v>
      </c>
      <c r="B905" s="57" t="s">
        <v>393</v>
      </c>
      <c r="C905" s="14">
        <v>1274</v>
      </c>
      <c r="D905" s="87">
        <v>1728</v>
      </c>
      <c r="E905" s="87">
        <v>2350</v>
      </c>
      <c r="F905" s="178">
        <f t="shared" si="214"/>
        <v>3172.5</v>
      </c>
      <c r="G905" s="233">
        <v>3808</v>
      </c>
      <c r="H905" s="178">
        <f t="shared" si="222"/>
        <v>4443.9359999999997</v>
      </c>
      <c r="I905" s="170">
        <f t="shared" si="220"/>
        <v>5064.2673521850902</v>
      </c>
      <c r="J905" s="170">
        <f t="shared" si="221"/>
        <v>5910</v>
      </c>
      <c r="K905" s="107" t="s">
        <v>863</v>
      </c>
      <c r="L905" s="198"/>
    </row>
    <row r="906" spans="1:12" ht="41.25" thickBot="1" x14ac:dyDescent="0.3">
      <c r="A906" s="254">
        <v>921984</v>
      </c>
      <c r="B906" s="57" t="s">
        <v>393</v>
      </c>
      <c r="C906" s="14">
        <v>1274</v>
      </c>
      <c r="D906" s="87">
        <v>1728</v>
      </c>
      <c r="E906" s="87">
        <v>2350</v>
      </c>
      <c r="F906" s="178">
        <f t="shared" si="214"/>
        <v>3172.5</v>
      </c>
      <c r="G906" s="233">
        <v>3808</v>
      </c>
      <c r="H906" s="178">
        <f t="shared" si="222"/>
        <v>4443.9359999999997</v>
      </c>
      <c r="I906" s="170">
        <f t="shared" si="220"/>
        <v>5064.2673521850902</v>
      </c>
      <c r="J906" s="170">
        <f t="shared" si="221"/>
        <v>5910</v>
      </c>
      <c r="K906" s="107" t="s">
        <v>864</v>
      </c>
      <c r="L906" s="198"/>
    </row>
    <row r="907" spans="1:12" ht="16.5" thickBot="1" x14ac:dyDescent="0.3">
      <c r="A907" s="254">
        <v>921985</v>
      </c>
      <c r="B907" s="57" t="s">
        <v>734</v>
      </c>
      <c r="C907" s="49">
        <v>1250</v>
      </c>
      <c r="D907" s="87">
        <v>3500</v>
      </c>
      <c r="E907" s="87">
        <f t="shared" si="217"/>
        <v>4760</v>
      </c>
      <c r="F907" s="178">
        <f t="shared" si="214"/>
        <v>6426</v>
      </c>
      <c r="G907" s="233">
        <v>7711.3</v>
      </c>
      <c r="H907" s="178">
        <f t="shared" si="222"/>
        <v>8999.0871000000006</v>
      </c>
      <c r="I907" s="170">
        <f t="shared" si="220"/>
        <v>10256.212510711224</v>
      </c>
      <c r="J907" s="170">
        <f t="shared" si="221"/>
        <v>11969</v>
      </c>
      <c r="K907" s="107" t="s">
        <v>865</v>
      </c>
      <c r="L907" s="198"/>
    </row>
    <row r="908" spans="1:12" ht="16.5" thickBot="1" x14ac:dyDescent="0.3">
      <c r="A908" s="254">
        <v>921986</v>
      </c>
      <c r="B908" s="57" t="s">
        <v>866</v>
      </c>
      <c r="C908" s="14">
        <v>950</v>
      </c>
      <c r="D908" s="87">
        <v>1290</v>
      </c>
      <c r="E908" s="87">
        <v>1756.65</v>
      </c>
      <c r="F908" s="178">
        <f t="shared" si="214"/>
        <v>2371.4775000000004</v>
      </c>
      <c r="G908" s="233">
        <f>+F908*1.2</f>
        <v>2845.7730000000006</v>
      </c>
      <c r="H908" s="178">
        <f t="shared" si="222"/>
        <v>3321.0170910000006</v>
      </c>
      <c r="I908" s="170">
        <f t="shared" si="220"/>
        <v>3784.9185946872321</v>
      </c>
      <c r="J908" s="170">
        <f t="shared" si="221"/>
        <v>4417</v>
      </c>
      <c r="K908" s="107" t="s">
        <v>867</v>
      </c>
      <c r="L908" s="198"/>
    </row>
    <row r="909" spans="1:12" ht="16.5" thickBot="1" x14ac:dyDescent="0.3">
      <c r="A909" s="254" t="s">
        <v>1004</v>
      </c>
      <c r="B909" s="57" t="s">
        <v>866</v>
      </c>
      <c r="C909" s="14"/>
      <c r="D909" s="87"/>
      <c r="E909" s="87">
        <f>950*1.36</f>
        <v>1292</v>
      </c>
      <c r="F909" s="178">
        <f t="shared" si="214"/>
        <v>1744.2</v>
      </c>
      <c r="G909" s="233">
        <v>2093.4</v>
      </c>
      <c r="H909" s="178">
        <f t="shared" si="222"/>
        <v>2442.9978000000001</v>
      </c>
      <c r="I909" s="170">
        <f t="shared" si="220"/>
        <v>2784.0616966580974</v>
      </c>
      <c r="J909" s="170">
        <f t="shared" si="221"/>
        <v>3249</v>
      </c>
      <c r="K909" s="107" t="s">
        <v>1005</v>
      </c>
      <c r="L909" s="198"/>
    </row>
    <row r="910" spans="1:12" ht="16.5" thickBot="1" x14ac:dyDescent="0.3">
      <c r="A910" s="254">
        <v>921989</v>
      </c>
      <c r="B910" s="57" t="s">
        <v>59</v>
      </c>
      <c r="C910" s="14">
        <v>180</v>
      </c>
      <c r="D910" s="83">
        <v>244</v>
      </c>
      <c r="E910" s="83">
        <f t="shared" si="217"/>
        <v>331.84000000000003</v>
      </c>
      <c r="F910" s="172">
        <f t="shared" si="214"/>
        <v>447.98400000000009</v>
      </c>
      <c r="G910" s="227">
        <v>537.29999999999995</v>
      </c>
      <c r="H910" s="172">
        <f t="shared" si="222"/>
        <v>627.02909999999997</v>
      </c>
      <c r="I910" s="170">
        <f t="shared" si="220"/>
        <v>714.65295629820048</v>
      </c>
      <c r="J910" s="170">
        <f t="shared" si="221"/>
        <v>834</v>
      </c>
      <c r="K910" s="107" t="s">
        <v>868</v>
      </c>
      <c r="L910" s="198"/>
    </row>
    <row r="911" spans="1:12" ht="16.5" thickBot="1" x14ac:dyDescent="0.3">
      <c r="A911" s="254">
        <v>921990</v>
      </c>
      <c r="B911" s="57" t="s">
        <v>59</v>
      </c>
      <c r="C911" s="14">
        <v>1274</v>
      </c>
      <c r="D911" s="87">
        <v>1728</v>
      </c>
      <c r="E911" s="87">
        <v>2350</v>
      </c>
      <c r="F911" s="178">
        <f t="shared" si="214"/>
        <v>3172.5</v>
      </c>
      <c r="G911" s="233">
        <v>3808</v>
      </c>
      <c r="H911" s="178">
        <f t="shared" si="222"/>
        <v>4443.9359999999997</v>
      </c>
      <c r="I911" s="170">
        <f t="shared" si="220"/>
        <v>5064.2673521850902</v>
      </c>
      <c r="J911" s="170">
        <f t="shared" si="221"/>
        <v>5910</v>
      </c>
      <c r="K911" s="107" t="s">
        <v>869</v>
      </c>
      <c r="L911" s="198"/>
    </row>
    <row r="912" spans="1:12" ht="27.75" thickBot="1" x14ac:dyDescent="0.3">
      <c r="A912" s="254">
        <v>921990.1</v>
      </c>
      <c r="B912" s="57" t="s">
        <v>393</v>
      </c>
      <c r="C912" s="14">
        <v>180</v>
      </c>
      <c r="D912" s="83">
        <v>244</v>
      </c>
      <c r="E912" s="83">
        <f t="shared" si="217"/>
        <v>331.84000000000003</v>
      </c>
      <c r="F912" s="172">
        <f t="shared" si="214"/>
        <v>447.98400000000009</v>
      </c>
      <c r="G912" s="227">
        <v>537.29999999999995</v>
      </c>
      <c r="H912" s="172">
        <f t="shared" si="222"/>
        <v>627.02909999999997</v>
      </c>
      <c r="I912" s="170">
        <f t="shared" si="220"/>
        <v>714.65295629820048</v>
      </c>
      <c r="J912" s="170">
        <f t="shared" si="221"/>
        <v>834</v>
      </c>
      <c r="K912" s="107" t="s">
        <v>870</v>
      </c>
      <c r="L912" s="198"/>
    </row>
    <row r="913" spans="1:12" ht="81.75" thickBot="1" x14ac:dyDescent="0.3">
      <c r="A913" s="254">
        <v>921990.2</v>
      </c>
      <c r="B913" s="57" t="s">
        <v>979</v>
      </c>
      <c r="C913" s="14">
        <v>218</v>
      </c>
      <c r="D913" s="87">
        <v>299.89999999999998</v>
      </c>
      <c r="E913" s="87">
        <f t="shared" si="217"/>
        <v>407.86399999999998</v>
      </c>
      <c r="F913" s="178">
        <v>550.1</v>
      </c>
      <c r="G913" s="233">
        <v>659.8</v>
      </c>
      <c r="H913" s="178">
        <f t="shared" si="222"/>
        <v>769.98659999999995</v>
      </c>
      <c r="I913" s="170">
        <f t="shared" si="220"/>
        <v>877.46358183376174</v>
      </c>
      <c r="J913" s="170">
        <f t="shared" si="221"/>
        <v>1024</v>
      </c>
      <c r="K913" s="107" t="s">
        <v>871</v>
      </c>
      <c r="L913" s="198"/>
    </row>
    <row r="914" spans="1:12" ht="16.5" thickBot="1" x14ac:dyDescent="0.3">
      <c r="A914" s="254">
        <v>921990.3</v>
      </c>
      <c r="B914" s="57" t="s">
        <v>866</v>
      </c>
      <c r="C914" s="14">
        <v>425</v>
      </c>
      <c r="D914" s="87">
        <v>575</v>
      </c>
      <c r="E914" s="87">
        <f t="shared" si="217"/>
        <v>782</v>
      </c>
      <c r="F914" s="178">
        <f t="shared" si="214"/>
        <v>1055.7</v>
      </c>
      <c r="G914" s="233">
        <v>1268.2</v>
      </c>
      <c r="H914" s="178">
        <f t="shared" si="222"/>
        <v>1479.9894000000002</v>
      </c>
      <c r="I914" s="170">
        <f t="shared" si="220"/>
        <v>1686.3753213367609</v>
      </c>
      <c r="J914" s="170">
        <f t="shared" si="221"/>
        <v>1968</v>
      </c>
      <c r="K914" s="107" t="s">
        <v>872</v>
      </c>
      <c r="L914" s="198"/>
    </row>
    <row r="915" spans="1:12" ht="16.5" thickBot="1" x14ac:dyDescent="0.3">
      <c r="A915" s="254">
        <v>921990.4</v>
      </c>
      <c r="B915" s="57" t="s">
        <v>59</v>
      </c>
      <c r="C915" s="14">
        <v>358</v>
      </c>
      <c r="D915" s="87">
        <v>485</v>
      </c>
      <c r="E915" s="87">
        <v>659.8</v>
      </c>
      <c r="F915" s="178">
        <f t="shared" si="214"/>
        <v>890.73</v>
      </c>
      <c r="G915" s="233">
        <v>1068.5999999999999</v>
      </c>
      <c r="H915" s="178">
        <f t="shared" si="222"/>
        <v>1247.0562</v>
      </c>
      <c r="I915" s="170">
        <f t="shared" si="220"/>
        <v>1421.5938303341902</v>
      </c>
      <c r="J915" s="170">
        <f t="shared" si="221"/>
        <v>1659</v>
      </c>
      <c r="K915" s="107" t="s">
        <v>873</v>
      </c>
      <c r="L915" s="198"/>
    </row>
    <row r="916" spans="1:12" ht="16.5" thickBot="1" x14ac:dyDescent="0.3">
      <c r="A916" s="254">
        <v>921990.5</v>
      </c>
      <c r="B916" s="57" t="s">
        <v>59</v>
      </c>
      <c r="C916" s="14">
        <v>218</v>
      </c>
      <c r="D916" s="87">
        <v>299.89999999999998</v>
      </c>
      <c r="E916" s="87">
        <f t="shared" si="217"/>
        <v>407.86399999999998</v>
      </c>
      <c r="F916" s="178">
        <v>550.1</v>
      </c>
      <c r="G916" s="233">
        <v>659.8</v>
      </c>
      <c r="H916" s="178">
        <f t="shared" si="222"/>
        <v>769.98659999999995</v>
      </c>
      <c r="I916" s="170">
        <f t="shared" si="220"/>
        <v>877.46358183376174</v>
      </c>
      <c r="J916" s="170">
        <f t="shared" si="221"/>
        <v>1024</v>
      </c>
      <c r="K916" s="107" t="s">
        <v>874</v>
      </c>
      <c r="L916" s="198"/>
    </row>
    <row r="917" spans="1:12" ht="27.75" thickBot="1" x14ac:dyDescent="0.3">
      <c r="A917" s="254">
        <v>921990.6</v>
      </c>
      <c r="B917" s="57" t="s">
        <v>866</v>
      </c>
      <c r="C917" s="14">
        <v>950</v>
      </c>
      <c r="D917" s="87">
        <v>1290</v>
      </c>
      <c r="E917" s="87">
        <v>1756.65</v>
      </c>
      <c r="F917" s="178">
        <f t="shared" si="214"/>
        <v>2371.4775000000004</v>
      </c>
      <c r="G917" s="233">
        <v>2845.7730000000006</v>
      </c>
      <c r="H917" s="178">
        <f t="shared" si="222"/>
        <v>3321.0170910000006</v>
      </c>
      <c r="I917" s="170">
        <f t="shared" si="220"/>
        <v>3784.9185946872321</v>
      </c>
      <c r="J917" s="170">
        <f t="shared" si="221"/>
        <v>4417</v>
      </c>
      <c r="K917" s="107" t="s">
        <v>875</v>
      </c>
      <c r="L917" s="198"/>
    </row>
    <row r="918" spans="1:12" ht="16.5" thickBot="1" x14ac:dyDescent="0.3">
      <c r="A918" s="254">
        <v>924110.1</v>
      </c>
      <c r="B918" s="57" t="s">
        <v>59</v>
      </c>
      <c r="C918" s="14">
        <v>180</v>
      </c>
      <c r="D918" s="83">
        <v>244</v>
      </c>
      <c r="E918" s="83">
        <f t="shared" si="217"/>
        <v>331.84000000000003</v>
      </c>
      <c r="F918" s="172">
        <f t="shared" si="214"/>
        <v>447.98400000000009</v>
      </c>
      <c r="G918" s="227">
        <v>537.29999999999995</v>
      </c>
      <c r="H918" s="172">
        <f t="shared" si="222"/>
        <v>627.02909999999997</v>
      </c>
      <c r="I918" s="170">
        <f t="shared" si="220"/>
        <v>714.65295629820048</v>
      </c>
      <c r="J918" s="170">
        <f t="shared" si="221"/>
        <v>834</v>
      </c>
      <c r="K918" s="107" t="s">
        <v>876</v>
      </c>
      <c r="L918" s="198"/>
    </row>
    <row r="919" spans="1:12" ht="27.75" thickBot="1" x14ac:dyDescent="0.3">
      <c r="A919" s="254">
        <v>924110.2</v>
      </c>
      <c r="B919" s="57" t="s">
        <v>59</v>
      </c>
      <c r="C919" s="14">
        <v>215</v>
      </c>
      <c r="D919" s="55">
        <v>290</v>
      </c>
      <c r="E919" s="87">
        <v>395</v>
      </c>
      <c r="F919" s="178">
        <f t="shared" si="214"/>
        <v>533.25</v>
      </c>
      <c r="G919" s="233">
        <v>639.20000000000005</v>
      </c>
      <c r="H919" s="178">
        <f t="shared" si="222"/>
        <v>745.94640000000004</v>
      </c>
      <c r="I919" s="170">
        <f t="shared" si="220"/>
        <v>850.04284490145665</v>
      </c>
      <c r="J919" s="170">
        <f t="shared" si="221"/>
        <v>992</v>
      </c>
      <c r="K919" s="107" t="s">
        <v>877</v>
      </c>
      <c r="L919" s="198"/>
    </row>
    <row r="920" spans="1:12" ht="27.75" thickBot="1" x14ac:dyDescent="0.3">
      <c r="A920" s="254">
        <v>924110.3</v>
      </c>
      <c r="B920" s="57" t="s">
        <v>59</v>
      </c>
      <c r="C920" s="14">
        <v>215</v>
      </c>
      <c r="D920" s="55">
        <v>290</v>
      </c>
      <c r="E920" s="87">
        <v>395</v>
      </c>
      <c r="F920" s="178">
        <f t="shared" si="214"/>
        <v>533.25</v>
      </c>
      <c r="G920" s="233">
        <v>639.20000000000005</v>
      </c>
      <c r="H920" s="178">
        <f t="shared" si="222"/>
        <v>745.94640000000004</v>
      </c>
      <c r="I920" s="170">
        <f t="shared" si="220"/>
        <v>850.04284490145665</v>
      </c>
      <c r="J920" s="170">
        <f t="shared" si="221"/>
        <v>992</v>
      </c>
      <c r="K920" s="107" t="s">
        <v>878</v>
      </c>
      <c r="L920" s="198"/>
    </row>
    <row r="921" spans="1:12" ht="27.75" thickBot="1" x14ac:dyDescent="0.3">
      <c r="A921" s="254">
        <v>924110.4</v>
      </c>
      <c r="B921" s="57" t="s">
        <v>59</v>
      </c>
      <c r="C921" s="14">
        <v>358</v>
      </c>
      <c r="D921" s="87">
        <v>485</v>
      </c>
      <c r="E921" s="87">
        <v>659.8</v>
      </c>
      <c r="F921" s="178">
        <f t="shared" si="214"/>
        <v>890.73</v>
      </c>
      <c r="G921" s="233">
        <v>1068.5999999999999</v>
      </c>
      <c r="H921" s="178">
        <f t="shared" si="222"/>
        <v>1247.0562</v>
      </c>
      <c r="I921" s="170">
        <f t="shared" si="220"/>
        <v>1421.5938303341902</v>
      </c>
      <c r="J921" s="170">
        <f t="shared" si="221"/>
        <v>1659</v>
      </c>
      <c r="K921" s="107" t="s">
        <v>879</v>
      </c>
      <c r="L921" s="198"/>
    </row>
    <row r="922" spans="1:12" ht="27.75" thickBot="1" x14ac:dyDescent="0.3">
      <c r="A922" s="254">
        <v>924110.5</v>
      </c>
      <c r="B922" s="57" t="s">
        <v>59</v>
      </c>
      <c r="C922" s="14">
        <v>215</v>
      </c>
      <c r="D922" s="55">
        <v>290</v>
      </c>
      <c r="E922" s="87">
        <v>395</v>
      </c>
      <c r="F922" s="178">
        <f t="shared" si="214"/>
        <v>533.25</v>
      </c>
      <c r="G922" s="233">
        <v>639.20000000000005</v>
      </c>
      <c r="H922" s="178">
        <f t="shared" si="222"/>
        <v>745.94640000000004</v>
      </c>
      <c r="I922" s="170">
        <f t="shared" si="220"/>
        <v>850.04284490145665</v>
      </c>
      <c r="J922" s="170">
        <f t="shared" si="221"/>
        <v>992</v>
      </c>
      <c r="K922" s="107" t="s">
        <v>880</v>
      </c>
      <c r="L922" s="198"/>
    </row>
    <row r="923" spans="1:12" ht="16.5" thickBot="1" x14ac:dyDescent="0.3">
      <c r="A923" s="254">
        <v>924110.6</v>
      </c>
      <c r="B923" s="57" t="s">
        <v>59</v>
      </c>
      <c r="C923" s="14">
        <v>215</v>
      </c>
      <c r="D923" s="55">
        <v>290</v>
      </c>
      <c r="E923" s="87">
        <v>395</v>
      </c>
      <c r="F923" s="178">
        <f t="shared" si="214"/>
        <v>533.25</v>
      </c>
      <c r="G923" s="233">
        <v>639.20000000000005</v>
      </c>
      <c r="H923" s="178">
        <f t="shared" si="222"/>
        <v>745.94640000000004</v>
      </c>
      <c r="I923" s="170">
        <f t="shared" si="220"/>
        <v>850.04284490145665</v>
      </c>
      <c r="J923" s="170">
        <f t="shared" si="221"/>
        <v>992</v>
      </c>
      <c r="K923" s="107" t="s">
        <v>881</v>
      </c>
      <c r="L923" s="198"/>
    </row>
    <row r="924" spans="1:12" ht="16.5" thickBot="1" x14ac:dyDescent="0.3">
      <c r="A924" s="254">
        <v>924110.7</v>
      </c>
      <c r="B924" s="57" t="s">
        <v>59</v>
      </c>
      <c r="C924" s="14">
        <v>215</v>
      </c>
      <c r="D924" s="55">
        <v>290</v>
      </c>
      <c r="E924" s="87">
        <v>395</v>
      </c>
      <c r="F924" s="178">
        <f t="shared" si="214"/>
        <v>533.25</v>
      </c>
      <c r="G924" s="233">
        <v>639.20000000000005</v>
      </c>
      <c r="H924" s="178">
        <f t="shared" si="222"/>
        <v>745.94640000000004</v>
      </c>
      <c r="I924" s="170">
        <f t="shared" si="220"/>
        <v>850.04284490145665</v>
      </c>
      <c r="J924" s="170">
        <f t="shared" si="221"/>
        <v>992</v>
      </c>
      <c r="K924" s="107" t="s">
        <v>882</v>
      </c>
      <c r="L924" s="198"/>
    </row>
    <row r="925" spans="1:12" ht="16.5" thickBot="1" x14ac:dyDescent="0.3">
      <c r="A925" s="254">
        <v>924110.8</v>
      </c>
      <c r="B925" s="57" t="s">
        <v>59</v>
      </c>
      <c r="C925" s="14">
        <v>180</v>
      </c>
      <c r="D925" s="83">
        <v>244</v>
      </c>
      <c r="E925" s="83">
        <f t="shared" si="217"/>
        <v>331.84000000000003</v>
      </c>
      <c r="F925" s="172">
        <f t="shared" si="214"/>
        <v>447.98400000000009</v>
      </c>
      <c r="G925" s="227">
        <v>537.29999999999995</v>
      </c>
      <c r="H925" s="172">
        <f t="shared" si="222"/>
        <v>627.02909999999997</v>
      </c>
      <c r="I925" s="170">
        <f t="shared" si="220"/>
        <v>714.65295629820048</v>
      </c>
      <c r="J925" s="170">
        <f t="shared" si="221"/>
        <v>834</v>
      </c>
      <c r="K925" s="107" t="s">
        <v>883</v>
      </c>
      <c r="L925" s="198"/>
    </row>
    <row r="926" spans="1:12" ht="16.5" thickBot="1" x14ac:dyDescent="0.3">
      <c r="A926" s="254">
        <v>924120</v>
      </c>
      <c r="B926" s="57" t="s">
        <v>59</v>
      </c>
      <c r="C926" s="14">
        <v>180</v>
      </c>
      <c r="D926" s="83">
        <v>244</v>
      </c>
      <c r="E926" s="83">
        <f t="shared" si="217"/>
        <v>331.84000000000003</v>
      </c>
      <c r="F926" s="172">
        <f t="shared" si="214"/>
        <v>447.98400000000009</v>
      </c>
      <c r="G926" s="227">
        <v>537.29999999999995</v>
      </c>
      <c r="H926" s="172">
        <f t="shared" si="222"/>
        <v>627.02909999999997</v>
      </c>
      <c r="I926" s="170">
        <f t="shared" si="220"/>
        <v>714.65295629820048</v>
      </c>
      <c r="J926" s="170">
        <f t="shared" si="221"/>
        <v>834</v>
      </c>
      <c r="K926" s="107" t="s">
        <v>884</v>
      </c>
      <c r="L926" s="198"/>
    </row>
    <row r="927" spans="1:12" ht="27.75" thickBot="1" x14ac:dyDescent="0.3">
      <c r="A927" s="254">
        <v>924920.1</v>
      </c>
      <c r="B927" s="57" t="s">
        <v>59</v>
      </c>
      <c r="C927" s="14">
        <v>120</v>
      </c>
      <c r="D927" s="87">
        <v>165</v>
      </c>
      <c r="E927" s="87">
        <v>224.5</v>
      </c>
      <c r="F927" s="178">
        <f t="shared" si="214"/>
        <v>303.07500000000005</v>
      </c>
      <c r="G927" s="233">
        <v>363.3</v>
      </c>
      <c r="H927" s="178">
        <f t="shared" si="222"/>
        <v>423.97110000000004</v>
      </c>
      <c r="I927" s="170">
        <f t="shared" si="220"/>
        <v>483.29048843187661</v>
      </c>
      <c r="J927" s="170">
        <f t="shared" si="221"/>
        <v>564</v>
      </c>
      <c r="K927" s="107" t="s">
        <v>885</v>
      </c>
      <c r="L927" s="198"/>
    </row>
    <row r="928" spans="1:12" ht="16.5" thickBot="1" x14ac:dyDescent="0.3">
      <c r="A928" s="254">
        <v>924920.2</v>
      </c>
      <c r="B928" s="57" t="s">
        <v>59</v>
      </c>
      <c r="C928" s="14">
        <v>120</v>
      </c>
      <c r="D928" s="87">
        <v>165</v>
      </c>
      <c r="E928" s="87">
        <v>224.5</v>
      </c>
      <c r="F928" s="178">
        <f t="shared" si="214"/>
        <v>303.07500000000005</v>
      </c>
      <c r="G928" s="233">
        <v>363.3</v>
      </c>
      <c r="H928" s="178">
        <f t="shared" si="222"/>
        <v>423.97110000000004</v>
      </c>
      <c r="I928" s="170">
        <f t="shared" si="220"/>
        <v>483.29048843187661</v>
      </c>
      <c r="J928" s="170">
        <f t="shared" si="221"/>
        <v>564</v>
      </c>
      <c r="K928" s="107" t="s">
        <v>886</v>
      </c>
      <c r="L928" s="198"/>
    </row>
    <row r="929" spans="1:12" ht="16.5" thickBot="1" x14ac:dyDescent="0.3">
      <c r="A929" s="254">
        <v>924920.3</v>
      </c>
      <c r="B929" s="57" t="s">
        <v>59</v>
      </c>
      <c r="C929" s="14">
        <v>180</v>
      </c>
      <c r="D929" s="83">
        <v>244</v>
      </c>
      <c r="E929" s="83">
        <f t="shared" si="217"/>
        <v>331.84000000000003</v>
      </c>
      <c r="F929" s="172">
        <f t="shared" si="214"/>
        <v>447.98400000000009</v>
      </c>
      <c r="G929" s="227">
        <v>537.29999999999995</v>
      </c>
      <c r="H929" s="172">
        <f t="shared" si="222"/>
        <v>627.02909999999997</v>
      </c>
      <c r="I929" s="170">
        <f t="shared" si="220"/>
        <v>714.65295629820048</v>
      </c>
      <c r="J929" s="170">
        <f t="shared" si="221"/>
        <v>834</v>
      </c>
      <c r="K929" s="107" t="s">
        <v>887</v>
      </c>
      <c r="L929" s="198"/>
    </row>
    <row r="930" spans="1:12" ht="41.25" thickBot="1" x14ac:dyDescent="0.3">
      <c r="A930" s="281">
        <v>924922</v>
      </c>
      <c r="B930" s="284" t="s">
        <v>734</v>
      </c>
      <c r="C930" s="14">
        <v>0</v>
      </c>
      <c r="D930" s="87"/>
      <c r="E930" s="87"/>
      <c r="F930" s="178">
        <f t="shared" si="214"/>
        <v>0</v>
      </c>
      <c r="G930" s="233">
        <v>0</v>
      </c>
      <c r="H930" s="178">
        <f t="shared" si="222"/>
        <v>0</v>
      </c>
      <c r="I930" s="170">
        <f t="shared" si="220"/>
        <v>0</v>
      </c>
      <c r="J930" s="170">
        <f t="shared" si="221"/>
        <v>0</v>
      </c>
      <c r="K930" s="107" t="s">
        <v>888</v>
      </c>
      <c r="L930" s="198"/>
    </row>
    <row r="931" spans="1:12" ht="16.5" thickBot="1" x14ac:dyDescent="0.3">
      <c r="A931" s="282"/>
      <c r="B931" s="285"/>
      <c r="C931" s="14">
        <v>180</v>
      </c>
      <c r="D931" s="83">
        <v>244</v>
      </c>
      <c r="E931" s="83">
        <f t="shared" si="217"/>
        <v>331.84000000000003</v>
      </c>
      <c r="F931" s="172">
        <f t="shared" si="214"/>
        <v>447.98400000000009</v>
      </c>
      <c r="G931" s="227">
        <v>537.29999999999995</v>
      </c>
      <c r="H931" s="172">
        <f t="shared" si="222"/>
        <v>627.02909999999997</v>
      </c>
      <c r="I931" s="170">
        <f t="shared" si="220"/>
        <v>714.65295629820048</v>
      </c>
      <c r="J931" s="170">
        <f t="shared" si="221"/>
        <v>834</v>
      </c>
      <c r="K931" s="107" t="s">
        <v>889</v>
      </c>
      <c r="L931" s="198"/>
    </row>
    <row r="932" spans="1:12" ht="16.5" thickBot="1" x14ac:dyDescent="0.3">
      <c r="A932" s="282"/>
      <c r="B932" s="285"/>
      <c r="C932" s="14">
        <v>280</v>
      </c>
      <c r="D932" s="85">
        <v>380</v>
      </c>
      <c r="E932" s="85">
        <v>517.54999999999995</v>
      </c>
      <c r="F932" s="173">
        <v>698.4</v>
      </c>
      <c r="G932" s="228">
        <v>838.07999999999993</v>
      </c>
      <c r="H932" s="173">
        <f t="shared" si="222"/>
        <v>978.03935999999999</v>
      </c>
      <c r="I932" s="170">
        <f t="shared" si="220"/>
        <v>1114.8243359040273</v>
      </c>
      <c r="J932" s="170">
        <f t="shared" si="221"/>
        <v>1301</v>
      </c>
      <c r="K932" s="107" t="s">
        <v>890</v>
      </c>
      <c r="L932" s="198"/>
    </row>
    <row r="933" spans="1:12" ht="16.5" thickBot="1" x14ac:dyDescent="0.3">
      <c r="A933" s="282"/>
      <c r="B933" s="285"/>
      <c r="C933" s="14">
        <v>425</v>
      </c>
      <c r="D933" s="87">
        <v>575</v>
      </c>
      <c r="E933" s="87">
        <f t="shared" si="217"/>
        <v>782</v>
      </c>
      <c r="F933" s="178">
        <f t="shared" si="214"/>
        <v>1055.7</v>
      </c>
      <c r="G933" s="233">
        <v>1268.2</v>
      </c>
      <c r="H933" s="178">
        <f t="shared" si="222"/>
        <v>1479.9894000000002</v>
      </c>
      <c r="I933" s="170">
        <f t="shared" si="220"/>
        <v>1686.3753213367609</v>
      </c>
      <c r="J933" s="170">
        <f t="shared" si="221"/>
        <v>1968</v>
      </c>
      <c r="K933" s="107" t="s">
        <v>891</v>
      </c>
      <c r="L933" s="198"/>
    </row>
    <row r="934" spans="1:12" ht="16.5" thickBot="1" x14ac:dyDescent="0.3">
      <c r="A934" s="282"/>
      <c r="B934" s="285"/>
      <c r="C934" s="14">
        <v>686</v>
      </c>
      <c r="D934" s="87">
        <v>930</v>
      </c>
      <c r="E934" s="87">
        <f t="shared" si="217"/>
        <v>1264.8000000000002</v>
      </c>
      <c r="F934" s="178">
        <f t="shared" si="214"/>
        <v>1707.4800000000002</v>
      </c>
      <c r="G934" s="233">
        <v>2048.9</v>
      </c>
      <c r="H934" s="178">
        <f t="shared" si="222"/>
        <v>2391.0663</v>
      </c>
      <c r="I934" s="170">
        <f t="shared" si="220"/>
        <v>2724.9357326478148</v>
      </c>
      <c r="J934" s="170">
        <f t="shared" si="221"/>
        <v>3180</v>
      </c>
      <c r="K934" s="107" t="s">
        <v>892</v>
      </c>
      <c r="L934" s="198"/>
    </row>
    <row r="935" spans="1:12" ht="16.5" thickBot="1" x14ac:dyDescent="0.3">
      <c r="A935" s="283"/>
      <c r="B935" s="286"/>
      <c r="C935" s="14">
        <v>1092</v>
      </c>
      <c r="D935" s="87">
        <v>1480</v>
      </c>
      <c r="E935" s="87">
        <v>2013.7</v>
      </c>
      <c r="F935" s="178">
        <f t="shared" si="214"/>
        <v>2718.4950000000003</v>
      </c>
      <c r="G935" s="233">
        <v>3262.1940000000004</v>
      </c>
      <c r="H935" s="178">
        <f t="shared" si="222"/>
        <v>3806.9803980000006</v>
      </c>
      <c r="I935" s="170">
        <f t="shared" si="220"/>
        <v>4338.4747215081406</v>
      </c>
      <c r="J935" s="170">
        <f t="shared" si="221"/>
        <v>5063</v>
      </c>
      <c r="K935" s="107" t="s">
        <v>893</v>
      </c>
      <c r="L935" s="198"/>
    </row>
    <row r="936" spans="1:12" ht="16.5" thickBot="1" x14ac:dyDescent="0.3">
      <c r="A936" s="254">
        <v>924990</v>
      </c>
      <c r="B936" s="57" t="s">
        <v>59</v>
      </c>
      <c r="C936" s="14">
        <v>230</v>
      </c>
      <c r="D936" s="87">
        <v>312</v>
      </c>
      <c r="E936" s="87">
        <v>425</v>
      </c>
      <c r="F936" s="178">
        <f t="shared" si="214"/>
        <v>573.75</v>
      </c>
      <c r="G936" s="233">
        <v>688.95</v>
      </c>
      <c r="H936" s="178">
        <f t="shared" si="222"/>
        <v>804.00465000000008</v>
      </c>
      <c r="I936" s="170">
        <f t="shared" si="220"/>
        <v>916.02399314481579</v>
      </c>
      <c r="J936" s="170">
        <f t="shared" si="221"/>
        <v>1069</v>
      </c>
      <c r="K936" s="107" t="s">
        <v>894</v>
      </c>
      <c r="L936" s="198"/>
    </row>
    <row r="937" spans="1:12" ht="27.75" thickBot="1" x14ac:dyDescent="0.3">
      <c r="A937" s="254">
        <v>924992</v>
      </c>
      <c r="B937" s="57" t="s">
        <v>59</v>
      </c>
      <c r="C937" s="14">
        <v>180</v>
      </c>
      <c r="D937" s="83">
        <v>244</v>
      </c>
      <c r="E937" s="83">
        <f t="shared" si="217"/>
        <v>331.84000000000003</v>
      </c>
      <c r="F937" s="172">
        <f t="shared" si="214"/>
        <v>447.98400000000009</v>
      </c>
      <c r="G937" s="227">
        <v>537.29999999999995</v>
      </c>
      <c r="H937" s="172">
        <f t="shared" si="222"/>
        <v>627.02909999999997</v>
      </c>
      <c r="I937" s="170">
        <f t="shared" si="220"/>
        <v>714.65295629820048</v>
      </c>
      <c r="J937" s="170">
        <f t="shared" si="221"/>
        <v>834</v>
      </c>
      <c r="K937" s="107" t="s">
        <v>895</v>
      </c>
      <c r="L937" s="198"/>
    </row>
    <row r="938" spans="1:12" ht="33" customHeight="1" thickBot="1" x14ac:dyDescent="0.3">
      <c r="A938" s="74" t="s">
        <v>896</v>
      </c>
      <c r="B938" s="76"/>
      <c r="C938" s="4"/>
      <c r="D938" s="45"/>
      <c r="E938" s="45"/>
      <c r="F938" s="45"/>
      <c r="G938" s="45"/>
      <c r="H938" s="45"/>
      <c r="I938" s="45"/>
      <c r="J938" s="45"/>
      <c r="K938" s="72"/>
      <c r="L938" s="198"/>
    </row>
    <row r="939" spans="1:12" ht="16.5" thickBot="1" x14ac:dyDescent="0.3">
      <c r="A939" s="254">
        <v>930100.1</v>
      </c>
      <c r="B939" s="57" t="s">
        <v>1</v>
      </c>
      <c r="C939" s="14">
        <v>180</v>
      </c>
      <c r="D939" s="56">
        <v>244</v>
      </c>
      <c r="E939" s="56">
        <v>332.5</v>
      </c>
      <c r="F939" s="172">
        <v>447.98400000000009</v>
      </c>
      <c r="G939" s="227">
        <v>537.29999999999995</v>
      </c>
      <c r="H939" s="172">
        <f t="shared" si="222"/>
        <v>627.02909999999997</v>
      </c>
      <c r="I939" s="170">
        <f t="shared" ref="I939:I940" si="223">+J939/1.167</f>
        <v>714.65295629820048</v>
      </c>
      <c r="J939" s="170">
        <f t="shared" ref="J939:J940" si="224">ROUND(+H939*(1+$J$1),0)</f>
        <v>834</v>
      </c>
      <c r="K939" s="107" t="s">
        <v>897</v>
      </c>
      <c r="L939" s="198"/>
    </row>
    <row r="940" spans="1:12" ht="27.75" thickBot="1" x14ac:dyDescent="0.3">
      <c r="A940" s="254">
        <v>930100.2</v>
      </c>
      <c r="B940" s="57" t="s">
        <v>1</v>
      </c>
      <c r="C940" s="14">
        <v>120</v>
      </c>
      <c r="D940" s="87">
        <v>165</v>
      </c>
      <c r="E940" s="87">
        <v>224.5</v>
      </c>
      <c r="F940" s="178">
        <f t="shared" si="214"/>
        <v>303.07500000000005</v>
      </c>
      <c r="G940" s="233">
        <v>363.3</v>
      </c>
      <c r="H940" s="178">
        <f t="shared" si="222"/>
        <v>423.97110000000004</v>
      </c>
      <c r="I940" s="170">
        <f t="shared" si="223"/>
        <v>483.29048843187661</v>
      </c>
      <c r="J940" s="170">
        <f t="shared" si="224"/>
        <v>564</v>
      </c>
      <c r="K940" s="107" t="s">
        <v>898</v>
      </c>
      <c r="L940" s="198"/>
    </row>
    <row r="941" spans="1:12" ht="17.25" customHeight="1" thickBot="1" x14ac:dyDescent="0.3">
      <c r="A941" s="73" t="s">
        <v>899</v>
      </c>
      <c r="B941" s="76"/>
      <c r="C941" s="4"/>
      <c r="D941" s="45"/>
      <c r="E941" s="45"/>
      <c r="F941" s="45"/>
      <c r="G941" s="45"/>
      <c r="H941" s="45"/>
      <c r="I941" s="45"/>
      <c r="J941" s="45"/>
      <c r="K941" s="72"/>
      <c r="L941" s="198"/>
    </row>
    <row r="942" spans="1:12" ht="16.5" thickBot="1" x14ac:dyDescent="0.3">
      <c r="A942" s="254">
        <v>809090</v>
      </c>
      <c r="B942" s="57" t="s">
        <v>1</v>
      </c>
      <c r="C942" s="14">
        <v>180</v>
      </c>
      <c r="D942" s="56">
        <v>244</v>
      </c>
      <c r="E942" s="56">
        <f t="shared" ref="E942:E961" si="225">+D942*1.36</f>
        <v>331.84000000000003</v>
      </c>
      <c r="F942" s="172">
        <f t="shared" si="214"/>
        <v>447.98400000000009</v>
      </c>
      <c r="G942" s="227">
        <v>537.29999999999995</v>
      </c>
      <c r="H942" s="172">
        <f t="shared" si="222"/>
        <v>627.02909999999997</v>
      </c>
      <c r="I942" s="170">
        <f t="shared" ref="I942:I964" si="226">+J942/1.167</f>
        <v>714.65295629820048</v>
      </c>
      <c r="J942" s="170">
        <f t="shared" ref="J942:J964" si="227">ROUND(+H942*(1+$J$1),0)</f>
        <v>834</v>
      </c>
      <c r="K942" s="107" t="s">
        <v>900</v>
      </c>
      <c r="L942" s="198"/>
    </row>
    <row r="943" spans="1:12" ht="27.75" thickBot="1" x14ac:dyDescent="0.3">
      <c r="A943" s="254">
        <v>809091</v>
      </c>
      <c r="B943" s="57" t="s">
        <v>1</v>
      </c>
      <c r="C943" s="14">
        <v>180</v>
      </c>
      <c r="D943" s="83">
        <v>244</v>
      </c>
      <c r="E943" s="83">
        <f t="shared" si="225"/>
        <v>331.84000000000003</v>
      </c>
      <c r="F943" s="172">
        <f t="shared" si="214"/>
        <v>447.98400000000009</v>
      </c>
      <c r="G943" s="227">
        <v>537.29999999999995</v>
      </c>
      <c r="H943" s="172">
        <f t="shared" si="222"/>
        <v>627.02909999999997</v>
      </c>
      <c r="I943" s="170">
        <f t="shared" si="226"/>
        <v>714.65295629820048</v>
      </c>
      <c r="J943" s="170">
        <f t="shared" si="227"/>
        <v>834</v>
      </c>
      <c r="K943" s="107" t="s">
        <v>901</v>
      </c>
      <c r="L943" s="198"/>
    </row>
    <row r="944" spans="1:12" ht="27.75" thickBot="1" x14ac:dyDescent="0.3">
      <c r="A944" s="254">
        <v>852000.1</v>
      </c>
      <c r="B944" s="57" t="s">
        <v>1</v>
      </c>
      <c r="C944" s="14">
        <v>180</v>
      </c>
      <c r="D944" s="83">
        <v>244</v>
      </c>
      <c r="E944" s="83">
        <f t="shared" si="225"/>
        <v>331.84000000000003</v>
      </c>
      <c r="F944" s="172">
        <f t="shared" si="214"/>
        <v>447.98400000000009</v>
      </c>
      <c r="G944" s="227">
        <v>537.29999999999995</v>
      </c>
      <c r="H944" s="172">
        <f t="shared" si="222"/>
        <v>627.02909999999997</v>
      </c>
      <c r="I944" s="170">
        <f t="shared" si="226"/>
        <v>714.65295629820048</v>
      </c>
      <c r="J944" s="170">
        <f t="shared" si="227"/>
        <v>834</v>
      </c>
      <c r="K944" s="107" t="s">
        <v>902</v>
      </c>
      <c r="L944" s="198"/>
    </row>
    <row r="945" spans="1:12" ht="16.5" thickBot="1" x14ac:dyDescent="0.3">
      <c r="A945" s="254">
        <v>852000.2</v>
      </c>
      <c r="B945" s="57" t="s">
        <v>1</v>
      </c>
      <c r="C945" s="14">
        <v>180</v>
      </c>
      <c r="D945" s="83">
        <v>244</v>
      </c>
      <c r="E945" s="83">
        <f t="shared" si="225"/>
        <v>331.84000000000003</v>
      </c>
      <c r="F945" s="172">
        <f t="shared" si="214"/>
        <v>447.98400000000009</v>
      </c>
      <c r="G945" s="227">
        <v>537.29999999999995</v>
      </c>
      <c r="H945" s="172">
        <f t="shared" si="222"/>
        <v>627.02909999999997</v>
      </c>
      <c r="I945" s="170">
        <f t="shared" si="226"/>
        <v>714.65295629820048</v>
      </c>
      <c r="J945" s="170">
        <f t="shared" si="227"/>
        <v>834</v>
      </c>
      <c r="K945" s="107" t="s">
        <v>903</v>
      </c>
      <c r="L945" s="198"/>
    </row>
    <row r="946" spans="1:12" ht="27.75" thickBot="1" x14ac:dyDescent="0.3">
      <c r="A946" s="254">
        <v>852000.3</v>
      </c>
      <c r="B946" s="57" t="s">
        <v>1</v>
      </c>
      <c r="C946" s="14">
        <v>180</v>
      </c>
      <c r="D946" s="83">
        <v>244</v>
      </c>
      <c r="E946" s="83">
        <f t="shared" si="225"/>
        <v>331.84000000000003</v>
      </c>
      <c r="F946" s="172">
        <f t="shared" ref="F946:F966" si="228">+E946*$F$1</f>
        <v>447.98400000000009</v>
      </c>
      <c r="G946" s="227">
        <v>537.29999999999995</v>
      </c>
      <c r="H946" s="172">
        <f t="shared" si="222"/>
        <v>627.02909999999997</v>
      </c>
      <c r="I946" s="170">
        <f t="shared" si="226"/>
        <v>714.65295629820048</v>
      </c>
      <c r="J946" s="170">
        <f t="shared" si="227"/>
        <v>834</v>
      </c>
      <c r="K946" s="107" t="s">
        <v>904</v>
      </c>
      <c r="L946" s="198"/>
    </row>
    <row r="947" spans="1:12" ht="16.5" thickBot="1" x14ac:dyDescent="0.3">
      <c r="A947" s="254">
        <v>852000.4</v>
      </c>
      <c r="B947" s="57" t="s">
        <v>1</v>
      </c>
      <c r="C947" s="14">
        <v>180</v>
      </c>
      <c r="D947" s="83">
        <v>244</v>
      </c>
      <c r="E947" s="83">
        <f t="shared" si="225"/>
        <v>331.84000000000003</v>
      </c>
      <c r="F947" s="172">
        <f t="shared" si="228"/>
        <v>447.98400000000009</v>
      </c>
      <c r="G947" s="227">
        <v>537.29999999999995</v>
      </c>
      <c r="H947" s="172">
        <f t="shared" si="222"/>
        <v>627.02909999999997</v>
      </c>
      <c r="I947" s="170">
        <f t="shared" si="226"/>
        <v>714.65295629820048</v>
      </c>
      <c r="J947" s="170">
        <f t="shared" si="227"/>
        <v>834</v>
      </c>
      <c r="K947" s="107" t="s">
        <v>905</v>
      </c>
      <c r="L947" s="198"/>
    </row>
    <row r="948" spans="1:12" ht="27.75" thickBot="1" x14ac:dyDescent="0.3">
      <c r="A948" s="254">
        <v>930102</v>
      </c>
      <c r="B948" s="57" t="s">
        <v>393</v>
      </c>
      <c r="C948" s="14">
        <v>358</v>
      </c>
      <c r="D948" s="87">
        <v>485</v>
      </c>
      <c r="E948" s="87">
        <v>659.8</v>
      </c>
      <c r="F948" s="178">
        <f t="shared" si="228"/>
        <v>890.73</v>
      </c>
      <c r="G948" s="233">
        <v>1068.5999999999999</v>
      </c>
      <c r="H948" s="178">
        <f t="shared" si="222"/>
        <v>1247.0562</v>
      </c>
      <c r="I948" s="170">
        <f t="shared" si="226"/>
        <v>1421.5938303341902</v>
      </c>
      <c r="J948" s="170">
        <f t="shared" si="227"/>
        <v>1659</v>
      </c>
      <c r="K948" s="107" t="s">
        <v>906</v>
      </c>
      <c r="L948" s="198"/>
    </row>
    <row r="949" spans="1:12" ht="27.75" thickBot="1" x14ac:dyDescent="0.3">
      <c r="A949" s="254">
        <v>930103</v>
      </c>
      <c r="B949" s="57" t="s">
        <v>427</v>
      </c>
      <c r="C949" s="14">
        <v>358</v>
      </c>
      <c r="D949" s="87">
        <v>485</v>
      </c>
      <c r="E949" s="87">
        <v>659.8</v>
      </c>
      <c r="F949" s="178">
        <f t="shared" si="228"/>
        <v>890.73</v>
      </c>
      <c r="G949" s="233">
        <v>1068.5999999999999</v>
      </c>
      <c r="H949" s="178">
        <f t="shared" si="222"/>
        <v>1247.0562</v>
      </c>
      <c r="I949" s="170">
        <f t="shared" si="226"/>
        <v>1421.5938303341902</v>
      </c>
      <c r="J949" s="170">
        <f t="shared" si="227"/>
        <v>1659</v>
      </c>
      <c r="K949" s="107" t="s">
        <v>907</v>
      </c>
      <c r="L949" s="198"/>
    </row>
    <row r="950" spans="1:12" ht="16.5" thickBot="1" x14ac:dyDescent="0.3">
      <c r="A950" s="254">
        <v>930202.1</v>
      </c>
      <c r="B950" s="57" t="s">
        <v>1</v>
      </c>
      <c r="C950" s="14">
        <v>140</v>
      </c>
      <c r="D950" s="87">
        <v>192</v>
      </c>
      <c r="E950" s="87">
        <v>261.35000000000002</v>
      </c>
      <c r="F950" s="178">
        <f t="shared" si="228"/>
        <v>352.82250000000005</v>
      </c>
      <c r="G950" s="233">
        <v>423.3</v>
      </c>
      <c r="H950" s="178">
        <f t="shared" si="222"/>
        <v>493.99110000000002</v>
      </c>
      <c r="I950" s="170">
        <f t="shared" si="226"/>
        <v>562.98200514138819</v>
      </c>
      <c r="J950" s="170">
        <f t="shared" si="227"/>
        <v>657</v>
      </c>
      <c r="K950" s="107" t="s">
        <v>908</v>
      </c>
      <c r="L950" s="198"/>
    </row>
    <row r="951" spans="1:12" ht="16.5" thickBot="1" x14ac:dyDescent="0.3">
      <c r="A951" s="254">
        <v>930202.2</v>
      </c>
      <c r="B951" s="57" t="s">
        <v>1</v>
      </c>
      <c r="C951" s="14">
        <v>140</v>
      </c>
      <c r="D951" s="87">
        <v>192</v>
      </c>
      <c r="E951" s="87">
        <v>261.35000000000002</v>
      </c>
      <c r="F951" s="178">
        <f t="shared" si="228"/>
        <v>352.82250000000005</v>
      </c>
      <c r="G951" s="233">
        <v>423.3</v>
      </c>
      <c r="H951" s="178">
        <f t="shared" si="222"/>
        <v>493.99110000000002</v>
      </c>
      <c r="I951" s="170">
        <f t="shared" si="226"/>
        <v>562.98200514138819</v>
      </c>
      <c r="J951" s="170">
        <f t="shared" si="227"/>
        <v>657</v>
      </c>
      <c r="K951" s="107" t="s">
        <v>909</v>
      </c>
      <c r="L951" s="198"/>
    </row>
    <row r="952" spans="1:12" ht="16.5" thickBot="1" x14ac:dyDescent="0.3">
      <c r="A952" s="254">
        <v>930202.3</v>
      </c>
      <c r="B952" s="57" t="s">
        <v>1</v>
      </c>
      <c r="C952" s="14">
        <v>140</v>
      </c>
      <c r="D952" s="87">
        <v>192</v>
      </c>
      <c r="E952" s="87">
        <v>261.35000000000002</v>
      </c>
      <c r="F952" s="178">
        <f t="shared" si="228"/>
        <v>352.82250000000005</v>
      </c>
      <c r="G952" s="233">
        <v>423.3</v>
      </c>
      <c r="H952" s="178">
        <f t="shared" si="222"/>
        <v>493.99110000000002</v>
      </c>
      <c r="I952" s="170">
        <f t="shared" si="226"/>
        <v>562.98200514138819</v>
      </c>
      <c r="J952" s="170">
        <f t="shared" si="227"/>
        <v>657</v>
      </c>
      <c r="K952" s="107" t="s">
        <v>910</v>
      </c>
      <c r="L952" s="198"/>
    </row>
    <row r="953" spans="1:12" ht="16.5" thickBot="1" x14ac:dyDescent="0.3">
      <c r="A953" s="254">
        <v>930202.4</v>
      </c>
      <c r="B953" s="57" t="s">
        <v>1</v>
      </c>
      <c r="C953" s="14">
        <v>140</v>
      </c>
      <c r="D953" s="87">
        <v>192</v>
      </c>
      <c r="E953" s="87">
        <v>261.35000000000002</v>
      </c>
      <c r="F953" s="178">
        <f t="shared" si="228"/>
        <v>352.82250000000005</v>
      </c>
      <c r="G953" s="233">
        <v>423.3</v>
      </c>
      <c r="H953" s="178">
        <f t="shared" si="222"/>
        <v>493.99110000000002</v>
      </c>
      <c r="I953" s="170">
        <f t="shared" si="226"/>
        <v>562.98200514138819</v>
      </c>
      <c r="J953" s="170">
        <f t="shared" si="227"/>
        <v>657</v>
      </c>
      <c r="K953" s="107" t="s">
        <v>911</v>
      </c>
      <c r="L953" s="198"/>
    </row>
    <row r="954" spans="1:12" ht="16.5" thickBot="1" x14ac:dyDescent="0.3">
      <c r="A954" s="254">
        <v>930202.5</v>
      </c>
      <c r="B954" s="57" t="s">
        <v>1</v>
      </c>
      <c r="C954" s="14">
        <v>140</v>
      </c>
      <c r="D954" s="87">
        <v>192</v>
      </c>
      <c r="E954" s="87">
        <v>261.35000000000002</v>
      </c>
      <c r="F954" s="178">
        <f t="shared" si="228"/>
        <v>352.82250000000005</v>
      </c>
      <c r="G954" s="233">
        <v>423.3</v>
      </c>
      <c r="H954" s="178">
        <f t="shared" si="222"/>
        <v>493.99110000000002</v>
      </c>
      <c r="I954" s="170">
        <f t="shared" si="226"/>
        <v>562.98200514138819</v>
      </c>
      <c r="J954" s="170">
        <f t="shared" si="227"/>
        <v>657</v>
      </c>
      <c r="K954" s="107" t="s">
        <v>912</v>
      </c>
      <c r="L954" s="198"/>
    </row>
    <row r="955" spans="1:12" ht="16.5" thickBot="1" x14ac:dyDescent="0.3">
      <c r="A955" s="254" t="s">
        <v>1033</v>
      </c>
      <c r="B955" s="57" t="s">
        <v>124</v>
      </c>
      <c r="C955" s="14">
        <v>180</v>
      </c>
      <c r="D955" s="83">
        <v>244</v>
      </c>
      <c r="E955" s="83">
        <f>+D955*1.36</f>
        <v>331.84000000000003</v>
      </c>
      <c r="F955" s="178">
        <f>+E955*$F$1</f>
        <v>447.98400000000009</v>
      </c>
      <c r="G955" s="233">
        <v>537.29999999999995</v>
      </c>
      <c r="H955" s="172">
        <f t="shared" si="222"/>
        <v>627.02909999999997</v>
      </c>
      <c r="I955" s="170">
        <f t="shared" si="226"/>
        <v>714.65295629820048</v>
      </c>
      <c r="J955" s="170">
        <f t="shared" si="227"/>
        <v>834</v>
      </c>
      <c r="K955" s="107" t="s">
        <v>921</v>
      </c>
      <c r="L955" s="198"/>
    </row>
    <row r="956" spans="1:12" ht="27.75" thickBot="1" x14ac:dyDescent="0.3">
      <c r="A956" s="254">
        <v>930300.1</v>
      </c>
      <c r="B956" s="57" t="s">
        <v>1</v>
      </c>
      <c r="C956" s="14">
        <v>358</v>
      </c>
      <c r="D956" s="87">
        <v>485</v>
      </c>
      <c r="E956" s="87">
        <v>659.8</v>
      </c>
      <c r="F956" s="178">
        <f t="shared" si="228"/>
        <v>890.73</v>
      </c>
      <c r="G956" s="233">
        <v>1068.5999999999999</v>
      </c>
      <c r="H956" s="178">
        <f t="shared" si="222"/>
        <v>1247.0562</v>
      </c>
      <c r="I956" s="170">
        <f t="shared" si="226"/>
        <v>1421.5938303341902</v>
      </c>
      <c r="J956" s="170">
        <f t="shared" si="227"/>
        <v>1659</v>
      </c>
      <c r="K956" s="107" t="s">
        <v>913</v>
      </c>
      <c r="L956" s="198"/>
    </row>
    <row r="957" spans="1:12" ht="27.75" thickBot="1" x14ac:dyDescent="0.3">
      <c r="A957" s="254">
        <v>930300.2</v>
      </c>
      <c r="B957" s="57" t="s">
        <v>124</v>
      </c>
      <c r="C957" s="14">
        <v>358</v>
      </c>
      <c r="D957" s="87">
        <v>485</v>
      </c>
      <c r="E957" s="87">
        <v>659.8</v>
      </c>
      <c r="F957" s="178">
        <f t="shared" si="228"/>
        <v>890.73</v>
      </c>
      <c r="G957" s="233">
        <v>1068.5999999999999</v>
      </c>
      <c r="H957" s="178">
        <f t="shared" si="222"/>
        <v>1247.0562</v>
      </c>
      <c r="I957" s="170">
        <f t="shared" si="226"/>
        <v>1421.5938303341902</v>
      </c>
      <c r="J957" s="170">
        <f t="shared" si="227"/>
        <v>1659</v>
      </c>
      <c r="K957" s="107" t="s">
        <v>914</v>
      </c>
      <c r="L957" s="198"/>
    </row>
    <row r="958" spans="1:12" ht="16.5" thickBot="1" x14ac:dyDescent="0.3">
      <c r="A958" s="254">
        <v>930300.3</v>
      </c>
      <c r="B958" s="57" t="s">
        <v>124</v>
      </c>
      <c r="C958" s="14">
        <v>358</v>
      </c>
      <c r="D958" s="87">
        <v>485</v>
      </c>
      <c r="E958" s="87">
        <v>659.8</v>
      </c>
      <c r="F958" s="178">
        <f t="shared" si="228"/>
        <v>890.73</v>
      </c>
      <c r="G958" s="233">
        <v>1068.5999999999999</v>
      </c>
      <c r="H958" s="178">
        <f t="shared" si="222"/>
        <v>1247.0562</v>
      </c>
      <c r="I958" s="170">
        <f t="shared" si="226"/>
        <v>1421.5938303341902</v>
      </c>
      <c r="J958" s="170">
        <f t="shared" si="227"/>
        <v>1659</v>
      </c>
      <c r="K958" s="107" t="s">
        <v>915</v>
      </c>
      <c r="L958" s="198"/>
    </row>
    <row r="959" spans="1:12" ht="16.5" thickBot="1" x14ac:dyDescent="0.3">
      <c r="A959" s="254">
        <v>930910</v>
      </c>
      <c r="B959" s="57" t="s">
        <v>124</v>
      </c>
      <c r="C959" s="14">
        <v>140</v>
      </c>
      <c r="D959" s="87">
        <v>192</v>
      </c>
      <c r="E959" s="87">
        <v>261.35000000000002</v>
      </c>
      <c r="F959" s="178">
        <f t="shared" si="228"/>
        <v>352.82250000000005</v>
      </c>
      <c r="G959" s="233">
        <v>423.3</v>
      </c>
      <c r="H959" s="178">
        <f t="shared" si="222"/>
        <v>493.99110000000002</v>
      </c>
      <c r="I959" s="170">
        <f t="shared" si="226"/>
        <v>562.98200514138819</v>
      </c>
      <c r="J959" s="170">
        <f t="shared" si="227"/>
        <v>657</v>
      </c>
      <c r="K959" s="107" t="s">
        <v>916</v>
      </c>
      <c r="L959" s="198"/>
    </row>
    <row r="960" spans="1:12" ht="16.5" thickBot="1" x14ac:dyDescent="0.3">
      <c r="A960" s="254" t="s">
        <v>1034</v>
      </c>
      <c r="B960" s="57" t="s">
        <v>124</v>
      </c>
      <c r="C960" s="14">
        <v>140</v>
      </c>
      <c r="D960" s="87">
        <v>192</v>
      </c>
      <c r="E960" s="87">
        <v>261.35000000000002</v>
      </c>
      <c r="F960" s="178">
        <f t="shared" si="228"/>
        <v>352.82250000000005</v>
      </c>
      <c r="G960" s="233">
        <v>423.3</v>
      </c>
      <c r="H960" s="178">
        <f t="shared" si="222"/>
        <v>493.99110000000002</v>
      </c>
      <c r="I960" s="170">
        <f t="shared" si="226"/>
        <v>562.98200514138819</v>
      </c>
      <c r="J960" s="170">
        <f t="shared" si="227"/>
        <v>657</v>
      </c>
      <c r="K960" s="107" t="s">
        <v>917</v>
      </c>
      <c r="L960" s="198"/>
    </row>
    <row r="961" spans="1:12" ht="16.5" thickBot="1" x14ac:dyDescent="0.3">
      <c r="A961" s="254" t="s">
        <v>1035</v>
      </c>
      <c r="B961" s="57" t="s">
        <v>124</v>
      </c>
      <c r="C961" s="14">
        <v>180</v>
      </c>
      <c r="D961" s="83">
        <v>244</v>
      </c>
      <c r="E961" s="83">
        <f t="shared" si="225"/>
        <v>331.84000000000003</v>
      </c>
      <c r="F961" s="172">
        <f t="shared" si="228"/>
        <v>447.98400000000009</v>
      </c>
      <c r="G961" s="227">
        <v>537.29999999999995</v>
      </c>
      <c r="H961" s="172">
        <f t="shared" si="222"/>
        <v>627.02909999999997</v>
      </c>
      <c r="I961" s="170">
        <f t="shared" si="226"/>
        <v>714.65295629820048</v>
      </c>
      <c r="J961" s="170">
        <f t="shared" si="227"/>
        <v>834</v>
      </c>
      <c r="K961" s="107" t="s">
        <v>918</v>
      </c>
      <c r="L961" s="198"/>
    </row>
    <row r="962" spans="1:12" ht="16.5" thickBot="1" x14ac:dyDescent="0.3">
      <c r="A962" s="254" t="s">
        <v>1036</v>
      </c>
      <c r="B962" s="57" t="s">
        <v>124</v>
      </c>
      <c r="C962" s="14">
        <v>140</v>
      </c>
      <c r="D962" s="87">
        <v>192</v>
      </c>
      <c r="E962" s="87">
        <v>261.35000000000002</v>
      </c>
      <c r="F962" s="178">
        <f t="shared" si="228"/>
        <v>352.82250000000005</v>
      </c>
      <c r="G962" s="233">
        <v>423.3</v>
      </c>
      <c r="H962" s="178">
        <f t="shared" si="222"/>
        <v>493.99110000000002</v>
      </c>
      <c r="I962" s="170">
        <f t="shared" si="226"/>
        <v>562.98200514138819</v>
      </c>
      <c r="J962" s="170">
        <f t="shared" si="227"/>
        <v>657</v>
      </c>
      <c r="K962" s="107" t="s">
        <v>919</v>
      </c>
      <c r="L962" s="198"/>
    </row>
    <row r="963" spans="1:12" ht="27.75" thickBot="1" x14ac:dyDescent="0.3">
      <c r="A963" s="254" t="s">
        <v>1037</v>
      </c>
      <c r="B963" s="57" t="s">
        <v>124</v>
      </c>
      <c r="C963" s="55"/>
      <c r="D963" s="87"/>
      <c r="E963" s="87"/>
      <c r="F963" s="172">
        <v>550.1</v>
      </c>
      <c r="G963" s="227">
        <v>659.8</v>
      </c>
      <c r="H963" s="178">
        <f t="shared" si="222"/>
        <v>769.98659999999995</v>
      </c>
      <c r="I963" s="170">
        <f t="shared" si="226"/>
        <v>877.46358183376174</v>
      </c>
      <c r="J963" s="170">
        <f t="shared" si="227"/>
        <v>1024</v>
      </c>
      <c r="K963" s="107" t="s">
        <v>1040</v>
      </c>
      <c r="L963" s="198"/>
    </row>
    <row r="964" spans="1:12" ht="16.5" thickBot="1" x14ac:dyDescent="0.3">
      <c r="A964" s="254" t="s">
        <v>1039</v>
      </c>
      <c r="B964" s="57" t="s">
        <v>124</v>
      </c>
      <c r="C964" s="14">
        <v>140</v>
      </c>
      <c r="D964" s="87">
        <v>192</v>
      </c>
      <c r="E964" s="87">
        <v>261.35000000000002</v>
      </c>
      <c r="F964" s="178">
        <f t="shared" si="228"/>
        <v>352.82250000000005</v>
      </c>
      <c r="G964" s="233">
        <v>423.3</v>
      </c>
      <c r="H964" s="178">
        <f t="shared" si="222"/>
        <v>493.99110000000002</v>
      </c>
      <c r="I964" s="170">
        <f t="shared" si="226"/>
        <v>562.98200514138819</v>
      </c>
      <c r="J964" s="170">
        <f t="shared" si="227"/>
        <v>657</v>
      </c>
      <c r="K964" s="107" t="s">
        <v>920</v>
      </c>
      <c r="L964" s="198"/>
    </row>
    <row r="965" spans="1:12" ht="17.25" customHeight="1" thickBot="1" x14ac:dyDescent="0.3">
      <c r="A965" s="111" t="s">
        <v>922</v>
      </c>
      <c r="B965" s="45"/>
      <c r="C965" s="4"/>
      <c r="D965" s="45"/>
      <c r="E965" s="45"/>
      <c r="F965" s="45"/>
      <c r="G965" s="45"/>
      <c r="H965" s="45"/>
      <c r="I965" s="45"/>
      <c r="J965" s="45"/>
      <c r="K965" s="190"/>
      <c r="L965" s="198"/>
    </row>
    <row r="966" spans="1:12" ht="16.5" thickBot="1" x14ac:dyDescent="0.3">
      <c r="A966" s="254">
        <v>999999</v>
      </c>
      <c r="B966" s="57" t="s">
        <v>59</v>
      </c>
      <c r="C966" s="14">
        <v>358</v>
      </c>
      <c r="D966" s="55">
        <v>485</v>
      </c>
      <c r="E966" s="55">
        <v>659.8</v>
      </c>
      <c r="F966" s="178">
        <f t="shared" si="228"/>
        <v>890.73</v>
      </c>
      <c r="G966" s="233">
        <v>1068.5999999999999</v>
      </c>
      <c r="H966" s="178">
        <f t="shared" si="222"/>
        <v>1247.0562</v>
      </c>
      <c r="I966" s="170">
        <f t="shared" ref="I966" si="229">+J966/1.167</f>
        <v>1421.5938303341902</v>
      </c>
      <c r="J966" s="170">
        <f t="shared" ref="J966" si="230">ROUND(+H966*(1+$J$1),0)</f>
        <v>1659</v>
      </c>
      <c r="K966" s="107" t="s">
        <v>923</v>
      </c>
      <c r="L966" s="198"/>
    </row>
    <row r="967" spans="1:12" x14ac:dyDescent="0.25">
      <c r="A967" s="69"/>
      <c r="G967" s="244"/>
    </row>
    <row r="1000" spans="7:7" x14ac:dyDescent="0.25">
      <c r="G1000" s="244"/>
    </row>
    <row r="1001" spans="7:7" x14ac:dyDescent="0.25">
      <c r="G1001" s="244"/>
    </row>
    <row r="1002" spans="7:7" x14ac:dyDescent="0.25">
      <c r="G1002" s="244"/>
    </row>
    <row r="1003" spans="7:7" x14ac:dyDescent="0.25">
      <c r="G1003" s="244"/>
    </row>
    <row r="1004" spans="7:7" x14ac:dyDescent="0.25">
      <c r="G1004" s="244"/>
    </row>
    <row r="1005" spans="7:7" x14ac:dyDescent="0.25">
      <c r="G1005" s="244"/>
    </row>
    <row r="1006" spans="7:7" x14ac:dyDescent="0.25">
      <c r="G1006" s="244"/>
    </row>
    <row r="1007" spans="7:7" x14ac:dyDescent="0.25">
      <c r="G1007" s="244"/>
    </row>
    <row r="1008" spans="7:7" x14ac:dyDescent="0.25">
      <c r="G1008" s="244"/>
    </row>
    <row r="1009" spans="7:7" x14ac:dyDescent="0.25">
      <c r="G1009" s="244"/>
    </row>
    <row r="1010" spans="7:7" x14ac:dyDescent="0.25">
      <c r="G1010" s="244"/>
    </row>
    <row r="1011" spans="7:7" x14ac:dyDescent="0.25">
      <c r="G1011" s="244"/>
    </row>
    <row r="1012" spans="7:7" x14ac:dyDescent="0.25">
      <c r="G1012" s="244"/>
    </row>
    <row r="1013" spans="7:7" x14ac:dyDescent="0.25">
      <c r="G1013" s="244"/>
    </row>
    <row r="1014" spans="7:7" x14ac:dyDescent="0.25">
      <c r="G1014" s="244"/>
    </row>
    <row r="1015" spans="7:7" x14ac:dyDescent="0.25">
      <c r="G1015" s="244"/>
    </row>
    <row r="1016" spans="7:7" x14ac:dyDescent="0.25">
      <c r="G1016" s="244"/>
    </row>
    <row r="1017" spans="7:7" x14ac:dyDescent="0.25">
      <c r="G1017" s="244"/>
    </row>
    <row r="1018" spans="7:7" x14ac:dyDescent="0.25">
      <c r="G1018" s="244"/>
    </row>
    <row r="1019" spans="7:7" x14ac:dyDescent="0.25">
      <c r="G1019" s="244"/>
    </row>
    <row r="1020" spans="7:7" x14ac:dyDescent="0.25">
      <c r="G1020" s="244"/>
    </row>
    <row r="1021" spans="7:7" x14ac:dyDescent="0.25">
      <c r="G1021" s="244"/>
    </row>
    <row r="1022" spans="7:7" x14ac:dyDescent="0.25">
      <c r="G1022" s="244"/>
    </row>
    <row r="1023" spans="7:7" x14ac:dyDescent="0.25">
      <c r="G1023" s="244"/>
    </row>
    <row r="1024" spans="7:7" x14ac:dyDescent="0.25">
      <c r="G1024" s="244"/>
    </row>
    <row r="1025" spans="7:7" x14ac:dyDescent="0.25">
      <c r="G1025" s="244"/>
    </row>
    <row r="1026" spans="7:7" x14ac:dyDescent="0.25">
      <c r="G1026" s="244"/>
    </row>
    <row r="1027" spans="7:7" x14ac:dyDescent="0.25">
      <c r="G1027" s="244"/>
    </row>
    <row r="1028" spans="7:7" x14ac:dyDescent="0.25">
      <c r="G1028" s="244"/>
    </row>
    <row r="1029" spans="7:7" x14ac:dyDescent="0.25">
      <c r="G1029" s="244"/>
    </row>
    <row r="1030" spans="7:7" x14ac:dyDescent="0.25">
      <c r="G1030" s="244"/>
    </row>
    <row r="1031" spans="7:7" x14ac:dyDescent="0.25">
      <c r="G1031" s="244"/>
    </row>
    <row r="1032" spans="7:7" x14ac:dyDescent="0.25">
      <c r="G1032" s="244"/>
    </row>
    <row r="1033" spans="7:7" x14ac:dyDescent="0.25">
      <c r="G1033" s="244"/>
    </row>
    <row r="1034" spans="7:7" x14ac:dyDescent="0.25">
      <c r="G1034" s="244"/>
    </row>
    <row r="1035" spans="7:7" x14ac:dyDescent="0.25">
      <c r="G1035" s="244"/>
    </row>
    <row r="1036" spans="7:7" x14ac:dyDescent="0.25">
      <c r="G1036" s="244"/>
    </row>
    <row r="1037" spans="7:7" x14ac:dyDescent="0.25">
      <c r="G1037" s="244"/>
    </row>
    <row r="1038" spans="7:7" x14ac:dyDescent="0.25">
      <c r="G1038" s="244"/>
    </row>
    <row r="1039" spans="7:7" x14ac:dyDescent="0.25">
      <c r="G1039" s="244"/>
    </row>
    <row r="1040" spans="7:7" x14ac:dyDescent="0.25">
      <c r="G1040" s="244"/>
    </row>
    <row r="1041" spans="7:7" x14ac:dyDescent="0.25">
      <c r="G1041" s="244"/>
    </row>
    <row r="1042" spans="7:7" x14ac:dyDescent="0.25">
      <c r="G1042" s="244"/>
    </row>
    <row r="1043" spans="7:7" x14ac:dyDescent="0.25">
      <c r="G1043" s="244"/>
    </row>
    <row r="1044" spans="7:7" x14ac:dyDescent="0.25">
      <c r="G1044" s="244"/>
    </row>
    <row r="1045" spans="7:7" x14ac:dyDescent="0.25">
      <c r="G1045" s="244"/>
    </row>
    <row r="1046" spans="7:7" x14ac:dyDescent="0.25">
      <c r="G1046" s="244"/>
    </row>
    <row r="1047" spans="7:7" x14ac:dyDescent="0.25">
      <c r="G1047" s="244"/>
    </row>
    <row r="1048" spans="7:7" x14ac:dyDescent="0.25">
      <c r="G1048" s="244"/>
    </row>
    <row r="1049" spans="7:7" x14ac:dyDescent="0.25">
      <c r="G1049" s="244"/>
    </row>
    <row r="1050" spans="7:7" x14ac:dyDescent="0.25">
      <c r="G1050" s="244"/>
    </row>
    <row r="1051" spans="7:7" x14ac:dyDescent="0.25">
      <c r="G1051" s="244"/>
    </row>
    <row r="1052" spans="7:7" x14ac:dyDescent="0.25">
      <c r="G1052" s="244"/>
    </row>
    <row r="1053" spans="7:7" x14ac:dyDescent="0.25">
      <c r="G1053" s="244"/>
    </row>
    <row r="1054" spans="7:7" x14ac:dyDescent="0.25">
      <c r="G1054" s="244"/>
    </row>
    <row r="1055" spans="7:7" x14ac:dyDescent="0.25">
      <c r="G1055" s="244"/>
    </row>
    <row r="1056" spans="7:7" x14ac:dyDescent="0.25">
      <c r="G1056" s="244"/>
    </row>
    <row r="1057" spans="7:7" x14ac:dyDescent="0.25">
      <c r="G1057" s="244"/>
    </row>
    <row r="1058" spans="7:7" x14ac:dyDescent="0.25">
      <c r="G1058" s="244"/>
    </row>
    <row r="1059" spans="7:7" x14ac:dyDescent="0.25">
      <c r="G1059" s="244"/>
    </row>
    <row r="1060" spans="7:7" x14ac:dyDescent="0.25">
      <c r="G1060" s="244"/>
    </row>
    <row r="1061" spans="7:7" x14ac:dyDescent="0.25">
      <c r="G1061" s="244"/>
    </row>
    <row r="1062" spans="7:7" x14ac:dyDescent="0.25">
      <c r="G1062" s="244"/>
    </row>
    <row r="1063" spans="7:7" x14ac:dyDescent="0.25">
      <c r="G1063" s="244"/>
    </row>
    <row r="1064" spans="7:7" x14ac:dyDescent="0.25">
      <c r="G1064" s="244"/>
    </row>
    <row r="1065" spans="7:7" x14ac:dyDescent="0.25">
      <c r="G1065" s="244"/>
    </row>
    <row r="1066" spans="7:7" x14ac:dyDescent="0.25">
      <c r="G1066" s="244"/>
    </row>
    <row r="1067" spans="7:7" x14ac:dyDescent="0.25">
      <c r="G1067" s="244"/>
    </row>
    <row r="1068" spans="7:7" x14ac:dyDescent="0.25">
      <c r="G1068" s="244"/>
    </row>
    <row r="1069" spans="7:7" x14ac:dyDescent="0.25">
      <c r="G1069" s="244"/>
    </row>
    <row r="1070" spans="7:7" x14ac:dyDescent="0.25">
      <c r="G1070" s="244"/>
    </row>
    <row r="1071" spans="7:7" x14ac:dyDescent="0.25">
      <c r="G1071" s="244"/>
    </row>
    <row r="1072" spans="7:7" x14ac:dyDescent="0.25">
      <c r="G1072" s="244"/>
    </row>
    <row r="1073" spans="7:7" x14ac:dyDescent="0.25">
      <c r="G1073" s="244"/>
    </row>
    <row r="1074" spans="7:7" x14ac:dyDescent="0.25">
      <c r="G1074" s="244"/>
    </row>
    <row r="1075" spans="7:7" x14ac:dyDescent="0.25">
      <c r="G1075" s="244"/>
    </row>
    <row r="1076" spans="7:7" x14ac:dyDescent="0.25">
      <c r="G1076" s="244"/>
    </row>
    <row r="1077" spans="7:7" x14ac:dyDescent="0.25">
      <c r="G1077" s="244"/>
    </row>
    <row r="1078" spans="7:7" x14ac:dyDescent="0.25">
      <c r="G1078" s="244"/>
    </row>
    <row r="1079" spans="7:7" x14ac:dyDescent="0.25">
      <c r="G1079" s="244"/>
    </row>
    <row r="1080" spans="7:7" x14ac:dyDescent="0.25">
      <c r="G1080" s="244"/>
    </row>
    <row r="1081" spans="7:7" x14ac:dyDescent="0.25">
      <c r="G1081" s="244"/>
    </row>
    <row r="1082" spans="7:7" x14ac:dyDescent="0.25">
      <c r="G1082" s="244"/>
    </row>
    <row r="1083" spans="7:7" x14ac:dyDescent="0.25">
      <c r="G1083" s="244"/>
    </row>
    <row r="1084" spans="7:7" x14ac:dyDescent="0.25">
      <c r="G1084" s="244"/>
    </row>
    <row r="1085" spans="7:7" x14ac:dyDescent="0.25">
      <c r="G1085" s="244"/>
    </row>
    <row r="1086" spans="7:7" x14ac:dyDescent="0.25">
      <c r="G1086" s="244"/>
    </row>
    <row r="1087" spans="7:7" x14ac:dyDescent="0.25">
      <c r="G1087" s="244"/>
    </row>
    <row r="1088" spans="7:7" x14ac:dyDescent="0.25">
      <c r="G1088" s="244"/>
    </row>
    <row r="1089" spans="7:7" x14ac:dyDescent="0.25">
      <c r="G1089" s="244"/>
    </row>
    <row r="1090" spans="7:7" x14ac:dyDescent="0.25">
      <c r="G1090" s="244"/>
    </row>
    <row r="1091" spans="7:7" x14ac:dyDescent="0.25">
      <c r="G1091" s="244"/>
    </row>
    <row r="1092" spans="7:7" x14ac:dyDescent="0.25">
      <c r="G1092" s="244"/>
    </row>
    <row r="1093" spans="7:7" x14ac:dyDescent="0.25">
      <c r="G1093" s="244"/>
    </row>
    <row r="1094" spans="7:7" x14ac:dyDescent="0.25">
      <c r="G1094" s="244"/>
    </row>
    <row r="1095" spans="7:7" x14ac:dyDescent="0.25">
      <c r="G1095" s="244"/>
    </row>
    <row r="1096" spans="7:7" x14ac:dyDescent="0.25">
      <c r="G1096" s="244"/>
    </row>
    <row r="1097" spans="7:7" x14ac:dyDescent="0.25">
      <c r="G1097" s="244"/>
    </row>
    <row r="1098" spans="7:7" x14ac:dyDescent="0.25">
      <c r="G1098" s="244"/>
    </row>
    <row r="1099" spans="7:7" x14ac:dyDescent="0.25">
      <c r="G1099" s="244"/>
    </row>
    <row r="1100" spans="7:7" x14ac:dyDescent="0.25">
      <c r="G1100" s="244"/>
    </row>
    <row r="1101" spans="7:7" x14ac:dyDescent="0.25">
      <c r="G1101" s="244"/>
    </row>
    <row r="1102" spans="7:7" x14ac:dyDescent="0.25">
      <c r="G1102" s="244"/>
    </row>
    <row r="1103" spans="7:7" x14ac:dyDescent="0.25">
      <c r="G1103" s="244"/>
    </row>
    <row r="1104" spans="7:7" x14ac:dyDescent="0.25">
      <c r="G1104" s="244"/>
    </row>
    <row r="1105" spans="7:7" x14ac:dyDescent="0.25">
      <c r="G1105" s="244"/>
    </row>
    <row r="1106" spans="7:7" x14ac:dyDescent="0.25">
      <c r="G1106" s="244"/>
    </row>
    <row r="1107" spans="7:7" x14ac:dyDescent="0.25">
      <c r="G1107" s="244"/>
    </row>
    <row r="1108" spans="7:7" x14ac:dyDescent="0.25">
      <c r="G1108" s="244"/>
    </row>
    <row r="1109" spans="7:7" x14ac:dyDescent="0.25">
      <c r="G1109" s="244"/>
    </row>
    <row r="1110" spans="7:7" x14ac:dyDescent="0.25">
      <c r="G1110" s="244"/>
    </row>
    <row r="1111" spans="7:7" x14ac:dyDescent="0.25">
      <c r="G1111" s="244"/>
    </row>
    <row r="1112" spans="7:7" x14ac:dyDescent="0.25">
      <c r="G1112" s="244"/>
    </row>
    <row r="1113" spans="7:7" x14ac:dyDescent="0.25">
      <c r="G1113" s="244"/>
    </row>
    <row r="1114" spans="7:7" x14ac:dyDescent="0.25">
      <c r="G1114" s="244"/>
    </row>
    <row r="1115" spans="7:7" x14ac:dyDescent="0.25">
      <c r="G1115" s="244"/>
    </row>
    <row r="1116" spans="7:7" x14ac:dyDescent="0.25">
      <c r="G1116" s="244"/>
    </row>
    <row r="1117" spans="7:7" x14ac:dyDescent="0.25">
      <c r="G1117" s="244"/>
    </row>
    <row r="1118" spans="7:7" x14ac:dyDescent="0.25">
      <c r="G1118" s="244"/>
    </row>
    <row r="1119" spans="7:7" x14ac:dyDescent="0.25">
      <c r="G1119" s="244"/>
    </row>
    <row r="1120" spans="7:7" x14ac:dyDescent="0.25">
      <c r="G1120" s="244"/>
    </row>
    <row r="1121" spans="7:7" x14ac:dyDescent="0.25">
      <c r="G1121" s="244"/>
    </row>
    <row r="1122" spans="7:7" x14ac:dyDescent="0.25">
      <c r="G1122" s="244"/>
    </row>
    <row r="1123" spans="7:7" x14ac:dyDescent="0.25">
      <c r="G1123" s="244"/>
    </row>
    <row r="1124" spans="7:7" x14ac:dyDescent="0.25">
      <c r="G1124" s="244"/>
    </row>
    <row r="1125" spans="7:7" x14ac:dyDescent="0.25">
      <c r="G1125" s="244"/>
    </row>
    <row r="1126" spans="7:7" x14ac:dyDescent="0.25">
      <c r="G1126" s="244"/>
    </row>
    <row r="1127" spans="7:7" x14ac:dyDescent="0.25">
      <c r="G1127" s="244"/>
    </row>
    <row r="1128" spans="7:7" x14ac:dyDescent="0.25">
      <c r="G1128" s="244"/>
    </row>
    <row r="1129" spans="7:7" x14ac:dyDescent="0.25">
      <c r="G1129" s="244"/>
    </row>
    <row r="1130" spans="7:7" x14ac:dyDescent="0.25">
      <c r="G1130" s="244"/>
    </row>
    <row r="1131" spans="7:7" x14ac:dyDescent="0.25">
      <c r="G1131" s="244"/>
    </row>
    <row r="1132" spans="7:7" x14ac:dyDescent="0.25">
      <c r="G1132" s="244"/>
    </row>
    <row r="1133" spans="7:7" x14ac:dyDescent="0.25">
      <c r="G1133" s="244"/>
    </row>
    <row r="1134" spans="7:7" x14ac:dyDescent="0.25">
      <c r="G1134" s="244"/>
    </row>
    <row r="1135" spans="7:7" x14ac:dyDescent="0.25">
      <c r="G1135" s="244"/>
    </row>
    <row r="1136" spans="7:7" x14ac:dyDescent="0.25">
      <c r="G1136" s="244"/>
    </row>
    <row r="1137" spans="7:7" x14ac:dyDescent="0.25">
      <c r="G1137" s="244"/>
    </row>
    <row r="1138" spans="7:7" x14ac:dyDescent="0.25">
      <c r="G1138" s="244"/>
    </row>
    <row r="1139" spans="7:7" x14ac:dyDescent="0.25">
      <c r="G1139" s="244"/>
    </row>
    <row r="1140" spans="7:7" x14ac:dyDescent="0.25">
      <c r="G1140" s="244"/>
    </row>
    <row r="1141" spans="7:7" x14ac:dyDescent="0.25">
      <c r="G1141" s="244"/>
    </row>
    <row r="1142" spans="7:7" x14ac:dyDescent="0.25">
      <c r="G1142" s="244"/>
    </row>
    <row r="1143" spans="7:7" x14ac:dyDescent="0.25">
      <c r="G1143" s="244"/>
    </row>
    <row r="1144" spans="7:7" x14ac:dyDescent="0.25">
      <c r="G1144" s="244"/>
    </row>
    <row r="1145" spans="7:7" x14ac:dyDescent="0.25">
      <c r="G1145" s="244"/>
    </row>
  </sheetData>
  <autoFilter ref="A3:L966"/>
  <mergeCells count="6">
    <mergeCell ref="A2:K2"/>
    <mergeCell ref="A777:A778"/>
    <mergeCell ref="B777:B778"/>
    <mergeCell ref="K777:K778"/>
    <mergeCell ref="A930:A935"/>
    <mergeCell ref="B930:B935"/>
  </mergeCells>
  <pageMargins left="1" right="1" top="1" bottom="1" header="0.5" footer="0.5"/>
  <pageSetup paperSize="9" scale="68" orientation="portrait" cellComments="asDisplayed"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PARA TRABAJAR 2019</vt:lpstr>
      <vt:lpstr>'PARA TRABAJAR 2019'!Títulos_a_imprimir</vt:lpstr>
    </vt:vector>
  </TitlesOfParts>
  <Company>Luffi</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cdileo</dc:creator>
  <cp:lastModifiedBy>frodriguez</cp:lastModifiedBy>
  <cp:lastPrinted>2018-12-28T12:53:52Z</cp:lastPrinted>
  <dcterms:created xsi:type="dcterms:W3CDTF">2014-10-15T16:42:25Z</dcterms:created>
  <dcterms:modified xsi:type="dcterms:W3CDTF">2018-12-28T12:54:14Z</dcterms:modified>
</cp:coreProperties>
</file>